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solcorptm365.sharepoint.com/sites/Departamentos/Solcor/2_projects/Diversos/3. General Maintenance Info/"/>
    </mc:Choice>
  </mc:AlternateContent>
  <xr:revisionPtr revIDLastSave="1068" documentId="13_ncr:1_{8297C7E8-C143-4705-B7B2-61E26731E529}" xr6:coauthVersionLast="47" xr6:coauthVersionMax="47" xr10:uidLastSave="{69C09BAC-7A00-468B-AA7A-E4E185744F70}"/>
  <bookViews>
    <workbookView xWindow="-108" yWindow="-108" windowWidth="23256" windowHeight="12456" tabRatio="595" firstSheet="1" activeTab="7" xr2:uid="{00000000-000D-0000-FFFF-FFFF00000000}"/>
  </bookViews>
  <sheets>
    <sheet name="Painel Manutenção" sheetId="1" r:id="rId1"/>
    <sheet name="Project Overview" sheetId="3" r:id="rId2"/>
    <sheet name="Venda do excedente" sheetId="4" state="hidden" r:id="rId3"/>
    <sheet name="Validação Overview" sheetId="12" r:id="rId4"/>
    <sheet name="Tabela de Locs" sheetId="7" r:id="rId5"/>
    <sheet name="Painel_Apoio" sheetId="2" r:id="rId6"/>
    <sheet name="Monotorização" sheetId="13" r:id="rId7"/>
    <sheet name="Corretivas" sheetId="14" r:id="rId8"/>
  </sheets>
  <externalReferences>
    <externalReference r:id="rId9"/>
  </externalReferences>
  <definedNames>
    <definedName name="_xlnm._FilterDatabase" localSheetId="3" hidden="1">'Validação Overview'!$A$4:$P$523</definedName>
    <definedName name="_xlnm._FilterDatabase" localSheetId="2" hidden="1">'Venda do excedente'!$B$1:$N$86</definedName>
    <definedName name="_xlnm.Print_Area" localSheetId="4">'Tabela de Locs'!$A$1:$D$244</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3" i="13" l="1"/>
  <c r="C11" i="14"/>
  <c r="C9" i="14"/>
  <c r="C10" i="14"/>
  <c r="C8" i="14"/>
  <c r="C6" i="14"/>
  <c r="C4" i="14"/>
  <c r="C3" i="14"/>
  <c r="C2" i="14"/>
  <c r="D162" i="13"/>
  <c r="D161" i="13"/>
  <c r="D160" i="13"/>
  <c r="D159" i="13"/>
  <c r="D158" i="13"/>
  <c r="D157" i="13"/>
  <c r="D156" i="13"/>
  <c r="D155" i="13"/>
  <c r="D154" i="13"/>
  <c r="D153" i="13"/>
  <c r="D152" i="13"/>
  <c r="D151" i="13"/>
  <c r="D150" i="13"/>
  <c r="D149" i="13"/>
  <c r="D119" i="13" l="1"/>
  <c r="D120"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3" i="13"/>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AX3" i="2"/>
  <c r="AX4" i="2"/>
  <c r="AX5" i="2"/>
  <c r="AX6" i="2"/>
  <c r="AX7" i="2"/>
  <c r="AX8" i="2"/>
  <c r="AX9" i="2"/>
  <c r="AX10" i="2"/>
  <c r="AX11" i="2"/>
  <c r="AX12" i="2"/>
  <c r="AX13" i="2"/>
  <c r="AX14" i="2"/>
  <c r="AX15" i="2"/>
  <c r="AX16" i="2"/>
  <c r="AX17" i="2"/>
  <c r="AX18" i="2"/>
  <c r="AX19" i="2"/>
  <c r="AX20" i="2"/>
  <c r="AX21" i="2"/>
  <c r="AX22" i="2"/>
  <c r="AX23" i="2"/>
  <c r="AX24" i="2"/>
  <c r="AX25" i="2"/>
  <c r="AX26" i="2"/>
  <c r="AX27" i="2"/>
  <c r="AX28" i="2"/>
  <c r="AX29" i="2"/>
  <c r="AX30" i="2"/>
  <c r="AX31" i="2"/>
  <c r="AX32" i="2"/>
  <c r="AX33" i="2"/>
  <c r="AX34" i="2"/>
  <c r="AX35" i="2"/>
  <c r="AX36" i="2"/>
  <c r="AX37" i="2"/>
  <c r="AY3" i="2"/>
  <c r="AY4" i="2"/>
  <c r="AY5" i="2"/>
  <c r="AY6" i="2"/>
  <c r="AY7" i="2"/>
  <c r="AY8" i="2"/>
  <c r="AY9" i="2"/>
  <c r="AY10" i="2"/>
  <c r="AY11" i="2"/>
  <c r="AY12" i="2"/>
  <c r="AY13" i="2"/>
  <c r="AY14" i="2"/>
  <c r="AY15" i="2"/>
  <c r="AY16" i="2"/>
  <c r="AY17" i="2"/>
  <c r="AY18" i="2"/>
  <c r="AY19" i="2"/>
  <c r="AY20" i="2"/>
  <c r="AY21" i="2"/>
  <c r="AY22" i="2"/>
  <c r="AY23" i="2"/>
  <c r="AY24" i="2"/>
  <c r="AY25" i="2"/>
  <c r="AY26" i="2"/>
  <c r="AY27" i="2"/>
  <c r="AY28" i="2"/>
  <c r="AY29" i="2"/>
  <c r="AY30" i="2"/>
  <c r="AY31" i="2"/>
  <c r="AY32" i="2"/>
  <c r="AY33" i="2"/>
  <c r="AY34" i="2"/>
  <c r="AY35" i="2"/>
  <c r="AY36" i="2"/>
  <c r="AY37" i="2"/>
  <c r="AR3" i="2"/>
  <c r="AR36" i="2"/>
  <c r="AS36" i="2"/>
  <c r="AR37" i="2"/>
  <c r="AS37" i="2"/>
  <c r="AR38" i="2"/>
  <c r="AS38" i="2"/>
  <c r="AS5" i="2"/>
  <c r="AS6" i="2"/>
  <c r="AS7" i="2"/>
  <c r="AS8" i="2"/>
  <c r="AS9" i="2"/>
  <c r="AS10" i="2"/>
  <c r="AS11" i="2"/>
  <c r="AS12" i="2"/>
  <c r="AS13" i="2"/>
  <c r="AS14" i="2"/>
  <c r="AS15" i="2"/>
  <c r="AS16" i="2"/>
  <c r="AS17" i="2"/>
  <c r="AS18" i="2"/>
  <c r="AS19" i="2"/>
  <c r="AS20" i="2"/>
  <c r="AS21" i="2"/>
  <c r="AS22" i="2"/>
  <c r="AS23" i="2"/>
  <c r="AS24" i="2"/>
  <c r="AS25" i="2"/>
  <c r="AS26" i="2"/>
  <c r="AS27" i="2"/>
  <c r="AS28" i="2"/>
  <c r="AS29" i="2"/>
  <c r="AS30" i="2"/>
  <c r="AS31" i="2"/>
  <c r="AS32" i="2"/>
  <c r="AS33" i="2"/>
  <c r="AS34" i="2"/>
  <c r="AS35" i="2"/>
  <c r="AS4" i="2"/>
  <c r="AR4" i="2"/>
  <c r="AR5" i="2"/>
  <c r="AR6" i="2"/>
  <c r="AR7" i="2"/>
  <c r="AR8" i="2"/>
  <c r="AR9" i="2"/>
  <c r="AR10" i="2"/>
  <c r="AR11" i="2"/>
  <c r="AR12" i="2"/>
  <c r="AR13" i="2"/>
  <c r="AR14" i="2"/>
  <c r="AR15" i="2"/>
  <c r="AR16" i="2"/>
  <c r="AR17" i="2"/>
  <c r="AR18" i="2"/>
  <c r="AR19" i="2"/>
  <c r="AR20" i="2"/>
  <c r="AR21" i="2"/>
  <c r="AR22" i="2"/>
  <c r="AR23" i="2"/>
  <c r="AR24" i="2"/>
  <c r="AR25" i="2"/>
  <c r="AR26" i="2"/>
  <c r="AR27" i="2"/>
  <c r="AR28" i="2"/>
  <c r="AR29" i="2"/>
  <c r="AR30" i="2"/>
  <c r="AR31" i="2"/>
  <c r="AR32" i="2"/>
  <c r="AR33" i="2"/>
  <c r="AR34" i="2"/>
  <c r="AR35" i="2"/>
  <c r="AL4" i="2"/>
  <c r="AL5" i="2"/>
  <c r="AL6"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E3" i="2" l="1"/>
  <c r="AE23" i="2"/>
  <c r="AE30" i="2"/>
  <c r="AE37" i="2"/>
  <c r="C237" i="7" l="1"/>
  <c r="D237" i="7"/>
  <c r="C238" i="7"/>
  <c r="D238" i="7"/>
  <c r="C239" i="7"/>
  <c r="D239" i="7"/>
  <c r="C240" i="7"/>
  <c r="D240" i="7"/>
  <c r="D242" i="7"/>
  <c r="C242" i="7"/>
  <c r="AM4" i="2" l="1"/>
  <c r="AM20" i="2"/>
  <c r="AM36" i="2"/>
  <c r="AM38" i="2"/>
  <c r="AM39" i="2"/>
  <c r="AM24" i="2"/>
  <c r="AM17" i="2"/>
  <c r="AM5" i="2"/>
  <c r="AM21" i="2"/>
  <c r="AM37" i="2"/>
  <c r="AM22" i="2"/>
  <c r="AM7" i="2"/>
  <c r="AM23" i="2"/>
  <c r="AM8" i="2"/>
  <c r="AM40" i="2"/>
  <c r="AM33" i="2"/>
  <c r="AM35" i="2"/>
  <c r="AM6" i="2"/>
  <c r="AM16" i="2"/>
  <c r="AM9" i="2"/>
  <c r="AM25" i="2"/>
  <c r="AM41" i="2"/>
  <c r="AM10" i="2"/>
  <c r="AM26" i="2"/>
  <c r="AM42" i="2"/>
  <c r="AM11" i="2"/>
  <c r="AM27" i="2"/>
  <c r="AM28" i="2"/>
  <c r="AM13" i="2"/>
  <c r="AM29" i="2"/>
  <c r="AM14" i="2"/>
  <c r="AM30" i="2"/>
  <c r="AM31" i="2"/>
  <c r="AM19" i="2"/>
  <c r="AM43" i="2"/>
  <c r="AM32" i="2"/>
  <c r="AM12" i="2"/>
  <c r="AM44" i="2"/>
  <c r="AM45" i="2"/>
  <c r="AM15" i="2"/>
  <c r="AM18" i="2"/>
  <c r="AM34" i="2"/>
  <c r="L5" i="3"/>
  <c r="Y225" i="3"/>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3" i="2"/>
  <c r="AD3" i="2" l="1"/>
  <c r="AD4" i="2"/>
  <c r="AD20" i="2"/>
  <c r="AD36" i="2"/>
  <c r="AD29" i="2"/>
  <c r="AD15" i="2"/>
  <c r="AD33" i="2"/>
  <c r="AD5" i="2"/>
  <c r="AD21" i="2"/>
  <c r="AD37" i="2"/>
  <c r="AD23" i="2"/>
  <c r="AD35" i="2"/>
  <c r="AD6" i="2"/>
  <c r="AD22" i="2"/>
  <c r="AD38" i="2"/>
  <c r="AD28" i="2"/>
  <c r="AD31" i="2"/>
  <c r="AD19" i="2"/>
  <c r="AD7" i="2"/>
  <c r="AD8" i="2"/>
  <c r="AD24" i="2"/>
  <c r="AD26" i="2"/>
  <c r="AD32" i="2"/>
  <c r="AD9" i="2"/>
  <c r="AD25" i="2"/>
  <c r="AD34" i="2"/>
  <c r="AD10" i="2"/>
  <c r="AD11" i="2"/>
  <c r="AD27" i="2"/>
  <c r="AD14" i="2"/>
  <c r="AD16" i="2"/>
  <c r="AD18" i="2"/>
  <c r="AD12" i="2"/>
  <c r="AD30" i="2"/>
  <c r="AD17" i="2"/>
  <c r="AD13" i="2"/>
  <c r="C235" i="7"/>
  <c r="D235" i="7"/>
  <c r="C236" i="7"/>
  <c r="D236" i="7"/>
  <c r="I5" i="12"/>
  <c r="H5" i="12"/>
  <c r="A268" i="12"/>
  <c r="M268" i="12" s="1"/>
  <c r="B268" i="12"/>
  <c r="C268" i="12"/>
  <c r="G268" i="12" s="1"/>
  <c r="D268" i="12"/>
  <c r="F268" i="12" l="1"/>
  <c r="K268" i="12"/>
  <c r="I268" i="12"/>
  <c r="L268" i="12"/>
  <c r="J268" i="12"/>
  <c r="H268" i="12"/>
  <c r="N268" i="12"/>
  <c r="B63" i="12"/>
  <c r="C233" i="7"/>
  <c r="D233" i="7"/>
  <c r="C234" i="7"/>
  <c r="D234" i="7"/>
  <c r="L265" i="3"/>
  <c r="W265" i="3" s="1"/>
  <c r="Y265" i="3" s="1"/>
  <c r="O268" i="12" l="1"/>
  <c r="P268" i="12" s="1"/>
  <c r="E268" i="12"/>
  <c r="X265" i="3"/>
  <c r="C53" i="7" l="1"/>
  <c r="C230" i="7"/>
  <c r="D230" i="7"/>
  <c r="C231" i="7"/>
  <c r="D231" i="7"/>
  <c r="C232" i="7"/>
  <c r="D232" i="7"/>
  <c r="I11" i="1"/>
  <c r="I12" i="1"/>
  <c r="I13" i="1"/>
  <c r="H12" i="1"/>
  <c r="H13" i="1"/>
  <c r="H11" i="1"/>
  <c r="A13" i="1"/>
  <c r="B13" i="1"/>
  <c r="E228" i="12"/>
  <c r="A12" i="1"/>
  <c r="B12" i="1"/>
  <c r="B11" i="1"/>
  <c r="A11" i="1"/>
  <c r="C223" i="7"/>
  <c r="D223" i="7"/>
  <c r="C224" i="7"/>
  <c r="D224" i="7"/>
  <c r="C225" i="7"/>
  <c r="D225" i="7"/>
  <c r="C226" i="7"/>
  <c r="D226" i="7"/>
  <c r="C227" i="7"/>
  <c r="D227" i="7"/>
  <c r="C228" i="7"/>
  <c r="D228" i="7"/>
  <c r="C229" i="7"/>
  <c r="D229" i="7"/>
  <c r="W5" i="3"/>
  <c r="D267" i="12"/>
  <c r="C267" i="12"/>
  <c r="B267" i="12"/>
  <c r="A267" i="12"/>
  <c r="D266" i="12"/>
  <c r="C266" i="12"/>
  <c r="B266" i="12"/>
  <c r="A266" i="12"/>
  <c r="D265" i="12"/>
  <c r="C265" i="12"/>
  <c r="B265" i="12"/>
  <c r="A265" i="12"/>
  <c r="D264" i="12"/>
  <c r="C264" i="12"/>
  <c r="B264" i="12"/>
  <c r="A264" i="12"/>
  <c r="D263" i="12"/>
  <c r="C263" i="12"/>
  <c r="B263" i="12"/>
  <c r="A263" i="12"/>
  <c r="D262" i="12"/>
  <c r="C262" i="12"/>
  <c r="B262" i="12"/>
  <c r="A262" i="12"/>
  <c r="D261" i="12"/>
  <c r="C261" i="12"/>
  <c r="B261" i="12"/>
  <c r="A261" i="12"/>
  <c r="D260" i="12"/>
  <c r="C260" i="12"/>
  <c r="B260" i="12"/>
  <c r="A260" i="12"/>
  <c r="D259" i="12"/>
  <c r="C259" i="12"/>
  <c r="B259" i="12"/>
  <c r="A259" i="12"/>
  <c r="D258" i="12"/>
  <c r="C258" i="12"/>
  <c r="B258" i="12"/>
  <c r="A258" i="12"/>
  <c r="D257" i="12"/>
  <c r="C257" i="12"/>
  <c r="B257" i="12"/>
  <c r="A257" i="12"/>
  <c r="D256" i="12"/>
  <c r="C256" i="12"/>
  <c r="B256" i="12"/>
  <c r="A256" i="12"/>
  <c r="D255" i="12"/>
  <c r="C255" i="12"/>
  <c r="G255" i="12" s="1"/>
  <c r="B255" i="12"/>
  <c r="A255" i="12"/>
  <c r="D254" i="12"/>
  <c r="C254" i="12"/>
  <c r="G254" i="12" s="1"/>
  <c r="B254" i="12"/>
  <c r="A254" i="12"/>
  <c r="D253" i="12"/>
  <c r="C253" i="12"/>
  <c r="G253" i="12" s="1"/>
  <c r="B253" i="12"/>
  <c r="A253" i="12"/>
  <c r="D252" i="12"/>
  <c r="C252" i="12"/>
  <c r="B252" i="12"/>
  <c r="A252" i="12"/>
  <c r="D251" i="12"/>
  <c r="C251" i="12"/>
  <c r="B251" i="12"/>
  <c r="A251" i="12"/>
  <c r="D250" i="12"/>
  <c r="C250" i="12"/>
  <c r="B250" i="12"/>
  <c r="A250" i="12"/>
  <c r="D249" i="12"/>
  <c r="C249" i="12"/>
  <c r="G249" i="12" s="1"/>
  <c r="B249" i="12"/>
  <c r="A249" i="12"/>
  <c r="D248" i="12"/>
  <c r="C248" i="12"/>
  <c r="B248" i="12"/>
  <c r="A248" i="12"/>
  <c r="D247" i="12"/>
  <c r="C247" i="12"/>
  <c r="B247" i="12"/>
  <c r="A247" i="12"/>
  <c r="D246" i="12"/>
  <c r="C246" i="12"/>
  <c r="B246" i="12"/>
  <c r="A246" i="12"/>
  <c r="D245" i="12"/>
  <c r="C245" i="12"/>
  <c r="B245" i="12"/>
  <c r="A245" i="12"/>
  <c r="D244" i="12"/>
  <c r="C244" i="12"/>
  <c r="G244" i="12" s="1"/>
  <c r="B244" i="12"/>
  <c r="A244" i="12"/>
  <c r="D243" i="12"/>
  <c r="C243" i="12"/>
  <c r="B243" i="12"/>
  <c r="A243" i="12"/>
  <c r="D242" i="12"/>
  <c r="C242" i="12"/>
  <c r="B242" i="12"/>
  <c r="A242" i="12"/>
  <c r="D241" i="12"/>
  <c r="C241" i="12"/>
  <c r="B241" i="12"/>
  <c r="A241" i="12"/>
  <c r="D240" i="12"/>
  <c r="C240" i="12"/>
  <c r="B240" i="12"/>
  <c r="A240" i="12"/>
  <c r="D239" i="12"/>
  <c r="C239" i="12"/>
  <c r="B239" i="12"/>
  <c r="A239" i="12"/>
  <c r="D238" i="12"/>
  <c r="C238" i="12"/>
  <c r="B238" i="12"/>
  <c r="A238" i="12"/>
  <c r="D237" i="12"/>
  <c r="C237" i="12"/>
  <c r="B237" i="12"/>
  <c r="A237" i="12"/>
  <c r="D236" i="12"/>
  <c r="C236" i="12"/>
  <c r="B236" i="12"/>
  <c r="A236" i="12"/>
  <c r="D235" i="12"/>
  <c r="C235" i="12"/>
  <c r="B235" i="12"/>
  <c r="A235" i="12"/>
  <c r="D234" i="12"/>
  <c r="C234" i="12"/>
  <c r="B234" i="12"/>
  <c r="A234" i="12"/>
  <c r="D233" i="12"/>
  <c r="C233" i="12"/>
  <c r="B233" i="12"/>
  <c r="A233" i="12"/>
  <c r="D232" i="12"/>
  <c r="C232" i="12"/>
  <c r="B232" i="12"/>
  <c r="A232" i="12"/>
  <c r="D231" i="12"/>
  <c r="C231" i="12"/>
  <c r="B231" i="12"/>
  <c r="A231" i="12"/>
  <c r="D230" i="12"/>
  <c r="C230" i="12"/>
  <c r="B230" i="12"/>
  <c r="A230" i="12"/>
  <c r="D229" i="12"/>
  <c r="C229" i="12"/>
  <c r="B229" i="12"/>
  <c r="A229" i="12"/>
  <c r="D228" i="12"/>
  <c r="C228" i="12"/>
  <c r="B228" i="12"/>
  <c r="A228" i="12"/>
  <c r="D227" i="12"/>
  <c r="C227" i="12"/>
  <c r="B227" i="12"/>
  <c r="A227" i="12"/>
  <c r="D226" i="12"/>
  <c r="C226" i="12"/>
  <c r="G226" i="12" s="1"/>
  <c r="B226" i="12"/>
  <c r="A226" i="12"/>
  <c r="D225" i="12"/>
  <c r="C225" i="12"/>
  <c r="B225" i="12"/>
  <c r="A225" i="12"/>
  <c r="D224" i="12"/>
  <c r="C224" i="12"/>
  <c r="B224" i="12"/>
  <c r="A224" i="12"/>
  <c r="D223" i="12"/>
  <c r="C223" i="12"/>
  <c r="B223" i="12"/>
  <c r="A223" i="12"/>
  <c r="D222" i="12"/>
  <c r="C222" i="12"/>
  <c r="B222" i="12"/>
  <c r="A222" i="12"/>
  <c r="D221" i="12"/>
  <c r="C221" i="12"/>
  <c r="B221" i="12"/>
  <c r="A221" i="12"/>
  <c r="D220" i="12"/>
  <c r="C220" i="12"/>
  <c r="B220" i="12"/>
  <c r="A220" i="12"/>
  <c r="D219" i="12"/>
  <c r="C219" i="12"/>
  <c r="B219" i="12"/>
  <c r="A219" i="12"/>
  <c r="D218" i="12"/>
  <c r="C218" i="12"/>
  <c r="B218" i="12"/>
  <c r="A218" i="12"/>
  <c r="D217" i="12"/>
  <c r="C217" i="12"/>
  <c r="B217" i="12"/>
  <c r="A217" i="12"/>
  <c r="D216" i="12"/>
  <c r="C216" i="12"/>
  <c r="B216" i="12"/>
  <c r="A216" i="12"/>
  <c r="D215" i="12"/>
  <c r="C215" i="12"/>
  <c r="G215" i="12" s="1"/>
  <c r="B215" i="12"/>
  <c r="A215" i="12"/>
  <c r="D214" i="12"/>
  <c r="C214" i="12"/>
  <c r="G214" i="12" s="1"/>
  <c r="B214" i="12"/>
  <c r="A214" i="12"/>
  <c r="D213" i="12"/>
  <c r="C213" i="12"/>
  <c r="G213" i="12" s="1"/>
  <c r="B213" i="12"/>
  <c r="A213" i="12"/>
  <c r="D212" i="12"/>
  <c r="C212" i="12"/>
  <c r="B212" i="12"/>
  <c r="A212" i="12"/>
  <c r="D211" i="12"/>
  <c r="C211" i="12"/>
  <c r="B211" i="12"/>
  <c r="A211" i="12"/>
  <c r="D210" i="12"/>
  <c r="C210" i="12"/>
  <c r="G210" i="12" s="1"/>
  <c r="B210" i="12"/>
  <c r="A210" i="12"/>
  <c r="D209" i="12"/>
  <c r="C209" i="12"/>
  <c r="B209" i="12"/>
  <c r="A209" i="12"/>
  <c r="D208" i="12"/>
  <c r="C208" i="12"/>
  <c r="B208" i="12"/>
  <c r="A208" i="12"/>
  <c r="D207" i="12"/>
  <c r="C207" i="12"/>
  <c r="B207" i="12"/>
  <c r="A207" i="12"/>
  <c r="D206" i="12"/>
  <c r="C206" i="12"/>
  <c r="B206" i="12"/>
  <c r="A206" i="12"/>
  <c r="D205" i="12"/>
  <c r="C205" i="12"/>
  <c r="B205" i="12"/>
  <c r="A205" i="12"/>
  <c r="D204" i="12"/>
  <c r="C204" i="12"/>
  <c r="B204" i="12"/>
  <c r="A204" i="12"/>
  <c r="D203" i="12"/>
  <c r="C203" i="12"/>
  <c r="G203" i="12" s="1"/>
  <c r="B203" i="12"/>
  <c r="A203" i="12"/>
  <c r="D202" i="12"/>
  <c r="C202" i="12"/>
  <c r="B202" i="12"/>
  <c r="A202" i="12"/>
  <c r="D201" i="12"/>
  <c r="C201" i="12"/>
  <c r="B201" i="12"/>
  <c r="A201" i="12"/>
  <c r="D200" i="12"/>
  <c r="C200" i="12"/>
  <c r="B200" i="12"/>
  <c r="A200" i="12"/>
  <c r="D199" i="12"/>
  <c r="C199" i="12"/>
  <c r="B199" i="12"/>
  <c r="A199" i="12"/>
  <c r="D198" i="12"/>
  <c r="C198" i="12"/>
  <c r="B198" i="12"/>
  <c r="A198" i="12"/>
  <c r="D197" i="12"/>
  <c r="C197" i="12"/>
  <c r="B197" i="12"/>
  <c r="A197" i="12"/>
  <c r="D196" i="12"/>
  <c r="C196" i="12"/>
  <c r="B196" i="12"/>
  <c r="A196" i="12"/>
  <c r="D195" i="12"/>
  <c r="C195" i="12"/>
  <c r="B195" i="12"/>
  <c r="A195" i="12"/>
  <c r="D194" i="12"/>
  <c r="C194" i="12"/>
  <c r="B194" i="12"/>
  <c r="A194" i="12"/>
  <c r="D193" i="12"/>
  <c r="C193" i="12"/>
  <c r="B193" i="12"/>
  <c r="A193" i="12"/>
  <c r="D192" i="12"/>
  <c r="C192" i="12"/>
  <c r="B192" i="12"/>
  <c r="A192" i="12"/>
  <c r="D191" i="12"/>
  <c r="C191" i="12"/>
  <c r="G191" i="12" s="1"/>
  <c r="B191" i="12"/>
  <c r="A191" i="12"/>
  <c r="D190" i="12"/>
  <c r="C190" i="12"/>
  <c r="G190" i="12" s="1"/>
  <c r="B190" i="12"/>
  <c r="A190" i="12"/>
  <c r="D189" i="12"/>
  <c r="C189" i="12"/>
  <c r="G189" i="12" s="1"/>
  <c r="B189" i="12"/>
  <c r="A189" i="12"/>
  <c r="D188" i="12"/>
  <c r="C188" i="12"/>
  <c r="G188" i="12" s="1"/>
  <c r="B188" i="12"/>
  <c r="A188" i="12"/>
  <c r="D187" i="12"/>
  <c r="C187" i="12"/>
  <c r="B187" i="12"/>
  <c r="A187" i="12"/>
  <c r="D186" i="12"/>
  <c r="C186" i="12"/>
  <c r="B186" i="12"/>
  <c r="A186" i="12"/>
  <c r="D185" i="12"/>
  <c r="C185" i="12"/>
  <c r="B185" i="12"/>
  <c r="A185" i="12"/>
  <c r="D184" i="12"/>
  <c r="C184" i="12"/>
  <c r="B184" i="12"/>
  <c r="A184" i="12"/>
  <c r="D183" i="12"/>
  <c r="C183" i="12"/>
  <c r="B183" i="12"/>
  <c r="A183" i="12"/>
  <c r="D182" i="12"/>
  <c r="C182" i="12"/>
  <c r="B182" i="12"/>
  <c r="A182" i="12"/>
  <c r="D181" i="12"/>
  <c r="C181" i="12"/>
  <c r="B181" i="12"/>
  <c r="A181" i="12"/>
  <c r="D180" i="12"/>
  <c r="C180" i="12"/>
  <c r="B180" i="12"/>
  <c r="A180" i="12"/>
  <c r="D179" i="12"/>
  <c r="C179" i="12"/>
  <c r="B179" i="12"/>
  <c r="A179" i="12"/>
  <c r="D178" i="12"/>
  <c r="C178" i="12"/>
  <c r="B178" i="12"/>
  <c r="A178" i="12"/>
  <c r="D177" i="12"/>
  <c r="C177" i="12"/>
  <c r="B177" i="12"/>
  <c r="A177" i="12"/>
  <c r="D176" i="12"/>
  <c r="C176" i="12"/>
  <c r="B176" i="12"/>
  <c r="A176" i="12"/>
  <c r="D175" i="12"/>
  <c r="C175" i="12"/>
  <c r="B175" i="12"/>
  <c r="A175" i="12"/>
  <c r="D174" i="12"/>
  <c r="C174" i="12"/>
  <c r="B174" i="12"/>
  <c r="A174" i="12"/>
  <c r="D173" i="12"/>
  <c r="C173" i="12"/>
  <c r="B173" i="12"/>
  <c r="A173" i="12"/>
  <c r="D172" i="12"/>
  <c r="C172" i="12"/>
  <c r="B172" i="12"/>
  <c r="A172" i="12"/>
  <c r="D171" i="12"/>
  <c r="C171" i="12"/>
  <c r="B171" i="12"/>
  <c r="A171" i="12"/>
  <c r="D170" i="12"/>
  <c r="C170" i="12"/>
  <c r="B170" i="12"/>
  <c r="A170" i="12"/>
  <c r="D169" i="12"/>
  <c r="C169" i="12"/>
  <c r="B169" i="12"/>
  <c r="A169" i="12"/>
  <c r="D168" i="12"/>
  <c r="C168" i="12"/>
  <c r="B168" i="12"/>
  <c r="A168" i="12"/>
  <c r="D167" i="12"/>
  <c r="C167" i="12"/>
  <c r="B167" i="12"/>
  <c r="A167" i="12"/>
  <c r="D166" i="12"/>
  <c r="C166" i="12"/>
  <c r="G166" i="12" s="1"/>
  <c r="B166" i="12"/>
  <c r="A166" i="12"/>
  <c r="D165" i="12"/>
  <c r="C165" i="12"/>
  <c r="B165" i="12"/>
  <c r="A165" i="12"/>
  <c r="D164" i="12"/>
  <c r="C164" i="12"/>
  <c r="B164" i="12"/>
  <c r="A164" i="12"/>
  <c r="D163" i="12"/>
  <c r="C163" i="12"/>
  <c r="G163" i="12" s="1"/>
  <c r="B163" i="12"/>
  <c r="A163" i="12"/>
  <c r="D162" i="12"/>
  <c r="C162" i="12"/>
  <c r="B162" i="12"/>
  <c r="A162" i="12"/>
  <c r="D161" i="12"/>
  <c r="C161" i="12"/>
  <c r="B161" i="12"/>
  <c r="A161" i="12"/>
  <c r="D160" i="12"/>
  <c r="C160" i="12"/>
  <c r="B160" i="12"/>
  <c r="A160" i="12"/>
  <c r="D159" i="12"/>
  <c r="C159" i="12"/>
  <c r="G159" i="12" s="1"/>
  <c r="B159" i="12"/>
  <c r="A159" i="12"/>
  <c r="D158" i="12"/>
  <c r="C158" i="12"/>
  <c r="G158" i="12" s="1"/>
  <c r="B158" i="12"/>
  <c r="A158" i="12"/>
  <c r="D157" i="12"/>
  <c r="C157" i="12"/>
  <c r="B157" i="12"/>
  <c r="A157" i="12"/>
  <c r="D156" i="12"/>
  <c r="C156" i="12"/>
  <c r="B156" i="12"/>
  <c r="A156" i="12"/>
  <c r="D155" i="12"/>
  <c r="C155" i="12"/>
  <c r="B155" i="12"/>
  <c r="A155" i="12"/>
  <c r="D154" i="12"/>
  <c r="C154" i="12"/>
  <c r="B154" i="12"/>
  <c r="A154" i="12"/>
  <c r="D153" i="12"/>
  <c r="C153" i="12"/>
  <c r="B153" i="12"/>
  <c r="A153" i="12"/>
  <c r="D152" i="12"/>
  <c r="C152" i="12"/>
  <c r="B152" i="12"/>
  <c r="A152" i="12"/>
  <c r="D151" i="12"/>
  <c r="C151" i="12"/>
  <c r="B151" i="12"/>
  <c r="A151" i="12"/>
  <c r="D150" i="12"/>
  <c r="C150" i="12"/>
  <c r="B150" i="12"/>
  <c r="A150" i="12"/>
  <c r="D149" i="12"/>
  <c r="C149" i="12"/>
  <c r="B149" i="12"/>
  <c r="A149" i="12"/>
  <c r="D148" i="12"/>
  <c r="C148" i="12"/>
  <c r="B148" i="12"/>
  <c r="A148" i="12"/>
  <c r="D147" i="12"/>
  <c r="C147" i="12"/>
  <c r="B147" i="12"/>
  <c r="A147" i="12"/>
  <c r="D146" i="12"/>
  <c r="C146" i="12"/>
  <c r="B146" i="12"/>
  <c r="A146" i="12"/>
  <c r="D145" i="12"/>
  <c r="C145" i="12"/>
  <c r="B145" i="12"/>
  <c r="A145" i="12"/>
  <c r="D144" i="12"/>
  <c r="C144" i="12"/>
  <c r="B144" i="12"/>
  <c r="A144" i="12"/>
  <c r="D143" i="12"/>
  <c r="C143" i="12"/>
  <c r="B143" i="12"/>
  <c r="A143" i="12"/>
  <c r="D142" i="12"/>
  <c r="C142" i="12"/>
  <c r="B142" i="12"/>
  <c r="A142" i="12"/>
  <c r="D141" i="12"/>
  <c r="C141" i="12"/>
  <c r="B141" i="12"/>
  <c r="A141" i="12"/>
  <c r="D140" i="12"/>
  <c r="C140" i="12"/>
  <c r="B140" i="12"/>
  <c r="A140" i="12"/>
  <c r="D139" i="12"/>
  <c r="C139" i="12"/>
  <c r="B139" i="12"/>
  <c r="A139" i="12"/>
  <c r="D138" i="12"/>
  <c r="C138" i="12"/>
  <c r="B138" i="12"/>
  <c r="A138" i="12"/>
  <c r="D137" i="12"/>
  <c r="C137" i="12"/>
  <c r="G137" i="12" s="1"/>
  <c r="B137" i="12"/>
  <c r="A137" i="12"/>
  <c r="D136" i="12"/>
  <c r="C136" i="12"/>
  <c r="B136" i="12"/>
  <c r="A136" i="12"/>
  <c r="D135" i="12"/>
  <c r="C135" i="12"/>
  <c r="B135" i="12"/>
  <c r="A135" i="12"/>
  <c r="D134" i="12"/>
  <c r="C134" i="12"/>
  <c r="B134" i="12"/>
  <c r="A134" i="12"/>
  <c r="D133" i="12"/>
  <c r="C133" i="12"/>
  <c r="B133" i="12"/>
  <c r="A133" i="12"/>
  <c r="D132" i="12"/>
  <c r="C132" i="12"/>
  <c r="B132" i="12"/>
  <c r="A132" i="12"/>
  <c r="D131" i="12"/>
  <c r="C131" i="12"/>
  <c r="B131" i="12"/>
  <c r="A131" i="12"/>
  <c r="D130" i="12"/>
  <c r="C130" i="12"/>
  <c r="B130" i="12"/>
  <c r="A130" i="12"/>
  <c r="D129" i="12"/>
  <c r="C129" i="12"/>
  <c r="B129" i="12"/>
  <c r="A129" i="12"/>
  <c r="D128" i="12"/>
  <c r="C128" i="12"/>
  <c r="G128" i="12" s="1"/>
  <c r="B128" i="12"/>
  <c r="A128" i="12"/>
  <c r="D127" i="12"/>
  <c r="C127" i="12"/>
  <c r="B127" i="12"/>
  <c r="A127" i="12"/>
  <c r="D126" i="12"/>
  <c r="C126" i="12"/>
  <c r="G126" i="12" s="1"/>
  <c r="B126" i="12"/>
  <c r="A126" i="12"/>
  <c r="D125" i="12"/>
  <c r="C125" i="12"/>
  <c r="B125" i="12"/>
  <c r="A125" i="12"/>
  <c r="D124" i="12"/>
  <c r="C124" i="12"/>
  <c r="B124" i="12"/>
  <c r="A124" i="12"/>
  <c r="D123" i="12"/>
  <c r="C123" i="12"/>
  <c r="B123" i="12"/>
  <c r="A123" i="12"/>
  <c r="D122" i="12"/>
  <c r="C122" i="12"/>
  <c r="B122" i="12"/>
  <c r="A122" i="12"/>
  <c r="D121" i="12"/>
  <c r="C121" i="12"/>
  <c r="B121" i="12"/>
  <c r="A121" i="12"/>
  <c r="D120" i="12"/>
  <c r="C120" i="12"/>
  <c r="B120" i="12"/>
  <c r="A120" i="12"/>
  <c r="D119" i="12"/>
  <c r="C119" i="12"/>
  <c r="B119" i="12"/>
  <c r="A119" i="12"/>
  <c r="D118" i="12"/>
  <c r="C118" i="12"/>
  <c r="B118" i="12"/>
  <c r="A118" i="12"/>
  <c r="D117" i="12"/>
  <c r="C117" i="12"/>
  <c r="G117" i="12" s="1"/>
  <c r="B117" i="12"/>
  <c r="A117" i="12"/>
  <c r="D116" i="12"/>
  <c r="C116" i="12"/>
  <c r="G116" i="12" s="1"/>
  <c r="B116" i="12"/>
  <c r="A116" i="12"/>
  <c r="D115" i="12"/>
  <c r="C115" i="12"/>
  <c r="G115" i="12" s="1"/>
  <c r="B115" i="12"/>
  <c r="A115" i="12"/>
  <c r="D114" i="12"/>
  <c r="C114" i="12"/>
  <c r="B114" i="12"/>
  <c r="A114" i="12"/>
  <c r="D113" i="12"/>
  <c r="C113" i="12"/>
  <c r="B113" i="12"/>
  <c r="A113" i="12"/>
  <c r="D112" i="12"/>
  <c r="C112" i="12"/>
  <c r="B112" i="12"/>
  <c r="A112" i="12"/>
  <c r="D111" i="12"/>
  <c r="C111" i="12"/>
  <c r="B111" i="12"/>
  <c r="A111" i="12"/>
  <c r="D110" i="12"/>
  <c r="C110" i="12"/>
  <c r="B110" i="12"/>
  <c r="A110" i="12"/>
  <c r="D109" i="12"/>
  <c r="C109" i="12"/>
  <c r="B109" i="12"/>
  <c r="A109" i="12"/>
  <c r="D108" i="12"/>
  <c r="C108" i="12"/>
  <c r="B108" i="12"/>
  <c r="A108" i="12"/>
  <c r="D107" i="12"/>
  <c r="C107" i="12"/>
  <c r="G107" i="12" s="1"/>
  <c r="B107" i="12"/>
  <c r="A107" i="12"/>
  <c r="D106" i="12"/>
  <c r="C106" i="12"/>
  <c r="G106" i="12" s="1"/>
  <c r="B106" i="12"/>
  <c r="A106" i="12"/>
  <c r="D105" i="12"/>
  <c r="C105" i="12"/>
  <c r="B105" i="12"/>
  <c r="A105" i="12"/>
  <c r="D104" i="12"/>
  <c r="C104" i="12"/>
  <c r="G104" i="12" s="1"/>
  <c r="B104" i="12"/>
  <c r="A104" i="12"/>
  <c r="D103" i="12"/>
  <c r="C103" i="12"/>
  <c r="B103" i="12"/>
  <c r="A103" i="12"/>
  <c r="D102" i="12"/>
  <c r="C102" i="12"/>
  <c r="B102" i="12"/>
  <c r="A102" i="12"/>
  <c r="D101" i="12"/>
  <c r="C101" i="12"/>
  <c r="B101" i="12"/>
  <c r="A101" i="12"/>
  <c r="D100" i="12"/>
  <c r="C100" i="12"/>
  <c r="B100" i="12"/>
  <c r="A100" i="12"/>
  <c r="D99" i="12"/>
  <c r="C99" i="12"/>
  <c r="B99" i="12"/>
  <c r="A99" i="12"/>
  <c r="D98" i="12"/>
  <c r="C98" i="12"/>
  <c r="G98" i="12" s="1"/>
  <c r="B98" i="12"/>
  <c r="A98" i="12"/>
  <c r="D97" i="12"/>
  <c r="C97" i="12"/>
  <c r="G97" i="12" s="1"/>
  <c r="B97" i="12"/>
  <c r="A97" i="12"/>
  <c r="D96" i="12"/>
  <c r="C96" i="12"/>
  <c r="B96" i="12"/>
  <c r="A96" i="12"/>
  <c r="D95" i="12"/>
  <c r="C95" i="12"/>
  <c r="B95" i="12"/>
  <c r="A95" i="12"/>
  <c r="D94" i="12"/>
  <c r="C94" i="12"/>
  <c r="G94" i="12" s="1"/>
  <c r="B94" i="12"/>
  <c r="A94" i="12"/>
  <c r="D93" i="12"/>
  <c r="C93" i="12"/>
  <c r="B93" i="12"/>
  <c r="A93" i="12"/>
  <c r="D92" i="12"/>
  <c r="C92" i="12"/>
  <c r="G92" i="12" s="1"/>
  <c r="B92" i="12"/>
  <c r="A92" i="12"/>
  <c r="D91" i="12"/>
  <c r="C91" i="12"/>
  <c r="G91" i="12" s="1"/>
  <c r="B91" i="12"/>
  <c r="A91" i="12"/>
  <c r="D90" i="12"/>
  <c r="C90" i="12"/>
  <c r="G90" i="12" s="1"/>
  <c r="B90" i="12"/>
  <c r="A90" i="12"/>
  <c r="D89" i="12"/>
  <c r="C89" i="12"/>
  <c r="G89" i="12" s="1"/>
  <c r="B89" i="12"/>
  <c r="A89" i="12"/>
  <c r="D88" i="12"/>
  <c r="C88" i="12"/>
  <c r="G88" i="12" s="1"/>
  <c r="B88" i="12"/>
  <c r="A88" i="12"/>
  <c r="D87" i="12"/>
  <c r="C87" i="12"/>
  <c r="B87" i="12"/>
  <c r="A87" i="12"/>
  <c r="D86" i="12"/>
  <c r="C86" i="12"/>
  <c r="B86" i="12"/>
  <c r="A86" i="12"/>
  <c r="D85" i="12"/>
  <c r="C85" i="12"/>
  <c r="B85" i="12"/>
  <c r="A85" i="12"/>
  <c r="D84" i="12"/>
  <c r="C84" i="12"/>
  <c r="B84" i="12"/>
  <c r="A84" i="12"/>
  <c r="D83" i="12"/>
  <c r="C83" i="12"/>
  <c r="G83" i="12" s="1"/>
  <c r="B83" i="12"/>
  <c r="A83" i="12"/>
  <c r="D82" i="12"/>
  <c r="C82" i="12"/>
  <c r="G82" i="12" s="1"/>
  <c r="B82" i="12"/>
  <c r="A82" i="12"/>
  <c r="D81" i="12"/>
  <c r="C81" i="12"/>
  <c r="G81" i="12" s="1"/>
  <c r="B81" i="12"/>
  <c r="A81" i="12"/>
  <c r="D80" i="12"/>
  <c r="C80" i="12"/>
  <c r="B80" i="12"/>
  <c r="A80" i="12"/>
  <c r="D79" i="12"/>
  <c r="C79" i="12"/>
  <c r="B79" i="12"/>
  <c r="A79" i="12"/>
  <c r="D78" i="12"/>
  <c r="C78" i="12"/>
  <c r="B78" i="12"/>
  <c r="A78" i="12"/>
  <c r="D77" i="12"/>
  <c r="C77" i="12"/>
  <c r="G77" i="12" s="1"/>
  <c r="B77" i="12"/>
  <c r="A77" i="12"/>
  <c r="D76" i="12"/>
  <c r="C76" i="12"/>
  <c r="B76" i="12"/>
  <c r="A76" i="12"/>
  <c r="D75" i="12"/>
  <c r="C75" i="12"/>
  <c r="G75" i="12" s="1"/>
  <c r="B75" i="12"/>
  <c r="A75" i="12"/>
  <c r="D74" i="12"/>
  <c r="C74" i="12"/>
  <c r="G74" i="12" s="1"/>
  <c r="B74" i="12"/>
  <c r="A74" i="12"/>
  <c r="D73" i="12"/>
  <c r="C73" i="12"/>
  <c r="B73" i="12"/>
  <c r="A73" i="12"/>
  <c r="D72" i="12"/>
  <c r="C72" i="12"/>
  <c r="G72" i="12" s="1"/>
  <c r="B72" i="12"/>
  <c r="A72" i="12"/>
  <c r="D71" i="12"/>
  <c r="C71" i="12"/>
  <c r="G71" i="12" s="1"/>
  <c r="B71" i="12"/>
  <c r="A71" i="12"/>
  <c r="D70" i="12"/>
  <c r="C70" i="12"/>
  <c r="G70" i="12" s="1"/>
  <c r="B70" i="12"/>
  <c r="A70" i="12"/>
  <c r="D69" i="12"/>
  <c r="C69" i="12"/>
  <c r="G69" i="12" s="1"/>
  <c r="B69" i="12"/>
  <c r="A69" i="12"/>
  <c r="D68" i="12"/>
  <c r="C68" i="12"/>
  <c r="B68" i="12"/>
  <c r="A68" i="12"/>
  <c r="D67" i="12"/>
  <c r="C67" i="12"/>
  <c r="B67" i="12"/>
  <c r="A67" i="12"/>
  <c r="D66" i="12"/>
  <c r="C66" i="12"/>
  <c r="B66" i="12"/>
  <c r="A66" i="12"/>
  <c r="D65" i="12"/>
  <c r="C65" i="12"/>
  <c r="B65" i="12"/>
  <c r="A65" i="12"/>
  <c r="D64" i="12"/>
  <c r="C64" i="12"/>
  <c r="G64" i="12" s="1"/>
  <c r="B64" i="12"/>
  <c r="A64" i="12"/>
  <c r="D63" i="12"/>
  <c r="C63" i="12"/>
  <c r="G63" i="12" s="1"/>
  <c r="A63" i="12"/>
  <c r="F63" i="12" s="1"/>
  <c r="D62" i="12"/>
  <c r="C62" i="12"/>
  <c r="B62" i="12"/>
  <c r="A62" i="12"/>
  <c r="D61" i="12"/>
  <c r="C61" i="12"/>
  <c r="G61" i="12" s="1"/>
  <c r="B61" i="12"/>
  <c r="A61" i="12"/>
  <c r="D60" i="12"/>
  <c r="C60" i="12"/>
  <c r="B60" i="12"/>
  <c r="A60" i="12"/>
  <c r="D59" i="12"/>
  <c r="C59" i="12"/>
  <c r="B59" i="12"/>
  <c r="A59" i="12"/>
  <c r="D58" i="12"/>
  <c r="C58" i="12"/>
  <c r="B58" i="12"/>
  <c r="A58" i="12"/>
  <c r="D57" i="12"/>
  <c r="C57" i="12"/>
  <c r="G57" i="12" s="1"/>
  <c r="B57" i="12"/>
  <c r="A57" i="12"/>
  <c r="D56" i="12"/>
  <c r="C56" i="12"/>
  <c r="B56" i="12"/>
  <c r="A56" i="12"/>
  <c r="D55" i="12"/>
  <c r="C55" i="12"/>
  <c r="B55" i="12"/>
  <c r="A55" i="12"/>
  <c r="D54" i="12"/>
  <c r="C54" i="12"/>
  <c r="G54" i="12" s="1"/>
  <c r="B54" i="12"/>
  <c r="A54" i="12"/>
  <c r="D53" i="12"/>
  <c r="C53" i="12"/>
  <c r="B53" i="12"/>
  <c r="A53" i="12"/>
  <c r="D52" i="12"/>
  <c r="C52" i="12"/>
  <c r="B52" i="12"/>
  <c r="A52" i="12"/>
  <c r="D51" i="12"/>
  <c r="C51" i="12"/>
  <c r="B51" i="12"/>
  <c r="A51" i="12"/>
  <c r="D50" i="12"/>
  <c r="C50" i="12"/>
  <c r="G50" i="12" s="1"/>
  <c r="B50" i="12"/>
  <c r="A50" i="12"/>
  <c r="D49" i="12"/>
  <c r="C49" i="12"/>
  <c r="B49" i="12"/>
  <c r="A49" i="12"/>
  <c r="D48" i="12"/>
  <c r="C48" i="12"/>
  <c r="G48" i="12" s="1"/>
  <c r="B48" i="12"/>
  <c r="A48" i="12"/>
  <c r="D47" i="12"/>
  <c r="C47" i="12"/>
  <c r="G47" i="12" s="1"/>
  <c r="B47" i="12"/>
  <c r="A47" i="12"/>
  <c r="D46" i="12"/>
  <c r="C46" i="12"/>
  <c r="G46" i="12" s="1"/>
  <c r="B46" i="12"/>
  <c r="A46" i="12"/>
  <c r="D45" i="12"/>
  <c r="C45" i="12"/>
  <c r="B45" i="12"/>
  <c r="A45" i="12"/>
  <c r="D44" i="12"/>
  <c r="C44" i="12"/>
  <c r="B44" i="12"/>
  <c r="A44" i="12"/>
  <c r="D43" i="12"/>
  <c r="C43" i="12"/>
  <c r="B43" i="12"/>
  <c r="A43" i="12"/>
  <c r="D42" i="12"/>
  <c r="C42" i="12"/>
  <c r="G42" i="12" s="1"/>
  <c r="B42" i="12"/>
  <c r="A42" i="12"/>
  <c r="D41" i="12"/>
  <c r="C41" i="12"/>
  <c r="B41" i="12"/>
  <c r="A41" i="12"/>
  <c r="D40" i="12"/>
  <c r="C40" i="12"/>
  <c r="B40" i="12"/>
  <c r="A40" i="12"/>
  <c r="D39" i="12"/>
  <c r="C39" i="12"/>
  <c r="G39" i="12" s="1"/>
  <c r="B39" i="12"/>
  <c r="A39" i="12"/>
  <c r="D38" i="12"/>
  <c r="C38" i="12"/>
  <c r="G38" i="12" s="1"/>
  <c r="B38" i="12"/>
  <c r="A38" i="12"/>
  <c r="D37" i="12"/>
  <c r="C37" i="12"/>
  <c r="B37" i="12"/>
  <c r="A37" i="12"/>
  <c r="D36" i="12"/>
  <c r="C36" i="12"/>
  <c r="B36" i="12"/>
  <c r="A36" i="12"/>
  <c r="D35" i="12"/>
  <c r="C35" i="12"/>
  <c r="B35" i="12"/>
  <c r="A35" i="12"/>
  <c r="D34" i="12"/>
  <c r="C34" i="12"/>
  <c r="G34" i="12" s="1"/>
  <c r="B34" i="12"/>
  <c r="A34" i="12"/>
  <c r="D33" i="12"/>
  <c r="C33" i="12"/>
  <c r="G33" i="12" s="1"/>
  <c r="B33" i="12"/>
  <c r="A33" i="12"/>
  <c r="D32" i="12"/>
  <c r="C32" i="12"/>
  <c r="G32" i="12" s="1"/>
  <c r="B32" i="12"/>
  <c r="A32" i="12"/>
  <c r="D31" i="12"/>
  <c r="C31" i="12"/>
  <c r="G31" i="12" s="1"/>
  <c r="B31" i="12"/>
  <c r="A31" i="12"/>
  <c r="D30" i="12"/>
  <c r="C30" i="12"/>
  <c r="B30" i="12"/>
  <c r="A30" i="12"/>
  <c r="D29" i="12"/>
  <c r="C29" i="12"/>
  <c r="B29" i="12"/>
  <c r="A29" i="12"/>
  <c r="D28" i="12"/>
  <c r="C28" i="12"/>
  <c r="B28" i="12"/>
  <c r="A28" i="12"/>
  <c r="D27" i="12"/>
  <c r="C27" i="12"/>
  <c r="B27" i="12"/>
  <c r="A27" i="12"/>
  <c r="D26" i="12"/>
  <c r="C26" i="12"/>
  <c r="G26" i="12" s="1"/>
  <c r="B26" i="12"/>
  <c r="A26" i="12"/>
  <c r="D25" i="12"/>
  <c r="C25" i="12"/>
  <c r="B25" i="12"/>
  <c r="A25" i="12"/>
  <c r="D24" i="12"/>
  <c r="C24" i="12"/>
  <c r="B24" i="12"/>
  <c r="A24" i="12"/>
  <c r="D23" i="12"/>
  <c r="C23" i="12"/>
  <c r="G23" i="12" s="1"/>
  <c r="B23" i="12"/>
  <c r="A23" i="12"/>
  <c r="D22" i="12"/>
  <c r="C22" i="12"/>
  <c r="G22" i="12" s="1"/>
  <c r="B22" i="12"/>
  <c r="A22" i="12"/>
  <c r="D21" i="12"/>
  <c r="C21" i="12"/>
  <c r="G21" i="12" s="1"/>
  <c r="B21" i="12"/>
  <c r="A21" i="12"/>
  <c r="D20" i="12"/>
  <c r="C20" i="12"/>
  <c r="G20" i="12" s="1"/>
  <c r="B20" i="12"/>
  <c r="A20" i="12"/>
  <c r="D19" i="12"/>
  <c r="C19" i="12"/>
  <c r="G19" i="12" s="1"/>
  <c r="B19" i="12"/>
  <c r="A19" i="12"/>
  <c r="D18" i="12"/>
  <c r="C18" i="12"/>
  <c r="G18" i="12" s="1"/>
  <c r="B18" i="12"/>
  <c r="A18" i="12"/>
  <c r="D17" i="12"/>
  <c r="C17" i="12"/>
  <c r="B17" i="12"/>
  <c r="A17" i="12"/>
  <c r="D16" i="12"/>
  <c r="C16" i="12"/>
  <c r="G16" i="12" s="1"/>
  <c r="B16" i="12"/>
  <c r="A16" i="12"/>
  <c r="D15" i="12"/>
  <c r="C15" i="12"/>
  <c r="G15" i="12" s="1"/>
  <c r="B15" i="12"/>
  <c r="A15" i="12"/>
  <c r="D14" i="12"/>
  <c r="C14" i="12"/>
  <c r="B14" i="12"/>
  <c r="A14" i="12"/>
  <c r="D13" i="12"/>
  <c r="C13" i="12"/>
  <c r="G13" i="12" s="1"/>
  <c r="B13" i="12"/>
  <c r="A13" i="12"/>
  <c r="D12" i="12"/>
  <c r="C12" i="12"/>
  <c r="B12" i="12"/>
  <c r="A12" i="12"/>
  <c r="D11" i="12"/>
  <c r="C11" i="12"/>
  <c r="G11" i="12" s="1"/>
  <c r="B11" i="12"/>
  <c r="A11" i="12"/>
  <c r="D10" i="12"/>
  <c r="C10" i="12"/>
  <c r="B10" i="12"/>
  <c r="A10" i="12"/>
  <c r="D9" i="12"/>
  <c r="C9" i="12"/>
  <c r="G9" i="12" s="1"/>
  <c r="B9" i="12"/>
  <c r="A9" i="12"/>
  <c r="D8" i="12"/>
  <c r="C8" i="12"/>
  <c r="B8" i="12"/>
  <c r="A8" i="12"/>
  <c r="D7" i="12"/>
  <c r="C7" i="12"/>
  <c r="G7" i="12" s="1"/>
  <c r="B7" i="12"/>
  <c r="A7" i="12"/>
  <c r="D6" i="12"/>
  <c r="C6" i="12"/>
  <c r="G6" i="12" s="1"/>
  <c r="B6" i="12"/>
  <c r="A6" i="12"/>
  <c r="D5" i="12"/>
  <c r="C5" i="12"/>
  <c r="G5" i="12" s="1"/>
  <c r="B5" i="12"/>
  <c r="A5" i="12"/>
  <c r="D523" i="12"/>
  <c r="C523" i="12"/>
  <c r="G523" i="12" s="1"/>
  <c r="B523" i="12"/>
  <c r="A523" i="12"/>
  <c r="D522" i="12"/>
  <c r="C522" i="12"/>
  <c r="G522" i="12" s="1"/>
  <c r="B522" i="12"/>
  <c r="A522" i="12"/>
  <c r="D521" i="12"/>
  <c r="C521" i="12"/>
  <c r="G521" i="12" s="1"/>
  <c r="B521" i="12"/>
  <c r="A521" i="12"/>
  <c r="D520" i="12"/>
  <c r="C520" i="12"/>
  <c r="G520" i="12" s="1"/>
  <c r="B520" i="12"/>
  <c r="A520" i="12"/>
  <c r="D519" i="12"/>
  <c r="C519" i="12"/>
  <c r="G519" i="12" s="1"/>
  <c r="B519" i="12"/>
  <c r="A519" i="12"/>
  <c r="D518" i="12"/>
  <c r="C518" i="12"/>
  <c r="G518" i="12" s="1"/>
  <c r="B518" i="12"/>
  <c r="A518" i="12"/>
  <c r="D517" i="12"/>
  <c r="C517" i="12"/>
  <c r="G517" i="12" s="1"/>
  <c r="B517" i="12"/>
  <c r="A517" i="12"/>
  <c r="D516" i="12"/>
  <c r="C516" i="12"/>
  <c r="G516" i="12" s="1"/>
  <c r="B516" i="12"/>
  <c r="A516" i="12"/>
  <c r="D515" i="12"/>
  <c r="C515" i="12"/>
  <c r="G515" i="12" s="1"/>
  <c r="B515" i="12"/>
  <c r="A515" i="12"/>
  <c r="D514" i="12"/>
  <c r="C514" i="12"/>
  <c r="G514" i="12" s="1"/>
  <c r="B514" i="12"/>
  <c r="A514" i="12"/>
  <c r="D513" i="12"/>
  <c r="C513" i="12"/>
  <c r="G513" i="12" s="1"/>
  <c r="B513" i="12"/>
  <c r="A513" i="12"/>
  <c r="D512" i="12"/>
  <c r="C512" i="12"/>
  <c r="G512" i="12" s="1"/>
  <c r="B512" i="12"/>
  <c r="A512" i="12"/>
  <c r="D511" i="12"/>
  <c r="C511" i="12"/>
  <c r="G511" i="12" s="1"/>
  <c r="B511" i="12"/>
  <c r="A511" i="12"/>
  <c r="D510" i="12"/>
  <c r="C510" i="12"/>
  <c r="G510" i="12" s="1"/>
  <c r="B510" i="12"/>
  <c r="A510" i="12"/>
  <c r="D509" i="12"/>
  <c r="C509" i="12"/>
  <c r="G509" i="12" s="1"/>
  <c r="B509" i="12"/>
  <c r="A509" i="12"/>
  <c r="D508" i="12"/>
  <c r="C508" i="12"/>
  <c r="G508" i="12" s="1"/>
  <c r="B508" i="12"/>
  <c r="A508" i="12"/>
  <c r="D507" i="12"/>
  <c r="C507" i="12"/>
  <c r="G507" i="12" s="1"/>
  <c r="B507" i="12"/>
  <c r="A507" i="12"/>
  <c r="D506" i="12"/>
  <c r="C506" i="12"/>
  <c r="G506" i="12" s="1"/>
  <c r="B506" i="12"/>
  <c r="A506" i="12"/>
  <c r="D505" i="12"/>
  <c r="C505" i="12"/>
  <c r="G505" i="12" s="1"/>
  <c r="B505" i="12"/>
  <c r="A505" i="12"/>
  <c r="D504" i="12"/>
  <c r="C504" i="12"/>
  <c r="G504" i="12" s="1"/>
  <c r="B504" i="12"/>
  <c r="A504" i="12"/>
  <c r="D503" i="12"/>
  <c r="C503" i="12"/>
  <c r="G503" i="12" s="1"/>
  <c r="B503" i="12"/>
  <c r="A503" i="12"/>
  <c r="D502" i="12"/>
  <c r="C502" i="12"/>
  <c r="G502" i="12" s="1"/>
  <c r="B502" i="12"/>
  <c r="A502" i="12"/>
  <c r="D501" i="12"/>
  <c r="C501" i="12"/>
  <c r="G501" i="12" s="1"/>
  <c r="B501" i="12"/>
  <c r="A501" i="12"/>
  <c r="D500" i="12"/>
  <c r="C500" i="12"/>
  <c r="G500" i="12" s="1"/>
  <c r="B500" i="12"/>
  <c r="A500" i="12"/>
  <c r="D499" i="12"/>
  <c r="C499" i="12"/>
  <c r="G499" i="12" s="1"/>
  <c r="B499" i="12"/>
  <c r="A499" i="12"/>
  <c r="D498" i="12"/>
  <c r="C498" i="12"/>
  <c r="G498" i="12" s="1"/>
  <c r="B498" i="12"/>
  <c r="A498" i="12"/>
  <c r="D497" i="12"/>
  <c r="C497" i="12"/>
  <c r="G497" i="12" s="1"/>
  <c r="B497" i="12"/>
  <c r="A497" i="12"/>
  <c r="D496" i="12"/>
  <c r="C496" i="12"/>
  <c r="G496" i="12" s="1"/>
  <c r="B496" i="12"/>
  <c r="A496" i="12"/>
  <c r="D495" i="12"/>
  <c r="C495" i="12"/>
  <c r="G495" i="12" s="1"/>
  <c r="B495" i="12"/>
  <c r="A495" i="12"/>
  <c r="D494" i="12"/>
  <c r="C494" i="12"/>
  <c r="G494" i="12" s="1"/>
  <c r="B494" i="12"/>
  <c r="A494" i="12"/>
  <c r="D493" i="12"/>
  <c r="C493" i="12"/>
  <c r="G493" i="12" s="1"/>
  <c r="B493" i="12"/>
  <c r="A493" i="12"/>
  <c r="D492" i="12"/>
  <c r="C492" i="12"/>
  <c r="G492" i="12" s="1"/>
  <c r="B492" i="12"/>
  <c r="A492" i="12"/>
  <c r="D491" i="12"/>
  <c r="C491" i="12"/>
  <c r="G491" i="12" s="1"/>
  <c r="B491" i="12"/>
  <c r="A491" i="12"/>
  <c r="D490" i="12"/>
  <c r="C490" i="12"/>
  <c r="G490" i="12" s="1"/>
  <c r="B490" i="12"/>
  <c r="A490" i="12"/>
  <c r="D489" i="12"/>
  <c r="C489" i="12"/>
  <c r="G489" i="12" s="1"/>
  <c r="B489" i="12"/>
  <c r="A489" i="12"/>
  <c r="D488" i="12"/>
  <c r="C488" i="12"/>
  <c r="G488" i="12" s="1"/>
  <c r="B488" i="12"/>
  <c r="A488" i="12"/>
  <c r="D487" i="12"/>
  <c r="C487" i="12"/>
  <c r="G487" i="12" s="1"/>
  <c r="B487" i="12"/>
  <c r="A487" i="12"/>
  <c r="D486" i="12"/>
  <c r="C486" i="12"/>
  <c r="G486" i="12" s="1"/>
  <c r="B486" i="12"/>
  <c r="A486" i="12"/>
  <c r="D485" i="12"/>
  <c r="C485" i="12"/>
  <c r="G485" i="12" s="1"/>
  <c r="B485" i="12"/>
  <c r="A485" i="12"/>
  <c r="D484" i="12"/>
  <c r="C484" i="12"/>
  <c r="G484" i="12" s="1"/>
  <c r="B484" i="12"/>
  <c r="A484" i="12"/>
  <c r="D483" i="12"/>
  <c r="C483" i="12"/>
  <c r="G483" i="12" s="1"/>
  <c r="B483" i="12"/>
  <c r="A483" i="12"/>
  <c r="D482" i="12"/>
  <c r="C482" i="12"/>
  <c r="G482" i="12" s="1"/>
  <c r="B482" i="12"/>
  <c r="A482" i="12"/>
  <c r="D481" i="12"/>
  <c r="C481" i="12"/>
  <c r="G481" i="12" s="1"/>
  <c r="B481" i="12"/>
  <c r="A481" i="12"/>
  <c r="D480" i="12"/>
  <c r="C480" i="12"/>
  <c r="G480" i="12" s="1"/>
  <c r="B480" i="12"/>
  <c r="A480" i="12"/>
  <c r="D479" i="12"/>
  <c r="C479" i="12"/>
  <c r="G479" i="12" s="1"/>
  <c r="B479" i="12"/>
  <c r="A479" i="12"/>
  <c r="D478" i="12"/>
  <c r="C478" i="12"/>
  <c r="G478" i="12" s="1"/>
  <c r="B478" i="12"/>
  <c r="A478" i="12"/>
  <c r="D477" i="12"/>
  <c r="C477" i="12"/>
  <c r="G477" i="12" s="1"/>
  <c r="B477" i="12"/>
  <c r="A477" i="12"/>
  <c r="D476" i="12"/>
  <c r="C476" i="12"/>
  <c r="G476" i="12" s="1"/>
  <c r="B476" i="12"/>
  <c r="A476" i="12"/>
  <c r="D475" i="12"/>
  <c r="C475" i="12"/>
  <c r="G475" i="12" s="1"/>
  <c r="B475" i="12"/>
  <c r="A475" i="12"/>
  <c r="D474" i="12"/>
  <c r="C474" i="12"/>
  <c r="G474" i="12" s="1"/>
  <c r="B474" i="12"/>
  <c r="A474" i="12"/>
  <c r="D473" i="12"/>
  <c r="C473" i="12"/>
  <c r="G473" i="12" s="1"/>
  <c r="B473" i="12"/>
  <c r="A473" i="12"/>
  <c r="D472" i="12"/>
  <c r="C472" i="12"/>
  <c r="G472" i="12" s="1"/>
  <c r="B472" i="12"/>
  <c r="A472" i="12"/>
  <c r="D471" i="12"/>
  <c r="C471" i="12"/>
  <c r="G471" i="12" s="1"/>
  <c r="B471" i="12"/>
  <c r="A471" i="12"/>
  <c r="D470" i="12"/>
  <c r="C470" i="12"/>
  <c r="G470" i="12" s="1"/>
  <c r="B470" i="12"/>
  <c r="A470" i="12"/>
  <c r="D469" i="12"/>
  <c r="C469" i="12"/>
  <c r="G469" i="12" s="1"/>
  <c r="B469" i="12"/>
  <c r="A469" i="12"/>
  <c r="D468" i="12"/>
  <c r="C468" i="12"/>
  <c r="G468" i="12" s="1"/>
  <c r="B468" i="12"/>
  <c r="A468" i="12"/>
  <c r="D467" i="12"/>
  <c r="C467" i="12"/>
  <c r="G467" i="12" s="1"/>
  <c r="B467" i="12"/>
  <c r="A467" i="12"/>
  <c r="D466" i="12"/>
  <c r="C466" i="12"/>
  <c r="G466" i="12" s="1"/>
  <c r="B466" i="12"/>
  <c r="A466" i="12"/>
  <c r="D465" i="12"/>
  <c r="C465" i="12"/>
  <c r="G465" i="12" s="1"/>
  <c r="B465" i="12"/>
  <c r="A465" i="12"/>
  <c r="D464" i="12"/>
  <c r="C464" i="12"/>
  <c r="G464" i="12" s="1"/>
  <c r="B464" i="12"/>
  <c r="A464" i="12"/>
  <c r="D463" i="12"/>
  <c r="C463" i="12"/>
  <c r="G463" i="12" s="1"/>
  <c r="B463" i="12"/>
  <c r="A463" i="12"/>
  <c r="D462" i="12"/>
  <c r="C462" i="12"/>
  <c r="G462" i="12" s="1"/>
  <c r="B462" i="12"/>
  <c r="A462" i="12"/>
  <c r="D461" i="12"/>
  <c r="C461" i="12"/>
  <c r="G461" i="12" s="1"/>
  <c r="B461" i="12"/>
  <c r="A461" i="12"/>
  <c r="D460" i="12"/>
  <c r="C460" i="12"/>
  <c r="G460" i="12" s="1"/>
  <c r="B460" i="12"/>
  <c r="A460" i="12"/>
  <c r="D459" i="12"/>
  <c r="C459" i="12"/>
  <c r="G459" i="12" s="1"/>
  <c r="B459" i="12"/>
  <c r="A459" i="12"/>
  <c r="D458" i="12"/>
  <c r="C458" i="12"/>
  <c r="G458" i="12" s="1"/>
  <c r="B458" i="12"/>
  <c r="A458" i="12"/>
  <c r="D457" i="12"/>
  <c r="C457" i="12"/>
  <c r="G457" i="12" s="1"/>
  <c r="B457" i="12"/>
  <c r="A457" i="12"/>
  <c r="D456" i="12"/>
  <c r="C456" i="12"/>
  <c r="G456" i="12" s="1"/>
  <c r="B456" i="12"/>
  <c r="A456" i="12"/>
  <c r="D455" i="12"/>
  <c r="C455" i="12"/>
  <c r="G455" i="12" s="1"/>
  <c r="B455" i="12"/>
  <c r="A455" i="12"/>
  <c r="D454" i="12"/>
  <c r="C454" i="12"/>
  <c r="G454" i="12" s="1"/>
  <c r="B454" i="12"/>
  <c r="A454" i="12"/>
  <c r="D453" i="12"/>
  <c r="C453" i="12"/>
  <c r="G453" i="12" s="1"/>
  <c r="B453" i="12"/>
  <c r="A453" i="12"/>
  <c r="D452" i="12"/>
  <c r="C452" i="12"/>
  <c r="G452" i="12" s="1"/>
  <c r="B452" i="12"/>
  <c r="A452" i="12"/>
  <c r="D451" i="12"/>
  <c r="C451" i="12"/>
  <c r="G451" i="12" s="1"/>
  <c r="B451" i="12"/>
  <c r="A451" i="12"/>
  <c r="D450" i="12"/>
  <c r="C450" i="12"/>
  <c r="G450" i="12" s="1"/>
  <c r="B450" i="12"/>
  <c r="A450" i="12"/>
  <c r="D449" i="12"/>
  <c r="C449" i="12"/>
  <c r="G449" i="12" s="1"/>
  <c r="B449" i="12"/>
  <c r="A449" i="12"/>
  <c r="D448" i="12"/>
  <c r="C448" i="12"/>
  <c r="G448" i="12" s="1"/>
  <c r="B448" i="12"/>
  <c r="A448" i="12"/>
  <c r="D447" i="12"/>
  <c r="C447" i="12"/>
  <c r="G447" i="12" s="1"/>
  <c r="B447" i="12"/>
  <c r="A447" i="12"/>
  <c r="D446" i="12"/>
  <c r="C446" i="12"/>
  <c r="G446" i="12" s="1"/>
  <c r="B446" i="12"/>
  <c r="A446" i="12"/>
  <c r="D445" i="12"/>
  <c r="C445" i="12"/>
  <c r="G445" i="12" s="1"/>
  <c r="B445" i="12"/>
  <c r="A445" i="12"/>
  <c r="D444" i="12"/>
  <c r="C444" i="12"/>
  <c r="G444" i="12" s="1"/>
  <c r="B444" i="12"/>
  <c r="A444" i="12"/>
  <c r="D443" i="12"/>
  <c r="C443" i="12"/>
  <c r="G443" i="12" s="1"/>
  <c r="B443" i="12"/>
  <c r="A443" i="12"/>
  <c r="D442" i="12"/>
  <c r="C442" i="12"/>
  <c r="G442" i="12" s="1"/>
  <c r="B442" i="12"/>
  <c r="A442" i="12"/>
  <c r="D441" i="12"/>
  <c r="C441" i="12"/>
  <c r="G441" i="12" s="1"/>
  <c r="B441" i="12"/>
  <c r="A441" i="12"/>
  <c r="D440" i="12"/>
  <c r="C440" i="12"/>
  <c r="G440" i="12" s="1"/>
  <c r="B440" i="12"/>
  <c r="A440" i="12"/>
  <c r="D439" i="12"/>
  <c r="C439" i="12"/>
  <c r="G439" i="12" s="1"/>
  <c r="B439" i="12"/>
  <c r="A439" i="12"/>
  <c r="D438" i="12"/>
  <c r="C438" i="12"/>
  <c r="G438" i="12" s="1"/>
  <c r="B438" i="12"/>
  <c r="A438" i="12"/>
  <c r="D437" i="12"/>
  <c r="C437" i="12"/>
  <c r="G437" i="12" s="1"/>
  <c r="B437" i="12"/>
  <c r="A437" i="12"/>
  <c r="D436" i="12"/>
  <c r="C436" i="12"/>
  <c r="G436" i="12" s="1"/>
  <c r="B436" i="12"/>
  <c r="A436" i="12"/>
  <c r="D435" i="12"/>
  <c r="C435" i="12"/>
  <c r="G435" i="12" s="1"/>
  <c r="B435" i="12"/>
  <c r="A435" i="12"/>
  <c r="D434" i="12"/>
  <c r="C434" i="12"/>
  <c r="G434" i="12" s="1"/>
  <c r="B434" i="12"/>
  <c r="A434" i="12"/>
  <c r="D433" i="12"/>
  <c r="C433" i="12"/>
  <c r="G433" i="12" s="1"/>
  <c r="B433" i="12"/>
  <c r="A433" i="12"/>
  <c r="D432" i="12"/>
  <c r="C432" i="12"/>
  <c r="G432" i="12" s="1"/>
  <c r="B432" i="12"/>
  <c r="A432" i="12"/>
  <c r="D431" i="12"/>
  <c r="C431" i="12"/>
  <c r="G431" i="12" s="1"/>
  <c r="B431" i="12"/>
  <c r="A431" i="12"/>
  <c r="D430" i="12"/>
  <c r="C430" i="12"/>
  <c r="G430" i="12" s="1"/>
  <c r="B430" i="12"/>
  <c r="A430" i="12"/>
  <c r="D429" i="12"/>
  <c r="C429" i="12"/>
  <c r="G429" i="12" s="1"/>
  <c r="B429" i="12"/>
  <c r="A429" i="12"/>
  <c r="D428" i="12"/>
  <c r="C428" i="12"/>
  <c r="G428" i="12" s="1"/>
  <c r="B428" i="12"/>
  <c r="A428" i="12"/>
  <c r="D427" i="12"/>
  <c r="C427" i="12"/>
  <c r="G427" i="12" s="1"/>
  <c r="B427" i="12"/>
  <c r="A427" i="12"/>
  <c r="D426" i="12"/>
  <c r="C426" i="12"/>
  <c r="G426" i="12" s="1"/>
  <c r="B426" i="12"/>
  <c r="A426" i="12"/>
  <c r="D425" i="12"/>
  <c r="C425" i="12"/>
  <c r="G425" i="12" s="1"/>
  <c r="B425" i="12"/>
  <c r="A425" i="12"/>
  <c r="D424" i="12"/>
  <c r="C424" i="12"/>
  <c r="G424" i="12" s="1"/>
  <c r="B424" i="12"/>
  <c r="A424" i="12"/>
  <c r="D423" i="12"/>
  <c r="C423" i="12"/>
  <c r="G423" i="12" s="1"/>
  <c r="B423" i="12"/>
  <c r="A423" i="12"/>
  <c r="D422" i="12"/>
  <c r="C422" i="12"/>
  <c r="G422" i="12" s="1"/>
  <c r="B422" i="12"/>
  <c r="A422" i="12"/>
  <c r="D421" i="12"/>
  <c r="C421" i="12"/>
  <c r="G421" i="12" s="1"/>
  <c r="B421" i="12"/>
  <c r="A421" i="12"/>
  <c r="D420" i="12"/>
  <c r="C420" i="12"/>
  <c r="G420" i="12" s="1"/>
  <c r="B420" i="12"/>
  <c r="A420" i="12"/>
  <c r="D419" i="12"/>
  <c r="C419" i="12"/>
  <c r="G419" i="12" s="1"/>
  <c r="B419" i="12"/>
  <c r="A419" i="12"/>
  <c r="D418" i="12"/>
  <c r="C418" i="12"/>
  <c r="G418" i="12" s="1"/>
  <c r="B418" i="12"/>
  <c r="A418" i="12"/>
  <c r="D417" i="12"/>
  <c r="C417" i="12"/>
  <c r="G417" i="12" s="1"/>
  <c r="B417" i="12"/>
  <c r="A417" i="12"/>
  <c r="D416" i="12"/>
  <c r="C416" i="12"/>
  <c r="G416" i="12" s="1"/>
  <c r="B416" i="12"/>
  <c r="A416" i="12"/>
  <c r="D415" i="12"/>
  <c r="C415" i="12"/>
  <c r="G415" i="12" s="1"/>
  <c r="B415" i="12"/>
  <c r="A415" i="12"/>
  <c r="D414" i="12"/>
  <c r="C414" i="12"/>
  <c r="G414" i="12" s="1"/>
  <c r="B414" i="12"/>
  <c r="A414" i="12"/>
  <c r="D413" i="12"/>
  <c r="C413" i="12"/>
  <c r="G413" i="12" s="1"/>
  <c r="B413" i="12"/>
  <c r="A413" i="12"/>
  <c r="D412" i="12"/>
  <c r="C412" i="12"/>
  <c r="G412" i="12" s="1"/>
  <c r="B412" i="12"/>
  <c r="A412" i="12"/>
  <c r="D411" i="12"/>
  <c r="C411" i="12"/>
  <c r="G411" i="12" s="1"/>
  <c r="B411" i="12"/>
  <c r="A411" i="12"/>
  <c r="D410" i="12"/>
  <c r="C410" i="12"/>
  <c r="G410" i="12" s="1"/>
  <c r="B410" i="12"/>
  <c r="A410" i="12"/>
  <c r="D409" i="12"/>
  <c r="C409" i="12"/>
  <c r="G409" i="12" s="1"/>
  <c r="B409" i="12"/>
  <c r="A409" i="12"/>
  <c r="D408" i="12"/>
  <c r="C408" i="12"/>
  <c r="G408" i="12" s="1"/>
  <c r="B408" i="12"/>
  <c r="A408" i="12"/>
  <c r="D407" i="12"/>
  <c r="C407" i="12"/>
  <c r="G407" i="12" s="1"/>
  <c r="B407" i="12"/>
  <c r="A407" i="12"/>
  <c r="D406" i="12"/>
  <c r="C406" i="12"/>
  <c r="G406" i="12" s="1"/>
  <c r="B406" i="12"/>
  <c r="A406" i="12"/>
  <c r="D405" i="12"/>
  <c r="C405" i="12"/>
  <c r="G405" i="12" s="1"/>
  <c r="B405" i="12"/>
  <c r="A405" i="12"/>
  <c r="D404" i="12"/>
  <c r="C404" i="12"/>
  <c r="G404" i="12" s="1"/>
  <c r="B404" i="12"/>
  <c r="A404" i="12"/>
  <c r="D403" i="12"/>
  <c r="C403" i="12"/>
  <c r="G403" i="12" s="1"/>
  <c r="B403" i="12"/>
  <c r="A403" i="12"/>
  <c r="D402" i="12"/>
  <c r="C402" i="12"/>
  <c r="G402" i="12" s="1"/>
  <c r="B402" i="12"/>
  <c r="A402" i="12"/>
  <c r="D401" i="12"/>
  <c r="C401" i="12"/>
  <c r="G401" i="12" s="1"/>
  <c r="B401" i="12"/>
  <c r="A401" i="12"/>
  <c r="D400" i="12"/>
  <c r="C400" i="12"/>
  <c r="G400" i="12" s="1"/>
  <c r="B400" i="12"/>
  <c r="A400" i="12"/>
  <c r="D399" i="12"/>
  <c r="C399" i="12"/>
  <c r="G399" i="12" s="1"/>
  <c r="B399" i="12"/>
  <c r="A399" i="12"/>
  <c r="D398" i="12"/>
  <c r="C398" i="12"/>
  <c r="G398" i="12" s="1"/>
  <c r="B398" i="12"/>
  <c r="A398" i="12"/>
  <c r="D397" i="12"/>
  <c r="C397" i="12"/>
  <c r="G397" i="12" s="1"/>
  <c r="B397" i="12"/>
  <c r="A397" i="12"/>
  <c r="D396" i="12"/>
  <c r="C396" i="12"/>
  <c r="G396" i="12" s="1"/>
  <c r="B396" i="12"/>
  <c r="A396" i="12"/>
  <c r="D395" i="12"/>
  <c r="C395" i="12"/>
  <c r="G395" i="12" s="1"/>
  <c r="B395" i="12"/>
  <c r="A395" i="12"/>
  <c r="D394" i="12"/>
  <c r="C394" i="12"/>
  <c r="G394" i="12" s="1"/>
  <c r="B394" i="12"/>
  <c r="A394" i="12"/>
  <c r="D393" i="12"/>
  <c r="C393" i="12"/>
  <c r="G393" i="12" s="1"/>
  <c r="B393" i="12"/>
  <c r="A393" i="12"/>
  <c r="D392" i="12"/>
  <c r="C392" i="12"/>
  <c r="G392" i="12" s="1"/>
  <c r="B392" i="12"/>
  <c r="A392" i="12"/>
  <c r="D391" i="12"/>
  <c r="C391" i="12"/>
  <c r="G391" i="12" s="1"/>
  <c r="B391" i="12"/>
  <c r="A391" i="12"/>
  <c r="D390" i="12"/>
  <c r="C390" i="12"/>
  <c r="G390" i="12" s="1"/>
  <c r="B390" i="12"/>
  <c r="A390" i="12"/>
  <c r="D389" i="12"/>
  <c r="C389" i="12"/>
  <c r="G389" i="12" s="1"/>
  <c r="B389" i="12"/>
  <c r="A389" i="12"/>
  <c r="D388" i="12"/>
  <c r="C388" i="12"/>
  <c r="G388" i="12" s="1"/>
  <c r="B388" i="12"/>
  <c r="A388" i="12"/>
  <c r="D387" i="12"/>
  <c r="C387" i="12"/>
  <c r="G387" i="12" s="1"/>
  <c r="B387" i="12"/>
  <c r="A387" i="12"/>
  <c r="D386" i="12"/>
  <c r="C386" i="12"/>
  <c r="G386" i="12" s="1"/>
  <c r="B386" i="12"/>
  <c r="A386" i="12"/>
  <c r="D385" i="12"/>
  <c r="C385" i="12"/>
  <c r="G385" i="12" s="1"/>
  <c r="B385" i="12"/>
  <c r="A385" i="12"/>
  <c r="D384" i="12"/>
  <c r="C384" i="12"/>
  <c r="G384" i="12" s="1"/>
  <c r="B384" i="12"/>
  <c r="A384" i="12"/>
  <c r="D383" i="12"/>
  <c r="C383" i="12"/>
  <c r="G383" i="12" s="1"/>
  <c r="B383" i="12"/>
  <c r="A383" i="12"/>
  <c r="D382" i="12"/>
  <c r="C382" i="12"/>
  <c r="G382" i="12" s="1"/>
  <c r="B382" i="12"/>
  <c r="A382" i="12"/>
  <c r="D381" i="12"/>
  <c r="C381" i="12"/>
  <c r="G381" i="12" s="1"/>
  <c r="B381" i="12"/>
  <c r="A381" i="12"/>
  <c r="D380" i="12"/>
  <c r="C380" i="12"/>
  <c r="G380" i="12" s="1"/>
  <c r="B380" i="12"/>
  <c r="A380" i="12"/>
  <c r="D379" i="12"/>
  <c r="C379" i="12"/>
  <c r="G379" i="12" s="1"/>
  <c r="B379" i="12"/>
  <c r="A379" i="12"/>
  <c r="D378" i="12"/>
  <c r="C378" i="12"/>
  <c r="G378" i="12" s="1"/>
  <c r="B378" i="12"/>
  <c r="A378" i="12"/>
  <c r="D377" i="12"/>
  <c r="C377" i="12"/>
  <c r="G377" i="12" s="1"/>
  <c r="B377" i="12"/>
  <c r="A377" i="12"/>
  <c r="D376" i="12"/>
  <c r="C376" i="12"/>
  <c r="G376" i="12" s="1"/>
  <c r="B376" i="12"/>
  <c r="A376" i="12"/>
  <c r="D375" i="12"/>
  <c r="C375" i="12"/>
  <c r="G375" i="12" s="1"/>
  <c r="B375" i="12"/>
  <c r="A375" i="12"/>
  <c r="D374" i="12"/>
  <c r="C374" i="12"/>
  <c r="G374" i="12" s="1"/>
  <c r="B374" i="12"/>
  <c r="A374" i="12"/>
  <c r="D373" i="12"/>
  <c r="C373" i="12"/>
  <c r="G373" i="12" s="1"/>
  <c r="B373" i="12"/>
  <c r="A373" i="12"/>
  <c r="D372" i="12"/>
  <c r="C372" i="12"/>
  <c r="G372" i="12" s="1"/>
  <c r="B372" i="12"/>
  <c r="A372" i="12"/>
  <c r="D371" i="12"/>
  <c r="C371" i="12"/>
  <c r="G371" i="12" s="1"/>
  <c r="B371" i="12"/>
  <c r="A371" i="12"/>
  <c r="D370" i="12"/>
  <c r="C370" i="12"/>
  <c r="G370" i="12" s="1"/>
  <c r="B370" i="12"/>
  <c r="A370" i="12"/>
  <c r="D369" i="12"/>
  <c r="C369" i="12"/>
  <c r="G369" i="12" s="1"/>
  <c r="B369" i="12"/>
  <c r="A369" i="12"/>
  <c r="F369" i="12" s="1"/>
  <c r="D368" i="12"/>
  <c r="C368" i="12"/>
  <c r="G368" i="12" s="1"/>
  <c r="B368" i="12"/>
  <c r="A368" i="12"/>
  <c r="D367" i="12"/>
  <c r="C367" i="12"/>
  <c r="G367" i="12" s="1"/>
  <c r="B367" i="12"/>
  <c r="A367" i="12"/>
  <c r="D366" i="12"/>
  <c r="C366" i="12"/>
  <c r="G366" i="12" s="1"/>
  <c r="B366" i="12"/>
  <c r="A366" i="12"/>
  <c r="D365" i="12"/>
  <c r="C365" i="12"/>
  <c r="G365" i="12" s="1"/>
  <c r="B365" i="12"/>
  <c r="A365" i="12"/>
  <c r="D364" i="12"/>
  <c r="C364" i="12"/>
  <c r="G364" i="12" s="1"/>
  <c r="B364" i="12"/>
  <c r="A364" i="12"/>
  <c r="D363" i="12"/>
  <c r="C363" i="12"/>
  <c r="G363" i="12" s="1"/>
  <c r="B363" i="12"/>
  <c r="A363" i="12"/>
  <c r="D362" i="12"/>
  <c r="C362" i="12"/>
  <c r="G362" i="12" s="1"/>
  <c r="B362" i="12"/>
  <c r="A362" i="12"/>
  <c r="D361" i="12"/>
  <c r="C361" i="12"/>
  <c r="G361" i="12" s="1"/>
  <c r="B361" i="12"/>
  <c r="A361" i="12"/>
  <c r="D360" i="12"/>
  <c r="C360" i="12"/>
  <c r="G360" i="12" s="1"/>
  <c r="B360" i="12"/>
  <c r="A360" i="12"/>
  <c r="D359" i="12"/>
  <c r="C359" i="12"/>
  <c r="G359" i="12" s="1"/>
  <c r="B359" i="12"/>
  <c r="A359" i="12"/>
  <c r="D358" i="12"/>
  <c r="C358" i="12"/>
  <c r="G358" i="12" s="1"/>
  <c r="B358" i="12"/>
  <c r="A358" i="12"/>
  <c r="D357" i="12"/>
  <c r="C357" i="12"/>
  <c r="G357" i="12" s="1"/>
  <c r="B357" i="12"/>
  <c r="A357" i="12"/>
  <c r="D356" i="12"/>
  <c r="C356" i="12"/>
  <c r="G356" i="12" s="1"/>
  <c r="B356" i="12"/>
  <c r="A356" i="12"/>
  <c r="D355" i="12"/>
  <c r="C355" i="12"/>
  <c r="G355" i="12" s="1"/>
  <c r="B355" i="12"/>
  <c r="A355" i="12"/>
  <c r="D354" i="12"/>
  <c r="C354" i="12"/>
  <c r="G354" i="12" s="1"/>
  <c r="B354" i="12"/>
  <c r="A354" i="12"/>
  <c r="D353" i="12"/>
  <c r="C353" i="12"/>
  <c r="G353" i="12" s="1"/>
  <c r="B353" i="12"/>
  <c r="A353" i="12"/>
  <c r="F353" i="12" s="1"/>
  <c r="D352" i="12"/>
  <c r="C352" i="12"/>
  <c r="G352" i="12" s="1"/>
  <c r="B352" i="12"/>
  <c r="A352" i="12"/>
  <c r="D351" i="12"/>
  <c r="C351" i="12"/>
  <c r="G351" i="12" s="1"/>
  <c r="B351" i="12"/>
  <c r="A351" i="12"/>
  <c r="D350" i="12"/>
  <c r="C350" i="12"/>
  <c r="G350" i="12" s="1"/>
  <c r="B350" i="12"/>
  <c r="A350" i="12"/>
  <c r="D349" i="12"/>
  <c r="C349" i="12"/>
  <c r="G349" i="12" s="1"/>
  <c r="B349" i="12"/>
  <c r="A349" i="12"/>
  <c r="D348" i="12"/>
  <c r="C348" i="12"/>
  <c r="G348" i="12" s="1"/>
  <c r="B348" i="12"/>
  <c r="A348" i="12"/>
  <c r="D347" i="12"/>
  <c r="C347" i="12"/>
  <c r="G347" i="12" s="1"/>
  <c r="B347" i="12"/>
  <c r="A347" i="12"/>
  <c r="D346" i="12"/>
  <c r="C346" i="12"/>
  <c r="G346" i="12" s="1"/>
  <c r="B346" i="12"/>
  <c r="A346" i="12"/>
  <c r="D345" i="12"/>
  <c r="C345" i="12"/>
  <c r="G345" i="12" s="1"/>
  <c r="B345" i="12"/>
  <c r="A345" i="12"/>
  <c r="F345" i="12" s="1"/>
  <c r="D344" i="12"/>
  <c r="C344" i="12"/>
  <c r="G344" i="12" s="1"/>
  <c r="B344" i="12"/>
  <c r="A344" i="12"/>
  <c r="D343" i="12"/>
  <c r="C343" i="12"/>
  <c r="G343" i="12" s="1"/>
  <c r="B343" i="12"/>
  <c r="A343" i="12"/>
  <c r="D342" i="12"/>
  <c r="C342" i="12"/>
  <c r="G342" i="12" s="1"/>
  <c r="B342" i="12"/>
  <c r="A342" i="12"/>
  <c r="D341" i="12"/>
  <c r="C341" i="12"/>
  <c r="G341" i="12" s="1"/>
  <c r="B341" i="12"/>
  <c r="A341" i="12"/>
  <c r="F341" i="12" s="1"/>
  <c r="D340" i="12"/>
  <c r="C340" i="12"/>
  <c r="G340" i="12" s="1"/>
  <c r="B340" i="12"/>
  <c r="A340" i="12"/>
  <c r="D339" i="12"/>
  <c r="C339" i="12"/>
  <c r="G339" i="12" s="1"/>
  <c r="B339" i="12"/>
  <c r="A339" i="12"/>
  <c r="D338" i="12"/>
  <c r="C338" i="12"/>
  <c r="G338" i="12" s="1"/>
  <c r="B338" i="12"/>
  <c r="A338" i="12"/>
  <c r="D337" i="12"/>
  <c r="C337" i="12"/>
  <c r="G337" i="12" s="1"/>
  <c r="B337" i="12"/>
  <c r="A337" i="12"/>
  <c r="F337" i="12" s="1"/>
  <c r="D336" i="12"/>
  <c r="C336" i="12"/>
  <c r="G336" i="12" s="1"/>
  <c r="B336" i="12"/>
  <c r="A336" i="12"/>
  <c r="D335" i="12"/>
  <c r="C335" i="12"/>
  <c r="G335" i="12" s="1"/>
  <c r="B335" i="12"/>
  <c r="A335" i="12"/>
  <c r="D334" i="12"/>
  <c r="C334" i="12"/>
  <c r="G334" i="12" s="1"/>
  <c r="B334" i="12"/>
  <c r="A334" i="12"/>
  <c r="D333" i="12"/>
  <c r="C333" i="12"/>
  <c r="G333" i="12" s="1"/>
  <c r="B333" i="12"/>
  <c r="A333" i="12"/>
  <c r="D332" i="12"/>
  <c r="C332" i="12"/>
  <c r="G332" i="12" s="1"/>
  <c r="B332" i="12"/>
  <c r="A332" i="12"/>
  <c r="D331" i="12"/>
  <c r="C331" i="12"/>
  <c r="G331" i="12" s="1"/>
  <c r="B331" i="12"/>
  <c r="A331" i="12"/>
  <c r="D330" i="12"/>
  <c r="C330" i="12"/>
  <c r="G330" i="12" s="1"/>
  <c r="B330" i="12"/>
  <c r="A330" i="12"/>
  <c r="D329" i="12"/>
  <c r="C329" i="12"/>
  <c r="G329" i="12" s="1"/>
  <c r="B329" i="12"/>
  <c r="A329" i="12"/>
  <c r="F329" i="12" s="1"/>
  <c r="D328" i="12"/>
  <c r="C328" i="12"/>
  <c r="G328" i="12" s="1"/>
  <c r="B328" i="12"/>
  <c r="A328" i="12"/>
  <c r="D327" i="12"/>
  <c r="C327" i="12"/>
  <c r="G327" i="12" s="1"/>
  <c r="B327" i="12"/>
  <c r="A327" i="12"/>
  <c r="D326" i="12"/>
  <c r="C326" i="12"/>
  <c r="G326" i="12" s="1"/>
  <c r="B326" i="12"/>
  <c r="A326" i="12"/>
  <c r="D325" i="12"/>
  <c r="C325" i="12"/>
  <c r="G325" i="12" s="1"/>
  <c r="B325" i="12"/>
  <c r="A325" i="12"/>
  <c r="D324" i="12"/>
  <c r="C324" i="12"/>
  <c r="G324" i="12" s="1"/>
  <c r="B324" i="12"/>
  <c r="A324" i="12"/>
  <c r="D323" i="12"/>
  <c r="C323" i="12"/>
  <c r="G323" i="12" s="1"/>
  <c r="B323" i="12"/>
  <c r="A323" i="12"/>
  <c r="D322" i="12"/>
  <c r="C322" i="12"/>
  <c r="G322" i="12" s="1"/>
  <c r="B322" i="12"/>
  <c r="A322" i="12"/>
  <c r="D321" i="12"/>
  <c r="C321" i="12"/>
  <c r="G321" i="12" s="1"/>
  <c r="B321" i="12"/>
  <c r="A321" i="12"/>
  <c r="F321" i="12" s="1"/>
  <c r="D320" i="12"/>
  <c r="C320" i="12"/>
  <c r="G320" i="12" s="1"/>
  <c r="B320" i="12"/>
  <c r="A320" i="12"/>
  <c r="D319" i="12"/>
  <c r="C319" i="12"/>
  <c r="G319" i="12" s="1"/>
  <c r="B319" i="12"/>
  <c r="A319" i="12"/>
  <c r="D318" i="12"/>
  <c r="C318" i="12"/>
  <c r="G318" i="12" s="1"/>
  <c r="B318" i="12"/>
  <c r="A318" i="12"/>
  <c r="D317" i="12"/>
  <c r="C317" i="12"/>
  <c r="G317" i="12" s="1"/>
  <c r="B317" i="12"/>
  <c r="A317" i="12"/>
  <c r="D316" i="12"/>
  <c r="C316" i="12"/>
  <c r="G316" i="12" s="1"/>
  <c r="B316" i="12"/>
  <c r="A316" i="12"/>
  <c r="D315" i="12"/>
  <c r="C315" i="12"/>
  <c r="G315" i="12" s="1"/>
  <c r="B315" i="12"/>
  <c r="A315" i="12"/>
  <c r="D314" i="12"/>
  <c r="C314" i="12"/>
  <c r="G314" i="12" s="1"/>
  <c r="B314" i="12"/>
  <c r="A314" i="12"/>
  <c r="D313" i="12"/>
  <c r="C313" i="12"/>
  <c r="G313" i="12" s="1"/>
  <c r="B313" i="12"/>
  <c r="A313" i="12"/>
  <c r="F313" i="12" s="1"/>
  <c r="D312" i="12"/>
  <c r="C312" i="12"/>
  <c r="G312" i="12" s="1"/>
  <c r="B312" i="12"/>
  <c r="A312" i="12"/>
  <c r="D311" i="12"/>
  <c r="C311" i="12"/>
  <c r="G311" i="12" s="1"/>
  <c r="B311" i="12"/>
  <c r="A311" i="12"/>
  <c r="D310" i="12"/>
  <c r="C310" i="12"/>
  <c r="G310" i="12" s="1"/>
  <c r="B310" i="12"/>
  <c r="A310" i="12"/>
  <c r="D309" i="12"/>
  <c r="C309" i="12"/>
  <c r="G309" i="12" s="1"/>
  <c r="B309" i="12"/>
  <c r="A309" i="12"/>
  <c r="F309" i="12" s="1"/>
  <c r="D308" i="12"/>
  <c r="C308" i="12"/>
  <c r="G308" i="12" s="1"/>
  <c r="B308" i="12"/>
  <c r="A308" i="12"/>
  <c r="D307" i="12"/>
  <c r="C307" i="12"/>
  <c r="G307" i="12" s="1"/>
  <c r="B307" i="12"/>
  <c r="A307" i="12"/>
  <c r="D306" i="12"/>
  <c r="C306" i="12"/>
  <c r="G306" i="12" s="1"/>
  <c r="B306" i="12"/>
  <c r="A306" i="12"/>
  <c r="D305" i="12"/>
  <c r="C305" i="12"/>
  <c r="G305" i="12" s="1"/>
  <c r="B305" i="12"/>
  <c r="A305" i="12"/>
  <c r="D304" i="12"/>
  <c r="C304" i="12"/>
  <c r="G304" i="12" s="1"/>
  <c r="B304" i="12"/>
  <c r="A304" i="12"/>
  <c r="D303" i="12"/>
  <c r="C303" i="12"/>
  <c r="G303" i="12" s="1"/>
  <c r="B303" i="12"/>
  <c r="A303" i="12"/>
  <c r="D302" i="12"/>
  <c r="C302" i="12"/>
  <c r="G302" i="12" s="1"/>
  <c r="B302" i="12"/>
  <c r="A302" i="12"/>
  <c r="D301" i="12"/>
  <c r="C301" i="12"/>
  <c r="G301" i="12" s="1"/>
  <c r="B301" i="12"/>
  <c r="A301" i="12"/>
  <c r="D300" i="12"/>
  <c r="C300" i="12"/>
  <c r="G300" i="12" s="1"/>
  <c r="B300" i="12"/>
  <c r="A300" i="12"/>
  <c r="D299" i="12"/>
  <c r="C299" i="12"/>
  <c r="G299" i="12" s="1"/>
  <c r="B299" i="12"/>
  <c r="A299" i="12"/>
  <c r="D298" i="12"/>
  <c r="C298" i="12"/>
  <c r="G298" i="12" s="1"/>
  <c r="B298" i="12"/>
  <c r="A298" i="12"/>
  <c r="D297" i="12"/>
  <c r="C297" i="12"/>
  <c r="G297" i="12" s="1"/>
  <c r="B297" i="12"/>
  <c r="A297" i="12"/>
  <c r="D296" i="12"/>
  <c r="C296" i="12"/>
  <c r="G296" i="12" s="1"/>
  <c r="B296" i="12"/>
  <c r="A296" i="12"/>
  <c r="D295" i="12"/>
  <c r="C295" i="12"/>
  <c r="G295" i="12" s="1"/>
  <c r="B295" i="12"/>
  <c r="A295" i="12"/>
  <c r="D294" i="12"/>
  <c r="C294" i="12"/>
  <c r="G294" i="12" s="1"/>
  <c r="B294" i="12"/>
  <c r="A294" i="12"/>
  <c r="D293" i="12"/>
  <c r="C293" i="12"/>
  <c r="G293" i="12" s="1"/>
  <c r="B293" i="12"/>
  <c r="A293" i="12"/>
  <c r="D292" i="12"/>
  <c r="C292" i="12"/>
  <c r="G292" i="12" s="1"/>
  <c r="B292" i="12"/>
  <c r="A292" i="12"/>
  <c r="D291" i="12"/>
  <c r="C291" i="12"/>
  <c r="G291" i="12" s="1"/>
  <c r="B291" i="12"/>
  <c r="A291" i="12"/>
  <c r="D290" i="12"/>
  <c r="C290" i="12"/>
  <c r="G290" i="12" s="1"/>
  <c r="B290" i="12"/>
  <c r="A290" i="12"/>
  <c r="D289" i="12"/>
  <c r="C289" i="12"/>
  <c r="G289" i="12" s="1"/>
  <c r="B289" i="12"/>
  <c r="A289" i="12"/>
  <c r="F289" i="12" s="1"/>
  <c r="D288" i="12"/>
  <c r="C288" i="12"/>
  <c r="G288" i="12" s="1"/>
  <c r="B288" i="12"/>
  <c r="A288" i="12"/>
  <c r="D287" i="12"/>
  <c r="C287" i="12"/>
  <c r="G287" i="12" s="1"/>
  <c r="B287" i="12"/>
  <c r="A287" i="12"/>
  <c r="D286" i="12"/>
  <c r="C286" i="12"/>
  <c r="G286" i="12" s="1"/>
  <c r="B286" i="12"/>
  <c r="A286" i="12"/>
  <c r="D285" i="12"/>
  <c r="C285" i="12"/>
  <c r="G285" i="12" s="1"/>
  <c r="B285" i="12"/>
  <c r="A285" i="12"/>
  <c r="D284" i="12"/>
  <c r="C284" i="12"/>
  <c r="G284" i="12" s="1"/>
  <c r="B284" i="12"/>
  <c r="A284" i="12"/>
  <c r="D283" i="12"/>
  <c r="C283" i="12"/>
  <c r="G283" i="12" s="1"/>
  <c r="B283" i="12"/>
  <c r="A283" i="12"/>
  <c r="D282" i="12"/>
  <c r="C282" i="12"/>
  <c r="G282" i="12" s="1"/>
  <c r="B282" i="12"/>
  <c r="A282" i="12"/>
  <c r="D281" i="12"/>
  <c r="C281" i="12"/>
  <c r="G281" i="12" s="1"/>
  <c r="B281" i="12"/>
  <c r="A281" i="12"/>
  <c r="D280" i="12"/>
  <c r="C280" i="12"/>
  <c r="G280" i="12" s="1"/>
  <c r="B280" i="12"/>
  <c r="A280" i="12"/>
  <c r="D279" i="12"/>
  <c r="C279" i="12"/>
  <c r="G279" i="12" s="1"/>
  <c r="B279" i="12"/>
  <c r="A279" i="12"/>
  <c r="D278" i="12"/>
  <c r="C278" i="12"/>
  <c r="G278" i="12" s="1"/>
  <c r="B278" i="12"/>
  <c r="A278" i="12"/>
  <c r="D277" i="12"/>
  <c r="C277" i="12"/>
  <c r="G277" i="12" s="1"/>
  <c r="B277" i="12"/>
  <c r="A277" i="12"/>
  <c r="D276" i="12"/>
  <c r="C276" i="12"/>
  <c r="G276" i="12" s="1"/>
  <c r="B276" i="12"/>
  <c r="A276" i="12"/>
  <c r="D275" i="12"/>
  <c r="C275" i="12"/>
  <c r="G275" i="12" s="1"/>
  <c r="B275" i="12"/>
  <c r="A275" i="12"/>
  <c r="D274" i="12"/>
  <c r="C274" i="12"/>
  <c r="G274" i="12" s="1"/>
  <c r="B274" i="12"/>
  <c r="A274" i="12"/>
  <c r="D273" i="12"/>
  <c r="C273" i="12"/>
  <c r="G273" i="12" s="1"/>
  <c r="B273" i="12"/>
  <c r="A273" i="12"/>
  <c r="D272" i="12"/>
  <c r="C272" i="12"/>
  <c r="G272" i="12" s="1"/>
  <c r="B272" i="12"/>
  <c r="A272" i="12"/>
  <c r="D271" i="12"/>
  <c r="C271" i="12"/>
  <c r="G271" i="12" s="1"/>
  <c r="B271" i="12"/>
  <c r="A271" i="12"/>
  <c r="D270" i="12"/>
  <c r="C270" i="12"/>
  <c r="G270" i="12" s="1"/>
  <c r="B270" i="12"/>
  <c r="A270" i="12"/>
  <c r="D269" i="12"/>
  <c r="C269" i="12"/>
  <c r="G269" i="12" s="1"/>
  <c r="B269" i="12"/>
  <c r="A269" i="12"/>
  <c r="F269" i="12" s="1"/>
  <c r="C63" i="7"/>
  <c r="C93" i="7"/>
  <c r="C17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49" i="7"/>
  <c r="C50" i="7"/>
  <c r="C51" i="7"/>
  <c r="C52" i="7"/>
  <c r="C54" i="7"/>
  <c r="C55" i="7"/>
  <c r="C56" i="7"/>
  <c r="C57" i="7"/>
  <c r="C58" i="7"/>
  <c r="C59" i="7"/>
  <c r="C60" i="7"/>
  <c r="C61" i="7"/>
  <c r="C62"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49" i="7"/>
  <c r="I29" i="1"/>
  <c r="J29" i="1"/>
  <c r="I30" i="1"/>
  <c r="J30" i="1"/>
  <c r="I31" i="1"/>
  <c r="J31" i="1"/>
  <c r="I32" i="1"/>
  <c r="J32" i="1"/>
  <c r="I33" i="1"/>
  <c r="J33" i="1"/>
  <c r="I34" i="1"/>
  <c r="J34" i="1"/>
  <c r="I35" i="1"/>
  <c r="J35" i="1"/>
  <c r="I36" i="1"/>
  <c r="J36" i="1"/>
  <c r="I37" i="1"/>
  <c r="J37" i="1"/>
  <c r="I38" i="1"/>
  <c r="J38" i="1"/>
  <c r="I39" i="1"/>
  <c r="J39" i="1"/>
  <c r="I40" i="1"/>
  <c r="J40" i="1"/>
  <c r="I41" i="1"/>
  <c r="J41" i="1"/>
  <c r="J28" i="1"/>
  <c r="I28" i="1"/>
  <c r="A36" i="1"/>
  <c r="B36" i="1"/>
  <c r="A37" i="1"/>
  <c r="B37" i="1"/>
  <c r="A29" i="1"/>
  <c r="B29" i="1"/>
  <c r="A30" i="1"/>
  <c r="B30" i="1"/>
  <c r="A31" i="1"/>
  <c r="B31" i="1"/>
  <c r="A32" i="1"/>
  <c r="B32" i="1"/>
  <c r="A33" i="1"/>
  <c r="B33" i="1"/>
  <c r="A34" i="1"/>
  <c r="B34" i="1"/>
  <c r="A35" i="1"/>
  <c r="B35" i="1"/>
  <c r="B28" i="1"/>
  <c r="A28" i="1"/>
  <c r="B86" i="4"/>
  <c r="B85" i="4"/>
  <c r="B84" i="4"/>
  <c r="M83" i="4"/>
  <c r="B83" i="4"/>
  <c r="B82" i="4"/>
  <c r="M81" i="4"/>
  <c r="B81" i="4"/>
  <c r="B80" i="4"/>
  <c r="B79" i="4"/>
  <c r="M78" i="4"/>
  <c r="B78" i="4"/>
  <c r="B77" i="4"/>
  <c r="B76" i="4"/>
  <c r="M75" i="4"/>
  <c r="B75" i="4"/>
  <c r="M74" i="4"/>
  <c r="B74" i="4"/>
  <c r="M73" i="4"/>
  <c r="B73" i="4"/>
  <c r="B72" i="4"/>
  <c r="M71" i="4"/>
  <c r="B71" i="4"/>
  <c r="B70" i="4"/>
  <c r="B69" i="4"/>
  <c r="B68" i="4"/>
  <c r="B67" i="4"/>
  <c r="B66" i="4"/>
  <c r="B65" i="4"/>
  <c r="B64" i="4"/>
  <c r="M63" i="4"/>
  <c r="B63" i="4"/>
  <c r="B62" i="4"/>
  <c r="B61" i="4"/>
  <c r="B60" i="4"/>
  <c r="B59" i="4"/>
  <c r="M58" i="4"/>
  <c r="B58" i="4"/>
  <c r="M57" i="4"/>
  <c r="B57" i="4"/>
  <c r="B56" i="4"/>
  <c r="B55" i="4"/>
  <c r="B54" i="4"/>
  <c r="M53" i="4"/>
  <c r="B53" i="4"/>
  <c r="M52" i="4"/>
  <c r="B52" i="4"/>
  <c r="B51" i="4"/>
  <c r="M50" i="4"/>
  <c r="B50" i="4"/>
  <c r="M49" i="4"/>
  <c r="B49" i="4"/>
  <c r="M48" i="4"/>
  <c r="B48" i="4"/>
  <c r="M47" i="4"/>
  <c r="B47" i="4"/>
  <c r="B46" i="4"/>
  <c r="M45" i="4"/>
  <c r="B45" i="4"/>
  <c r="M44" i="4"/>
  <c r="B44" i="4"/>
  <c r="M43" i="4"/>
  <c r="B43" i="4"/>
  <c r="M42" i="4"/>
  <c r="B42" i="4"/>
  <c r="M41" i="4"/>
  <c r="B41" i="4"/>
  <c r="M40" i="4"/>
  <c r="B40" i="4"/>
  <c r="M39" i="4"/>
  <c r="B39" i="4"/>
  <c r="M38" i="4"/>
  <c r="B38" i="4"/>
  <c r="M37" i="4"/>
  <c r="B37" i="4"/>
  <c r="M36" i="4"/>
  <c r="B36" i="4"/>
  <c r="M35" i="4"/>
  <c r="B35" i="4"/>
  <c r="M34" i="4"/>
  <c r="B34" i="4"/>
  <c r="B33" i="4"/>
  <c r="B32" i="4"/>
  <c r="M31" i="4"/>
  <c r="B31" i="4"/>
  <c r="M30" i="4"/>
  <c r="B30" i="4"/>
  <c r="M29" i="4"/>
  <c r="B29" i="4"/>
  <c r="M28" i="4"/>
  <c r="B28" i="4"/>
  <c r="M27" i="4"/>
  <c r="B27" i="4"/>
  <c r="M26" i="4"/>
  <c r="B26" i="4"/>
  <c r="B25" i="4"/>
  <c r="M24" i="4"/>
  <c r="B24" i="4"/>
  <c r="M23" i="4"/>
  <c r="B23" i="4"/>
  <c r="B22" i="4"/>
  <c r="B21" i="4"/>
  <c r="B20" i="4"/>
  <c r="M19" i="4"/>
  <c r="B19" i="4"/>
  <c r="B18" i="4"/>
  <c r="M17" i="4"/>
  <c r="B17" i="4"/>
  <c r="M16" i="4"/>
  <c r="B16" i="4"/>
  <c r="M15" i="4"/>
  <c r="B15" i="4"/>
  <c r="M14" i="4"/>
  <c r="B14" i="4"/>
  <c r="M13" i="4"/>
  <c r="B13" i="4"/>
  <c r="B12" i="4"/>
  <c r="M11" i="4"/>
  <c r="B11" i="4"/>
  <c r="M10" i="4"/>
  <c r="B10" i="4"/>
  <c r="B9" i="4"/>
  <c r="M8" i="4"/>
  <c r="B8" i="4"/>
  <c r="M7" i="4"/>
  <c r="B7" i="4"/>
  <c r="B6" i="4"/>
  <c r="M5" i="4"/>
  <c r="B5" i="4"/>
  <c r="M4" i="4"/>
  <c r="B4" i="4"/>
  <c r="M3" i="4"/>
  <c r="B3" i="4"/>
  <c r="M2" i="4"/>
  <c r="C2" i="4" a="1"/>
  <c r="C2" i="4" s="1"/>
  <c r="B2" i="4"/>
  <c r="N264" i="3"/>
  <c r="Y264" i="3" s="1"/>
  <c r="L264" i="3"/>
  <c r="J264" i="3"/>
  <c r="N263" i="3"/>
  <c r="L263" i="3"/>
  <c r="J263" i="3"/>
  <c r="N262" i="3"/>
  <c r="Y262" i="3" s="1"/>
  <c r="L262" i="3"/>
  <c r="J262" i="3"/>
  <c r="N261" i="3"/>
  <c r="L261" i="3"/>
  <c r="J261" i="3"/>
  <c r="N260" i="3"/>
  <c r="Y260" i="3" s="1"/>
  <c r="L260" i="3"/>
  <c r="J260" i="3"/>
  <c r="N259" i="3"/>
  <c r="Y259" i="3" s="1"/>
  <c r="L259" i="3"/>
  <c r="J259" i="3"/>
  <c r="N258" i="3"/>
  <c r="Y258" i="3" s="1"/>
  <c r="L258" i="3"/>
  <c r="J258" i="3"/>
  <c r="N257" i="3"/>
  <c r="L257" i="3"/>
  <c r="J257" i="3"/>
  <c r="N256" i="3"/>
  <c r="Y256" i="3" s="1"/>
  <c r="L256" i="3"/>
  <c r="J256" i="3"/>
  <c r="N255" i="3"/>
  <c r="L255" i="3"/>
  <c r="J255" i="3"/>
  <c r="N254" i="3"/>
  <c r="Y254" i="3" s="1"/>
  <c r="L254" i="3"/>
  <c r="J254" i="3"/>
  <c r="N253" i="3"/>
  <c r="L253" i="3"/>
  <c r="L252" i="3"/>
  <c r="J252" i="3"/>
  <c r="L251" i="3"/>
  <c r="J251" i="3"/>
  <c r="L250" i="3"/>
  <c r="J250" i="3"/>
  <c r="N249" i="3"/>
  <c r="L249" i="3"/>
  <c r="J249" i="3"/>
  <c r="N248" i="3"/>
  <c r="L248" i="3"/>
  <c r="J248" i="3"/>
  <c r="N247" i="3"/>
  <c r="L247" i="3"/>
  <c r="J247" i="3"/>
  <c r="N246" i="3"/>
  <c r="L246" i="3"/>
  <c r="J246" i="3"/>
  <c r="N245" i="3"/>
  <c r="Y245" i="3" s="1"/>
  <c r="L245" i="3"/>
  <c r="J245" i="3"/>
  <c r="N244" i="3"/>
  <c r="Y244" i="3" s="1"/>
  <c r="L244" i="3"/>
  <c r="J244" i="3"/>
  <c r="N243" i="3"/>
  <c r="Y243" i="3" s="1"/>
  <c r="L243" i="3"/>
  <c r="J243" i="3"/>
  <c r="N242" i="3"/>
  <c r="Y242" i="3" s="1"/>
  <c r="L242" i="3"/>
  <c r="J242" i="3"/>
  <c r="L241" i="3"/>
  <c r="W241" i="3" s="1"/>
  <c r="J241" i="3"/>
  <c r="N240" i="3"/>
  <c r="Y240" i="3" s="1"/>
  <c r="L240" i="3"/>
  <c r="J240" i="3"/>
  <c r="N239" i="3"/>
  <c r="L239" i="3"/>
  <c r="J239" i="3"/>
  <c r="N238" i="3"/>
  <c r="Y238" i="3" s="1"/>
  <c r="L238" i="3"/>
  <c r="J238" i="3"/>
  <c r="N237" i="3"/>
  <c r="Y237" i="3" s="1"/>
  <c r="L237" i="3"/>
  <c r="J237" i="3"/>
  <c r="N236" i="3"/>
  <c r="Y236" i="3" s="1"/>
  <c r="L236" i="3"/>
  <c r="J236" i="3"/>
  <c r="N235" i="3"/>
  <c r="Y235" i="3" s="1"/>
  <c r="L235" i="3"/>
  <c r="J235" i="3"/>
  <c r="N234" i="3"/>
  <c r="Y234" i="3" s="1"/>
  <c r="L234" i="3"/>
  <c r="J234" i="3"/>
  <c r="N233" i="3"/>
  <c r="L233" i="3"/>
  <c r="J233" i="3"/>
  <c r="N232" i="3"/>
  <c r="Y232" i="3" s="1"/>
  <c r="L232" i="3"/>
  <c r="J232" i="3"/>
  <c r="N231" i="3"/>
  <c r="AE28" i="2" s="1"/>
  <c r="L231" i="3"/>
  <c r="J231" i="3"/>
  <c r="N230" i="3"/>
  <c r="Y230" i="3" s="1"/>
  <c r="L230" i="3"/>
  <c r="J230" i="3"/>
  <c r="N229" i="3"/>
  <c r="Y229" i="3" s="1"/>
  <c r="L229" i="3"/>
  <c r="J229" i="3"/>
  <c r="N228" i="3"/>
  <c r="Y228" i="3" s="1"/>
  <c r="L228" i="3"/>
  <c r="J228" i="3"/>
  <c r="N227" i="3"/>
  <c r="Y227" i="3" s="1"/>
  <c r="L227" i="3"/>
  <c r="J227" i="3"/>
  <c r="N226" i="3"/>
  <c r="Y226" i="3" s="1"/>
  <c r="L226" i="3"/>
  <c r="J226" i="3"/>
  <c r="W225" i="3"/>
  <c r="X225" i="3" s="1"/>
  <c r="L225" i="3"/>
  <c r="J225" i="3"/>
  <c r="N224" i="3"/>
  <c r="L224" i="3"/>
  <c r="J224" i="3"/>
  <c r="L223" i="3"/>
  <c r="J223" i="3"/>
  <c r="N222" i="3"/>
  <c r="L222" i="3"/>
  <c r="J222" i="3"/>
  <c r="N221" i="3"/>
  <c r="L221" i="3"/>
  <c r="J221" i="3"/>
  <c r="L220" i="3"/>
  <c r="W220" i="3" s="1"/>
  <c r="Y220" i="3" s="1"/>
  <c r="J220" i="3"/>
  <c r="N219" i="3"/>
  <c r="Y219" i="3" s="1"/>
  <c r="L219" i="3"/>
  <c r="J219" i="3"/>
  <c r="N218" i="3"/>
  <c r="AE18" i="2" s="1"/>
  <c r="L218" i="3"/>
  <c r="J218" i="3"/>
  <c r="N217" i="3"/>
  <c r="Y217" i="3" s="1"/>
  <c r="L217" i="3"/>
  <c r="J217" i="3"/>
  <c r="N216" i="3"/>
  <c r="Y216" i="3" s="1"/>
  <c r="L216" i="3"/>
  <c r="J216" i="3"/>
  <c r="N215" i="3"/>
  <c r="Y215" i="3" s="1"/>
  <c r="L215" i="3"/>
  <c r="J215" i="3"/>
  <c r="N214" i="3"/>
  <c r="Y214" i="3" s="1"/>
  <c r="L214" i="3"/>
  <c r="J214" i="3"/>
  <c r="N213" i="3"/>
  <c r="Y213" i="3" s="1"/>
  <c r="L213" i="3"/>
  <c r="J213" i="3"/>
  <c r="L212" i="3"/>
  <c r="I212" i="3"/>
  <c r="D121" i="13" s="1"/>
  <c r="L211" i="3"/>
  <c r="J211" i="3"/>
  <c r="L210" i="3"/>
  <c r="I210" i="3"/>
  <c r="N210" i="3" s="1"/>
  <c r="N209" i="3"/>
  <c r="Y209" i="3" s="1"/>
  <c r="L209" i="3"/>
  <c r="J209" i="3"/>
  <c r="N208" i="3"/>
  <c r="Y208" i="3" s="1"/>
  <c r="L208" i="3"/>
  <c r="J208" i="3"/>
  <c r="L207" i="3"/>
  <c r="I207" i="3"/>
  <c r="J207" i="3" s="1"/>
  <c r="N206" i="3"/>
  <c r="Y206" i="3" s="1"/>
  <c r="L206" i="3"/>
  <c r="J206" i="3"/>
  <c r="G206" i="3"/>
  <c r="N205" i="3"/>
  <c r="Y205" i="3" s="1"/>
  <c r="L205" i="3"/>
  <c r="J205" i="3"/>
  <c r="N204" i="3"/>
  <c r="L204" i="3"/>
  <c r="J204" i="3"/>
  <c r="N203" i="3"/>
  <c r="Y203" i="3" s="1"/>
  <c r="L203" i="3"/>
  <c r="J203" i="3"/>
  <c r="N202" i="3"/>
  <c r="Y202" i="3" s="1"/>
  <c r="L202" i="3"/>
  <c r="J202" i="3"/>
  <c r="N201" i="3"/>
  <c r="Y201" i="3" s="1"/>
  <c r="L201" i="3"/>
  <c r="J201" i="3"/>
  <c r="L200" i="3"/>
  <c r="J200" i="3"/>
  <c r="N199" i="3"/>
  <c r="Y199" i="3" s="1"/>
  <c r="L199" i="3"/>
  <c r="J199" i="3"/>
  <c r="N198" i="3"/>
  <c r="Y198" i="3" s="1"/>
  <c r="L198" i="3"/>
  <c r="J198" i="3"/>
  <c r="N197" i="3"/>
  <c r="L197" i="3"/>
  <c r="J197" i="3"/>
  <c r="N196" i="3"/>
  <c r="Y196" i="3" s="1"/>
  <c r="L196" i="3"/>
  <c r="J196" i="3"/>
  <c r="N195" i="3"/>
  <c r="Y195" i="3" s="1"/>
  <c r="L195" i="3"/>
  <c r="J195" i="3"/>
  <c r="N194" i="3"/>
  <c r="Y194" i="3" s="1"/>
  <c r="L194" i="3"/>
  <c r="J194" i="3"/>
  <c r="N193" i="3"/>
  <c r="L193" i="3"/>
  <c r="J193" i="3"/>
  <c r="N192" i="3"/>
  <c r="Y192" i="3" s="1"/>
  <c r="L192" i="3"/>
  <c r="J192" i="3"/>
  <c r="N191" i="3"/>
  <c r="Y191" i="3" s="1"/>
  <c r="L191" i="3"/>
  <c r="J191" i="3"/>
  <c r="N190" i="3"/>
  <c r="Y190" i="3" s="1"/>
  <c r="L190" i="3"/>
  <c r="J190" i="3"/>
  <c r="N189" i="3"/>
  <c r="L189" i="3"/>
  <c r="J189" i="3"/>
  <c r="L188" i="3"/>
  <c r="J188" i="3"/>
  <c r="N187" i="3"/>
  <c r="L187" i="3"/>
  <c r="J187" i="3"/>
  <c r="N186" i="3"/>
  <c r="L186" i="3"/>
  <c r="J186" i="3"/>
  <c r="N185" i="3"/>
  <c r="L185" i="3"/>
  <c r="J185" i="3"/>
  <c r="N184" i="3"/>
  <c r="Y184" i="3" s="1"/>
  <c r="L184" i="3"/>
  <c r="J184" i="3"/>
  <c r="N183" i="3"/>
  <c r="Y183" i="3" s="1"/>
  <c r="L183" i="3"/>
  <c r="J183" i="3"/>
  <c r="N182" i="3"/>
  <c r="Y182" i="3" s="1"/>
  <c r="L182" i="3"/>
  <c r="J182" i="3"/>
  <c r="N181" i="3"/>
  <c r="L181" i="3"/>
  <c r="J181" i="3"/>
  <c r="N180" i="3"/>
  <c r="Y180" i="3" s="1"/>
  <c r="L180" i="3"/>
  <c r="J180" i="3"/>
  <c r="N179" i="3"/>
  <c r="Y179" i="3" s="1"/>
  <c r="L179" i="3"/>
  <c r="J179" i="3"/>
  <c r="N178" i="3"/>
  <c r="Y178" i="3" s="1"/>
  <c r="L178" i="3"/>
  <c r="J178" i="3"/>
  <c r="N177" i="3"/>
  <c r="L177" i="3"/>
  <c r="J177" i="3"/>
  <c r="N176" i="3"/>
  <c r="Y176" i="3" s="1"/>
  <c r="L176" i="3"/>
  <c r="J176" i="3"/>
  <c r="N175" i="3"/>
  <c r="Y175" i="3" s="1"/>
  <c r="L175" i="3"/>
  <c r="J175" i="3"/>
  <c r="N174" i="3"/>
  <c r="Y174" i="3" s="1"/>
  <c r="L174" i="3"/>
  <c r="J174" i="3"/>
  <c r="N173" i="3"/>
  <c r="AE7" i="2" s="1"/>
  <c r="L173" i="3"/>
  <c r="J173" i="3"/>
  <c r="N172" i="3"/>
  <c r="Y172" i="3" s="1"/>
  <c r="L172" i="3"/>
  <c r="J172" i="3"/>
  <c r="N171" i="3"/>
  <c r="L171" i="3"/>
  <c r="J171" i="3"/>
  <c r="N170" i="3"/>
  <c r="L170" i="3"/>
  <c r="J170" i="3"/>
  <c r="N169" i="3"/>
  <c r="Y169" i="3" s="1"/>
  <c r="L169" i="3"/>
  <c r="J169" i="3"/>
  <c r="N168" i="3"/>
  <c r="Y168" i="3" s="1"/>
  <c r="L168" i="3"/>
  <c r="J168" i="3"/>
  <c r="N167" i="3"/>
  <c r="Y167" i="3" s="1"/>
  <c r="L167" i="3"/>
  <c r="J167" i="3"/>
  <c r="N166" i="3"/>
  <c r="Y166" i="3" s="1"/>
  <c r="L166" i="3"/>
  <c r="J166" i="3"/>
  <c r="N165" i="3"/>
  <c r="L165" i="3"/>
  <c r="J165" i="3"/>
  <c r="N164" i="3"/>
  <c r="Y164" i="3" s="1"/>
  <c r="L164" i="3"/>
  <c r="J164" i="3"/>
  <c r="N163" i="3"/>
  <c r="L163" i="3"/>
  <c r="J163" i="3"/>
  <c r="N162" i="3"/>
  <c r="Y162" i="3" s="1"/>
  <c r="L162" i="3"/>
  <c r="J162" i="3"/>
  <c r="N161" i="3"/>
  <c r="L161" i="3"/>
  <c r="J161" i="3"/>
  <c r="L160" i="3"/>
  <c r="J160" i="3"/>
  <c r="N159" i="3"/>
  <c r="L159" i="3"/>
  <c r="N158" i="3"/>
  <c r="Y158" i="3" s="1"/>
  <c r="L158" i="3"/>
  <c r="N157" i="3"/>
  <c r="Y157" i="3" s="1"/>
  <c r="L157" i="3"/>
  <c r="N156" i="3"/>
  <c r="L156" i="3"/>
  <c r="N155" i="3"/>
  <c r="L155" i="3"/>
  <c r="N154" i="3"/>
  <c r="L154" i="3"/>
  <c r="N153" i="3"/>
  <c r="Y153" i="3" s="1"/>
  <c r="C42" i="13" s="1"/>
  <c r="L153" i="3"/>
  <c r="N152" i="3"/>
  <c r="Y152" i="3" s="1"/>
  <c r="L152" i="3"/>
  <c r="N151" i="3"/>
  <c r="Y151" i="3" s="1"/>
  <c r="L151" i="3"/>
  <c r="N150" i="3"/>
  <c r="L150" i="3"/>
  <c r="N149" i="3"/>
  <c r="L149" i="3"/>
  <c r="N148" i="3"/>
  <c r="Y148" i="3" s="1"/>
  <c r="L148" i="3"/>
  <c r="N147" i="3"/>
  <c r="L147" i="3"/>
  <c r="N146" i="3"/>
  <c r="L146" i="3"/>
  <c r="N145" i="3"/>
  <c r="AE5" i="2" s="1"/>
  <c r="L145" i="3"/>
  <c r="N144" i="3"/>
  <c r="Y144" i="3" s="1"/>
  <c r="L144" i="3"/>
  <c r="N143" i="3"/>
  <c r="Y143" i="3" s="1"/>
  <c r="L143" i="3"/>
  <c r="N142" i="3"/>
  <c r="Y142" i="3" s="1"/>
  <c r="L142" i="3"/>
  <c r="N141" i="3"/>
  <c r="Y141" i="3" s="1"/>
  <c r="L141" i="3"/>
  <c r="N140" i="3"/>
  <c r="Y140" i="3" s="1"/>
  <c r="L140" i="3"/>
  <c r="N139" i="3"/>
  <c r="Y139" i="3" s="1"/>
  <c r="C134" i="13" s="1"/>
  <c r="L139" i="3"/>
  <c r="L138" i="3"/>
  <c r="N137" i="3"/>
  <c r="L137" i="3"/>
  <c r="N136" i="3"/>
  <c r="L136" i="3"/>
  <c r="N135" i="3"/>
  <c r="Y135" i="3" s="1"/>
  <c r="L135" i="3"/>
  <c r="N134" i="3"/>
  <c r="L134" i="3"/>
  <c r="N133" i="3"/>
  <c r="AE15" i="2" s="1"/>
  <c r="L133" i="3"/>
  <c r="N132" i="3"/>
  <c r="Y132" i="3" s="1"/>
  <c r="L132" i="3"/>
  <c r="N131" i="3"/>
  <c r="Y131" i="3" s="1"/>
  <c r="L131" i="3"/>
  <c r="N130" i="3"/>
  <c r="Y130" i="3" s="1"/>
  <c r="L130" i="3"/>
  <c r="N129" i="3"/>
  <c r="AE33" i="2" s="1"/>
  <c r="L129" i="3"/>
  <c r="N128" i="3"/>
  <c r="Y128" i="3" s="1"/>
  <c r="L128" i="3"/>
  <c r="N127" i="3"/>
  <c r="Y127" i="3" s="1"/>
  <c r="L127" i="3"/>
  <c r="N126" i="3"/>
  <c r="Y126" i="3" s="1"/>
  <c r="L126" i="3"/>
  <c r="N125" i="3"/>
  <c r="L125" i="3"/>
  <c r="N124" i="3"/>
  <c r="L124" i="3"/>
  <c r="N123" i="3"/>
  <c r="AE4" i="2" s="1"/>
  <c r="L123" i="3"/>
  <c r="N122" i="3"/>
  <c r="Y122" i="3" s="1"/>
  <c r="L122" i="3"/>
  <c r="N121" i="3"/>
  <c r="L121" i="3"/>
  <c r="N120" i="3"/>
  <c r="L120" i="3"/>
  <c r="N119" i="3"/>
  <c r="Y119" i="3" s="1"/>
  <c r="L119" i="3"/>
  <c r="N118" i="3"/>
  <c r="Y118" i="3" s="1"/>
  <c r="C149" i="13" s="1"/>
  <c r="L118" i="3"/>
  <c r="N117" i="3"/>
  <c r="Y117" i="3" s="1"/>
  <c r="L117" i="3"/>
  <c r="N116" i="3"/>
  <c r="L116" i="3"/>
  <c r="L115" i="3"/>
  <c r="N114" i="3"/>
  <c r="L114" i="3"/>
  <c r="L113" i="3"/>
  <c r="N112" i="3"/>
  <c r="L112" i="3"/>
  <c r="N111" i="3"/>
  <c r="L111" i="3"/>
  <c r="N110" i="3"/>
  <c r="L110" i="3"/>
  <c r="N109" i="3"/>
  <c r="Y109" i="3" s="1"/>
  <c r="L109" i="3"/>
  <c r="L108" i="3"/>
  <c r="L107" i="3"/>
  <c r="L106" i="3"/>
  <c r="N105" i="3"/>
  <c r="Y105" i="3" s="1"/>
  <c r="L105" i="3"/>
  <c r="N104" i="3"/>
  <c r="L104" i="3"/>
  <c r="N103" i="3"/>
  <c r="L103" i="3"/>
  <c r="N102" i="3"/>
  <c r="Y102" i="3" s="1"/>
  <c r="L102" i="3"/>
  <c r="N101" i="3"/>
  <c r="L101" i="3"/>
  <c r="N100" i="3"/>
  <c r="L100" i="3"/>
  <c r="N99" i="3"/>
  <c r="L99" i="3"/>
  <c r="N98" i="3"/>
  <c r="L98" i="3"/>
  <c r="N97" i="3"/>
  <c r="Y97" i="3" s="1"/>
  <c r="L97" i="3"/>
  <c r="N96" i="3"/>
  <c r="Y96" i="3" s="1"/>
  <c r="L96" i="3"/>
  <c r="N95" i="3"/>
  <c r="L95" i="3"/>
  <c r="N94" i="3"/>
  <c r="L94" i="3"/>
  <c r="N93" i="3"/>
  <c r="Y93" i="3" s="1"/>
  <c r="L93" i="3"/>
  <c r="N92" i="3"/>
  <c r="L92" i="3"/>
  <c r="N91" i="3"/>
  <c r="L91" i="3"/>
  <c r="N90" i="3"/>
  <c r="L90" i="3"/>
  <c r="N89" i="3"/>
  <c r="L89" i="3"/>
  <c r="N88" i="3"/>
  <c r="L88" i="3"/>
  <c r="N87" i="3"/>
  <c r="L87" i="3"/>
  <c r="N86" i="3"/>
  <c r="L86" i="3"/>
  <c r="N85" i="3"/>
  <c r="L85" i="3"/>
  <c r="N84" i="3"/>
  <c r="Y84" i="3" s="1"/>
  <c r="L84" i="3"/>
  <c r="N83" i="3"/>
  <c r="L83" i="3"/>
  <c r="N82" i="3"/>
  <c r="Y82" i="3" s="1"/>
  <c r="L82" i="3"/>
  <c r="N81" i="3"/>
  <c r="Y81" i="3" s="1"/>
  <c r="L81" i="3"/>
  <c r="N80" i="3"/>
  <c r="AE20" i="2" s="1"/>
  <c r="L80" i="3"/>
  <c r="N79" i="3"/>
  <c r="AE11" i="2" s="1"/>
  <c r="L79" i="3"/>
  <c r="N78" i="3"/>
  <c r="L78" i="3"/>
  <c r="N77" i="3"/>
  <c r="L77" i="3"/>
  <c r="N76" i="3"/>
  <c r="L76" i="3"/>
  <c r="N75" i="3"/>
  <c r="Y75" i="3" s="1"/>
  <c r="L75" i="3"/>
  <c r="N74" i="3"/>
  <c r="L74" i="3"/>
  <c r="N73" i="3"/>
  <c r="Y73" i="3" s="1"/>
  <c r="L73" i="3"/>
  <c r="N72" i="3"/>
  <c r="L72" i="3"/>
  <c r="N71" i="3"/>
  <c r="L71" i="3"/>
  <c r="N70" i="3"/>
  <c r="Y70" i="3" s="1"/>
  <c r="L70" i="3"/>
  <c r="N69" i="3"/>
  <c r="L69" i="3"/>
  <c r="N68" i="3"/>
  <c r="L68" i="3"/>
  <c r="N67" i="3"/>
  <c r="L67" i="3"/>
  <c r="N66" i="3"/>
  <c r="L66" i="3"/>
  <c r="N65" i="3"/>
  <c r="Y65" i="3" s="1"/>
  <c r="L65" i="3"/>
  <c r="N64" i="3"/>
  <c r="Y64" i="3" s="1"/>
  <c r="L64" i="3"/>
  <c r="N63" i="3"/>
  <c r="Y63" i="3" s="1"/>
  <c r="L63" i="3"/>
  <c r="N62" i="3"/>
  <c r="Y62" i="3" s="1"/>
  <c r="L62" i="3"/>
  <c r="N61" i="3"/>
  <c r="L61" i="3"/>
  <c r="N60" i="3"/>
  <c r="L60" i="3"/>
  <c r="N59" i="3"/>
  <c r="Y59" i="3" s="1"/>
  <c r="C155" i="13" s="1"/>
  <c r="L59" i="3"/>
  <c r="N58" i="3"/>
  <c r="L58" i="3"/>
  <c r="N57" i="3"/>
  <c r="Y57" i="3" s="1"/>
  <c r="L57" i="3"/>
  <c r="N56" i="3"/>
  <c r="L56" i="3"/>
  <c r="N55" i="3"/>
  <c r="L55" i="3"/>
  <c r="N54" i="3"/>
  <c r="AE14" i="2" s="1"/>
  <c r="L54" i="3"/>
  <c r="L53" i="3"/>
  <c r="N52" i="3"/>
  <c r="Y52" i="3" s="1"/>
  <c r="L52" i="3"/>
  <c r="N51" i="3"/>
  <c r="L51" i="3"/>
  <c r="L50" i="3"/>
  <c r="H50" i="3"/>
  <c r="G50" i="3"/>
  <c r="N49" i="3"/>
  <c r="Y49" i="3" s="1"/>
  <c r="L49" i="3"/>
  <c r="N48" i="3"/>
  <c r="L48" i="3"/>
  <c r="N47" i="3"/>
  <c r="L47" i="3"/>
  <c r="N46" i="3"/>
  <c r="AE36" i="2" s="1"/>
  <c r="L46" i="3"/>
  <c r="N45" i="3"/>
  <c r="AE19" i="2" s="1"/>
  <c r="L45" i="3"/>
  <c r="N44" i="3"/>
  <c r="L44" i="3"/>
  <c r="N43" i="3"/>
  <c r="L43" i="3"/>
  <c r="N42" i="3"/>
  <c r="Y42" i="3" s="1"/>
  <c r="L42" i="3"/>
  <c r="N41" i="3"/>
  <c r="Y41" i="3" s="1"/>
  <c r="C48" i="13" s="1"/>
  <c r="L41" i="3"/>
  <c r="N40" i="3"/>
  <c r="L40" i="3"/>
  <c r="N39" i="3"/>
  <c r="L39" i="3"/>
  <c r="H39" i="3"/>
  <c r="L38" i="3"/>
  <c r="N37" i="3"/>
  <c r="Y37" i="3" s="1"/>
  <c r="L37" i="3"/>
  <c r="N36" i="3"/>
  <c r="L36" i="3"/>
  <c r="N35" i="3"/>
  <c r="L35" i="3"/>
  <c r="H35" i="3"/>
  <c r="N34" i="3"/>
  <c r="Y34" i="3" s="1"/>
  <c r="L34" i="3"/>
  <c r="N33" i="3"/>
  <c r="L33" i="3"/>
  <c r="N32" i="3"/>
  <c r="AE17" i="2" s="1"/>
  <c r="L32" i="3"/>
  <c r="N31" i="3"/>
  <c r="L31" i="3"/>
  <c r="H31" i="3"/>
  <c r="N30" i="3"/>
  <c r="L30" i="3"/>
  <c r="N29" i="3"/>
  <c r="L29" i="3"/>
  <c r="N28" i="3"/>
  <c r="AE29" i="2" s="1"/>
  <c r="L28" i="3"/>
  <c r="N27" i="3"/>
  <c r="Y27" i="3" s="1"/>
  <c r="L27" i="3"/>
  <c r="N26" i="3"/>
  <c r="Y26" i="3" s="1"/>
  <c r="C159" i="13" s="1"/>
  <c r="L26" i="3"/>
  <c r="N25" i="3"/>
  <c r="Y25" i="3" s="1"/>
  <c r="L25" i="3"/>
  <c r="N24" i="3"/>
  <c r="Y24" i="3" s="1"/>
  <c r="L24" i="3"/>
  <c r="L23" i="3"/>
  <c r="N22" i="3"/>
  <c r="L22" i="3"/>
  <c r="N21" i="3"/>
  <c r="AE26" i="2" s="1"/>
  <c r="L21" i="3"/>
  <c r="N20" i="3"/>
  <c r="L20" i="3"/>
  <c r="N19" i="3"/>
  <c r="L19" i="3"/>
  <c r="N18" i="3"/>
  <c r="L18" i="3"/>
  <c r="N17" i="3"/>
  <c r="L17" i="3"/>
  <c r="N16" i="3"/>
  <c r="L16" i="3"/>
  <c r="N15" i="3"/>
  <c r="L15" i="3"/>
  <c r="N14" i="3"/>
  <c r="Y14" i="3" s="1"/>
  <c r="L14" i="3"/>
  <c r="N13" i="3"/>
  <c r="L13" i="3"/>
  <c r="N12" i="3"/>
  <c r="L12" i="3"/>
  <c r="N11" i="3"/>
  <c r="L11" i="3"/>
  <c r="N10" i="3"/>
  <c r="L10" i="3"/>
  <c r="N9" i="3"/>
  <c r="L9" i="3"/>
  <c r="N8" i="3"/>
  <c r="K8" i="3"/>
  <c r="L8" i="3" s="1"/>
  <c r="N7" i="3"/>
  <c r="AE38" i="2" s="1"/>
  <c r="L7" i="3"/>
  <c r="N6" i="3"/>
  <c r="L6" i="3"/>
  <c r="N4" i="3"/>
  <c r="L4" i="3"/>
  <c r="N3" i="3"/>
  <c r="AE25" i="2" s="1"/>
  <c r="L3" i="3"/>
  <c r="N2" i="3"/>
  <c r="L2" i="3"/>
  <c r="A5" i="1"/>
  <c r="AW7" i="2" l="1"/>
  <c r="C135" i="13"/>
  <c r="C87" i="13"/>
  <c r="C123" i="13"/>
  <c r="C47" i="13"/>
  <c r="C88" i="13"/>
  <c r="C63" i="13"/>
  <c r="C98" i="13"/>
  <c r="C46" i="13"/>
  <c r="AQ18" i="2"/>
  <c r="AW18" i="2"/>
  <c r="AQ7" i="2"/>
  <c r="AW8" i="2"/>
  <c r="F286" i="12"/>
  <c r="F294" i="12"/>
  <c r="F306" i="12"/>
  <c r="F310" i="12"/>
  <c r="F314" i="12"/>
  <c r="F322" i="12"/>
  <c r="F326" i="12"/>
  <c r="F338" i="12"/>
  <c r="F354" i="12"/>
  <c r="F370" i="12"/>
  <c r="F374" i="12"/>
  <c r="F382" i="12"/>
  <c r="F394" i="12"/>
  <c r="F410" i="12"/>
  <c r="F414" i="12"/>
  <c r="F430" i="12"/>
  <c r="F438" i="12"/>
  <c r="F462" i="12"/>
  <c r="F470" i="12"/>
  <c r="F377" i="12"/>
  <c r="F7" i="12"/>
  <c r="F11" i="12"/>
  <c r="F15" i="12"/>
  <c r="F19" i="12"/>
  <c r="F23" i="12"/>
  <c r="F31" i="12"/>
  <c r="F39" i="12"/>
  <c r="F47" i="12"/>
  <c r="N212" i="3"/>
  <c r="W212" i="3" s="1"/>
  <c r="X212" i="3" s="1"/>
  <c r="AL7" i="2"/>
  <c r="AK9" i="2"/>
  <c r="AK5" i="2"/>
  <c r="AK26" i="2"/>
  <c r="AK10" i="2"/>
  <c r="AK11" i="2"/>
  <c r="F70" i="12"/>
  <c r="F74" i="12"/>
  <c r="F82" i="12"/>
  <c r="F90" i="12"/>
  <c r="F94" i="12"/>
  <c r="F98" i="12"/>
  <c r="F106" i="12"/>
  <c r="F126" i="12"/>
  <c r="F158" i="12"/>
  <c r="F166" i="12"/>
  <c r="F190" i="12"/>
  <c r="F210" i="12"/>
  <c r="F214" i="12"/>
  <c r="F226" i="12"/>
  <c r="F254" i="12"/>
  <c r="F275" i="12"/>
  <c r="F279" i="12"/>
  <c r="F283" i="12"/>
  <c r="F299" i="12"/>
  <c r="F311" i="12"/>
  <c r="F323" i="12"/>
  <c r="F327" i="12"/>
  <c r="F343" i="12"/>
  <c r="F347" i="12"/>
  <c r="F359" i="12"/>
  <c r="F383" i="12"/>
  <c r="F391" i="12"/>
  <c r="F395" i="12"/>
  <c r="F399" i="12"/>
  <c r="F435" i="12"/>
  <c r="F443" i="12"/>
  <c r="F467" i="12"/>
  <c r="F491" i="12"/>
  <c r="F499" i="12"/>
  <c r="F515" i="12"/>
  <c r="F16" i="12"/>
  <c r="F20" i="12"/>
  <c r="F32" i="12"/>
  <c r="F48" i="12"/>
  <c r="Y124" i="3"/>
  <c r="AE8" i="2"/>
  <c r="Y224" i="3"/>
  <c r="AE6" i="2"/>
  <c r="AE24" i="2"/>
  <c r="Y90" i="3"/>
  <c r="AE16" i="2"/>
  <c r="AE12" i="2"/>
  <c r="AE13" i="2"/>
  <c r="Y159" i="3"/>
  <c r="AE31" i="2"/>
  <c r="Y170" i="3"/>
  <c r="AE35" i="2"/>
  <c r="Y22" i="3"/>
  <c r="AE32" i="2"/>
  <c r="Y204" i="3"/>
  <c r="AE10" i="2"/>
  <c r="Y98" i="3"/>
  <c r="AE21" i="2"/>
  <c r="Y11" i="3"/>
  <c r="AE9" i="2"/>
  <c r="Y92" i="3"/>
  <c r="AE34" i="2"/>
  <c r="Y77" i="3"/>
  <c r="C68" i="13" s="1"/>
  <c r="AE22" i="2"/>
  <c r="Y171" i="3"/>
  <c r="AE27" i="2"/>
  <c r="F385" i="12"/>
  <c r="F401" i="12"/>
  <c r="F405" i="12"/>
  <c r="F417" i="12"/>
  <c r="F421" i="12"/>
  <c r="F425" i="12"/>
  <c r="F433" i="12"/>
  <c r="F441" i="12"/>
  <c r="F445" i="12"/>
  <c r="F453" i="12"/>
  <c r="F461" i="12"/>
  <c r="F465" i="12"/>
  <c r="F481" i="12"/>
  <c r="F485" i="12"/>
  <c r="F489" i="12"/>
  <c r="F497" i="12"/>
  <c r="F501" i="12"/>
  <c r="F505" i="12"/>
  <c r="F509" i="12"/>
  <c r="F517" i="12"/>
  <c r="F6" i="12"/>
  <c r="F18" i="12"/>
  <c r="F22" i="12"/>
  <c r="F26" i="12"/>
  <c r="F34" i="12"/>
  <c r="F38" i="12"/>
  <c r="F42" i="12"/>
  <c r="W161" i="3"/>
  <c r="X161" i="3" s="1"/>
  <c r="Y161" i="3"/>
  <c r="E164" i="12" s="1"/>
  <c r="Y21" i="3"/>
  <c r="W110" i="3"/>
  <c r="X110" i="3" s="1"/>
  <c r="Y110" i="3"/>
  <c r="C49" i="13" s="1"/>
  <c r="W165" i="3"/>
  <c r="X165" i="3" s="1"/>
  <c r="Y165" i="3"/>
  <c r="E168" i="12" s="1"/>
  <c r="W181" i="3"/>
  <c r="X181" i="3" s="1"/>
  <c r="Y181" i="3"/>
  <c r="E184" i="12" s="1"/>
  <c r="W248" i="3"/>
  <c r="X248" i="3" s="1"/>
  <c r="Y248" i="3"/>
  <c r="E251" i="12" s="1"/>
  <c r="W111" i="3"/>
  <c r="X111" i="3" s="1"/>
  <c r="Y111" i="3"/>
  <c r="E114" i="12" s="1"/>
  <c r="W120" i="3"/>
  <c r="X120" i="3" s="1"/>
  <c r="Y120" i="3"/>
  <c r="E123" i="12" s="1"/>
  <c r="W136" i="3"/>
  <c r="X136" i="3" s="1"/>
  <c r="Y136" i="3"/>
  <c r="E139" i="12" s="1"/>
  <c r="W221" i="3"/>
  <c r="X221" i="3" s="1"/>
  <c r="Y221" i="3"/>
  <c r="E224" i="12" s="1"/>
  <c r="W255" i="3"/>
  <c r="X255" i="3" s="1"/>
  <c r="Y255" i="3"/>
  <c r="E258" i="12" s="1"/>
  <c r="Y46" i="3"/>
  <c r="C151" i="13" s="1"/>
  <c r="W145" i="3"/>
  <c r="X145" i="3" s="1"/>
  <c r="Y145" i="3"/>
  <c r="AQ6" i="2" s="1"/>
  <c r="W193" i="3"/>
  <c r="X193" i="3" s="1"/>
  <c r="Y193" i="3"/>
  <c r="E196" i="12" s="1"/>
  <c r="W137" i="3"/>
  <c r="X137" i="3" s="1"/>
  <c r="Y137" i="3"/>
  <c r="E140" i="12" s="1"/>
  <c r="Y7" i="3"/>
  <c r="C153" i="13" s="1"/>
  <c r="W129" i="3"/>
  <c r="X129" i="3" s="1"/>
  <c r="Y129" i="3"/>
  <c r="W177" i="3"/>
  <c r="X177" i="3" s="1"/>
  <c r="Y177" i="3"/>
  <c r="E180" i="12" s="1"/>
  <c r="W249" i="3"/>
  <c r="X249" i="3" s="1"/>
  <c r="Y249" i="3"/>
  <c r="E252" i="12" s="1"/>
  <c r="W121" i="3"/>
  <c r="X121" i="3" s="1"/>
  <c r="Y121" i="3"/>
  <c r="E124" i="12" s="1"/>
  <c r="W261" i="3"/>
  <c r="X261" i="3" s="1"/>
  <c r="Y261" i="3"/>
  <c r="E264" i="12" s="1"/>
  <c r="W55" i="3"/>
  <c r="X55" i="3" s="1"/>
  <c r="Y55" i="3"/>
  <c r="E58" i="12" s="1"/>
  <c r="I272" i="12"/>
  <c r="F272" i="12"/>
  <c r="P276" i="12"/>
  <c r="F276" i="12"/>
  <c r="P280" i="12"/>
  <c r="F280" i="12"/>
  <c r="P284" i="12"/>
  <c r="F284" i="12"/>
  <c r="P288" i="12"/>
  <c r="F288" i="12"/>
  <c r="P292" i="12"/>
  <c r="F292" i="12"/>
  <c r="F296" i="12"/>
  <c r="P300" i="12"/>
  <c r="F300" i="12"/>
  <c r="F304" i="12"/>
  <c r="F308" i="12"/>
  <c r="F312" i="12"/>
  <c r="F316" i="12"/>
  <c r="P320" i="12"/>
  <c r="F320" i="12"/>
  <c r="F324" i="12"/>
  <c r="P328" i="12"/>
  <c r="F328" i="12"/>
  <c r="F332" i="12"/>
  <c r="P336" i="12"/>
  <c r="F336" i="12"/>
  <c r="I340" i="12"/>
  <c r="F340" i="12"/>
  <c r="P344" i="12"/>
  <c r="F344" i="12"/>
  <c r="F348" i="12"/>
  <c r="K352" i="12"/>
  <c r="F352" i="12"/>
  <c r="F356" i="12"/>
  <c r="P360" i="12"/>
  <c r="F360" i="12"/>
  <c r="P364" i="12"/>
  <c r="F364" i="12"/>
  <c r="K368" i="12"/>
  <c r="F368" i="12"/>
  <c r="F372" i="12"/>
  <c r="F376" i="12"/>
  <c r="L380" i="12"/>
  <c r="F380" i="12"/>
  <c r="P384" i="12"/>
  <c r="F384" i="12"/>
  <c r="F388" i="12"/>
  <c r="F392" i="12"/>
  <c r="L396" i="12"/>
  <c r="F396" i="12"/>
  <c r="P400" i="12"/>
  <c r="F400" i="12"/>
  <c r="P404" i="12"/>
  <c r="F404" i="12"/>
  <c r="P408" i="12"/>
  <c r="F408" i="12"/>
  <c r="F412" i="12"/>
  <c r="F416" i="12"/>
  <c r="F420" i="12"/>
  <c r="J424" i="12"/>
  <c r="F424" i="12"/>
  <c r="P428" i="12"/>
  <c r="F428" i="12"/>
  <c r="L432" i="12"/>
  <c r="F432" i="12"/>
  <c r="F436" i="12"/>
  <c r="J440" i="12"/>
  <c r="F440" i="12"/>
  <c r="J444" i="12"/>
  <c r="F444" i="12"/>
  <c r="L448" i="12"/>
  <c r="F448" i="12"/>
  <c r="F452" i="12"/>
  <c r="P456" i="12"/>
  <c r="F456" i="12"/>
  <c r="F460" i="12"/>
  <c r="L464" i="12"/>
  <c r="F464" i="12"/>
  <c r="F468" i="12"/>
  <c r="F472" i="12"/>
  <c r="F476" i="12"/>
  <c r="L480" i="12"/>
  <c r="F480" i="12"/>
  <c r="I484" i="12"/>
  <c r="F484" i="12"/>
  <c r="K488" i="12"/>
  <c r="F488" i="12"/>
  <c r="K492" i="12"/>
  <c r="F492" i="12"/>
  <c r="L496" i="12"/>
  <c r="F496" i="12"/>
  <c r="I500" i="12"/>
  <c r="F500" i="12"/>
  <c r="P504" i="12"/>
  <c r="F504" i="12"/>
  <c r="F508" i="12"/>
  <c r="L512" i="12"/>
  <c r="F512" i="12"/>
  <c r="I516" i="12"/>
  <c r="F516" i="12"/>
  <c r="P520" i="12"/>
  <c r="F520" i="12"/>
  <c r="W146" i="3"/>
  <c r="X146" i="3" s="1"/>
  <c r="Y146" i="3"/>
  <c r="E149" i="12" s="1"/>
  <c r="W154" i="3"/>
  <c r="X154" i="3" s="1"/>
  <c r="Y154" i="3"/>
  <c r="E157" i="12" s="1"/>
  <c r="W222" i="3"/>
  <c r="X222" i="3" s="1"/>
  <c r="Y222" i="3"/>
  <c r="E225" i="12" s="1"/>
  <c r="W233" i="3"/>
  <c r="X233" i="3" s="1"/>
  <c r="Y233" i="3"/>
  <c r="E236" i="12" s="1"/>
  <c r="W32" i="3"/>
  <c r="X32" i="3" s="1"/>
  <c r="Y32" i="3"/>
  <c r="W40" i="3"/>
  <c r="X40" i="3" s="1"/>
  <c r="Y40" i="3"/>
  <c r="E43" i="12" s="1"/>
  <c r="W48" i="3"/>
  <c r="X48" i="3" s="1"/>
  <c r="Y48" i="3"/>
  <c r="E51" i="12" s="1"/>
  <c r="W56" i="3"/>
  <c r="X56" i="3" s="1"/>
  <c r="Y56" i="3"/>
  <c r="E59" i="12" s="1"/>
  <c r="W147" i="3"/>
  <c r="X147" i="3" s="1"/>
  <c r="Y147" i="3"/>
  <c r="E150" i="12" s="1"/>
  <c r="W189" i="3"/>
  <c r="X189" i="3" s="1"/>
  <c r="Y189" i="3"/>
  <c r="E192" i="12" s="1"/>
  <c r="W239" i="3"/>
  <c r="X239" i="3" s="1"/>
  <c r="Y239" i="3"/>
  <c r="E242" i="12" s="1"/>
  <c r="W9" i="3"/>
  <c r="X9" i="3" s="1"/>
  <c r="Y9" i="3"/>
  <c r="E12" i="12" s="1"/>
  <c r="W33" i="3"/>
  <c r="X33" i="3" s="1"/>
  <c r="Y33" i="3"/>
  <c r="E36" i="12" s="1"/>
  <c r="W173" i="3"/>
  <c r="X173" i="3" s="1"/>
  <c r="Y173" i="3"/>
  <c r="C50" i="13" s="1"/>
  <c r="W257" i="3"/>
  <c r="X257" i="3" s="1"/>
  <c r="Y257" i="3"/>
  <c r="E260" i="12" s="1"/>
  <c r="W116" i="3"/>
  <c r="X116" i="3" s="1"/>
  <c r="Y116" i="3"/>
  <c r="C43" i="13" s="1"/>
  <c r="W218" i="3"/>
  <c r="X218" i="3" s="1"/>
  <c r="Y218" i="3"/>
  <c r="W263" i="3"/>
  <c r="X263" i="3" s="1"/>
  <c r="Y263" i="3"/>
  <c r="E266" i="12" s="1"/>
  <c r="W149" i="3"/>
  <c r="X149" i="3" s="1"/>
  <c r="Y149" i="3"/>
  <c r="E152" i="12" s="1"/>
  <c r="Y133" i="3"/>
  <c r="X241" i="3"/>
  <c r="Y241" i="3"/>
  <c r="E244" i="12" s="1"/>
  <c r="W83" i="3"/>
  <c r="X83" i="3" s="1"/>
  <c r="Y83" i="3"/>
  <c r="E86" i="12" s="1"/>
  <c r="W99" i="3"/>
  <c r="X99" i="3" s="1"/>
  <c r="Y99" i="3"/>
  <c r="E102" i="12" s="1"/>
  <c r="W150" i="3"/>
  <c r="X150" i="3" s="1"/>
  <c r="Y150" i="3"/>
  <c r="E153" i="12" s="1"/>
  <c r="W247" i="3"/>
  <c r="X247" i="3" s="1"/>
  <c r="Y247" i="3"/>
  <c r="E250" i="12" s="1"/>
  <c r="W76" i="3"/>
  <c r="X76" i="3" s="1"/>
  <c r="Y76" i="3"/>
  <c r="E79" i="12" s="1"/>
  <c r="W100" i="3"/>
  <c r="X100" i="3" s="1"/>
  <c r="Y100" i="3"/>
  <c r="E103" i="12" s="1"/>
  <c r="W197" i="3"/>
  <c r="X197" i="3" s="1"/>
  <c r="Y197" i="3"/>
  <c r="E200" i="12" s="1"/>
  <c r="W231" i="3"/>
  <c r="X231" i="3" s="1"/>
  <c r="Y231" i="3"/>
  <c r="L273" i="12"/>
  <c r="F273" i="12"/>
  <c r="H277" i="12"/>
  <c r="F277" i="12"/>
  <c r="P281" i="12"/>
  <c r="F281" i="12"/>
  <c r="P285" i="12"/>
  <c r="F285" i="12"/>
  <c r="P293" i="12"/>
  <c r="F293" i="12"/>
  <c r="K297" i="12"/>
  <c r="F297" i="12"/>
  <c r="P301" i="12"/>
  <c r="F301" i="12"/>
  <c r="L305" i="12"/>
  <c r="F305" i="12"/>
  <c r="P317" i="12"/>
  <c r="F317" i="12"/>
  <c r="J325" i="12"/>
  <c r="F325" i="12"/>
  <c r="P333" i="12"/>
  <c r="F333" i="12"/>
  <c r="P349" i="12"/>
  <c r="F349" i="12"/>
  <c r="J357" i="12"/>
  <c r="F357" i="12"/>
  <c r="K361" i="12"/>
  <c r="F361" i="12"/>
  <c r="P365" i="12"/>
  <c r="F365" i="12"/>
  <c r="J373" i="12"/>
  <c r="F373" i="12"/>
  <c r="L381" i="12"/>
  <c r="F381" i="12"/>
  <c r="P389" i="12"/>
  <c r="F389" i="12"/>
  <c r="K393" i="12"/>
  <c r="F393" i="12"/>
  <c r="P397" i="12"/>
  <c r="F397" i="12"/>
  <c r="P409" i="12"/>
  <c r="F409" i="12"/>
  <c r="P413" i="12"/>
  <c r="F413" i="12"/>
  <c r="L429" i="12"/>
  <c r="F429" i="12"/>
  <c r="P437" i="12"/>
  <c r="F437" i="12"/>
  <c r="J449" i="12"/>
  <c r="F449" i="12"/>
  <c r="P457" i="12"/>
  <c r="F457" i="12"/>
  <c r="P469" i="12"/>
  <c r="F469" i="12"/>
  <c r="I473" i="12"/>
  <c r="F473" i="12"/>
  <c r="K477" i="12"/>
  <c r="F477" i="12"/>
  <c r="P493" i="12"/>
  <c r="F493" i="12"/>
  <c r="P513" i="12"/>
  <c r="F513" i="12"/>
  <c r="P521" i="12"/>
  <c r="F521" i="12"/>
  <c r="P270" i="12"/>
  <c r="F270" i="12"/>
  <c r="L274" i="12"/>
  <c r="F274" i="12"/>
  <c r="K278" i="12"/>
  <c r="F278" i="12"/>
  <c r="I282" i="12"/>
  <c r="F282" i="12"/>
  <c r="H290" i="12"/>
  <c r="F290" i="12"/>
  <c r="I298" i="12"/>
  <c r="F298" i="12"/>
  <c r="P302" i="12"/>
  <c r="F302" i="12"/>
  <c r="P318" i="12"/>
  <c r="F318" i="12"/>
  <c r="I330" i="12"/>
  <c r="F330" i="12"/>
  <c r="J334" i="12"/>
  <c r="F334" i="12"/>
  <c r="P342" i="12"/>
  <c r="F342" i="12"/>
  <c r="I346" i="12"/>
  <c r="F346" i="12"/>
  <c r="P350" i="12"/>
  <c r="F350" i="12"/>
  <c r="L358" i="12"/>
  <c r="F358" i="12"/>
  <c r="L362" i="12"/>
  <c r="F362" i="12"/>
  <c r="P366" i="12"/>
  <c r="F366" i="12"/>
  <c r="P378" i="12"/>
  <c r="F378" i="12"/>
  <c r="P386" i="12"/>
  <c r="F386" i="12"/>
  <c r="H390" i="12"/>
  <c r="F390" i="12"/>
  <c r="P398" i="12"/>
  <c r="F398" i="12"/>
  <c r="P402" i="12"/>
  <c r="F402" i="12"/>
  <c r="L406" i="12"/>
  <c r="F406" i="12"/>
  <c r="P418" i="12"/>
  <c r="F418" i="12"/>
  <c r="H422" i="12"/>
  <c r="F422" i="12"/>
  <c r="H426" i="12"/>
  <c r="F426" i="12"/>
  <c r="P434" i="12"/>
  <c r="F434" i="12"/>
  <c r="L442" i="12"/>
  <c r="F442" i="12"/>
  <c r="P446" i="12"/>
  <c r="F446" i="12"/>
  <c r="P450" i="12"/>
  <c r="F450" i="12"/>
  <c r="L454" i="12"/>
  <c r="F454" i="12"/>
  <c r="K458" i="12"/>
  <c r="F458" i="12"/>
  <c r="P466" i="12"/>
  <c r="F466" i="12"/>
  <c r="K474" i="12"/>
  <c r="F474" i="12"/>
  <c r="P478" i="12"/>
  <c r="F478" i="12"/>
  <c r="P482" i="12"/>
  <c r="F482" i="12"/>
  <c r="L486" i="12"/>
  <c r="F486" i="12"/>
  <c r="K490" i="12"/>
  <c r="F490" i="12"/>
  <c r="P494" i="12"/>
  <c r="F494" i="12"/>
  <c r="P498" i="12"/>
  <c r="F498" i="12"/>
  <c r="P502" i="12"/>
  <c r="F502" i="12"/>
  <c r="K506" i="12"/>
  <c r="F506" i="12"/>
  <c r="P510" i="12"/>
  <c r="F510" i="12"/>
  <c r="P514" i="12"/>
  <c r="F514" i="12"/>
  <c r="P518" i="12"/>
  <c r="F518" i="12"/>
  <c r="K522" i="12"/>
  <c r="F522" i="12"/>
  <c r="X5" i="3"/>
  <c r="Y5" i="3"/>
  <c r="P271" i="12"/>
  <c r="F271" i="12"/>
  <c r="H287" i="12"/>
  <c r="F287" i="12"/>
  <c r="P291" i="12"/>
  <c r="F291" i="12"/>
  <c r="H295" i="12"/>
  <c r="F295" i="12"/>
  <c r="H303" i="12"/>
  <c r="F303" i="12"/>
  <c r="P307" i="12"/>
  <c r="F307" i="12"/>
  <c r="K315" i="12"/>
  <c r="F315" i="12"/>
  <c r="H319" i="12"/>
  <c r="F319" i="12"/>
  <c r="P331" i="12"/>
  <c r="F331" i="12"/>
  <c r="H335" i="12"/>
  <c r="F335" i="12"/>
  <c r="P339" i="12"/>
  <c r="F339" i="12"/>
  <c r="H351" i="12"/>
  <c r="F351" i="12"/>
  <c r="P355" i="12"/>
  <c r="F355" i="12"/>
  <c r="L363" i="12"/>
  <c r="F363" i="12"/>
  <c r="H367" i="12"/>
  <c r="F367" i="12"/>
  <c r="P371" i="12"/>
  <c r="F371" i="12"/>
  <c r="P375" i="12"/>
  <c r="F375" i="12"/>
  <c r="K379" i="12"/>
  <c r="F379" i="12"/>
  <c r="L387" i="12"/>
  <c r="F387" i="12"/>
  <c r="P403" i="12"/>
  <c r="F403" i="12"/>
  <c r="I407" i="12"/>
  <c r="F407" i="12"/>
  <c r="K411" i="12"/>
  <c r="F411" i="12"/>
  <c r="J415" i="12"/>
  <c r="F415" i="12"/>
  <c r="L419" i="12"/>
  <c r="F419" i="12"/>
  <c r="P423" i="12"/>
  <c r="F423" i="12"/>
  <c r="K427" i="12"/>
  <c r="F427" i="12"/>
  <c r="J431" i="12"/>
  <c r="F431" i="12"/>
  <c r="P439" i="12"/>
  <c r="F439" i="12"/>
  <c r="J447" i="12"/>
  <c r="F447" i="12"/>
  <c r="L451" i="12"/>
  <c r="F451" i="12"/>
  <c r="P455" i="12"/>
  <c r="F455" i="12"/>
  <c r="K459" i="12"/>
  <c r="F459" i="12"/>
  <c r="J463" i="12"/>
  <c r="F463" i="12"/>
  <c r="P471" i="12"/>
  <c r="F471" i="12"/>
  <c r="K475" i="12"/>
  <c r="F475" i="12"/>
  <c r="J479" i="12"/>
  <c r="F479" i="12"/>
  <c r="J483" i="12"/>
  <c r="F483" i="12"/>
  <c r="P487" i="12"/>
  <c r="F487" i="12"/>
  <c r="J495" i="12"/>
  <c r="F495" i="12"/>
  <c r="H503" i="12"/>
  <c r="F503" i="12"/>
  <c r="P507" i="12"/>
  <c r="F507" i="12"/>
  <c r="J511" i="12"/>
  <c r="F511" i="12"/>
  <c r="J519" i="12"/>
  <c r="F519" i="12"/>
  <c r="P523" i="12"/>
  <c r="F523" i="12"/>
  <c r="F46" i="12"/>
  <c r="F50" i="12"/>
  <c r="F54" i="12"/>
  <c r="F5" i="12"/>
  <c r="F9" i="12"/>
  <c r="F13" i="12"/>
  <c r="F21" i="12"/>
  <c r="F33" i="12"/>
  <c r="F57" i="12"/>
  <c r="F61" i="12"/>
  <c r="F71" i="12"/>
  <c r="F75" i="12"/>
  <c r="F83" i="12"/>
  <c r="F91" i="12"/>
  <c r="F107" i="12"/>
  <c r="F115" i="12"/>
  <c r="F159" i="12"/>
  <c r="F163" i="12"/>
  <c r="F191" i="12"/>
  <c r="F203" i="12"/>
  <c r="F215" i="12"/>
  <c r="F255" i="12"/>
  <c r="F69" i="12"/>
  <c r="F77" i="12"/>
  <c r="F81" i="12"/>
  <c r="F89" i="12"/>
  <c r="F97" i="12"/>
  <c r="F117" i="12"/>
  <c r="F137" i="12"/>
  <c r="F189" i="12"/>
  <c r="F213" i="12"/>
  <c r="F249" i="12"/>
  <c r="F253" i="12"/>
  <c r="F64" i="12"/>
  <c r="F72" i="12"/>
  <c r="F88" i="12"/>
  <c r="F92" i="12"/>
  <c r="F104" i="12"/>
  <c r="F116" i="12"/>
  <c r="F128" i="12"/>
  <c r="F188" i="12"/>
  <c r="F244" i="12"/>
  <c r="L65" i="12"/>
  <c r="M65" i="12"/>
  <c r="N65" i="12"/>
  <c r="N69" i="12"/>
  <c r="M69" i="12"/>
  <c r="L73" i="12"/>
  <c r="M73" i="12"/>
  <c r="N73" i="12"/>
  <c r="J77" i="12"/>
  <c r="N77" i="12"/>
  <c r="M77" i="12"/>
  <c r="L81" i="12"/>
  <c r="M81" i="12"/>
  <c r="N81" i="12"/>
  <c r="N85" i="12"/>
  <c r="M85" i="12"/>
  <c r="L89" i="12"/>
  <c r="N89" i="12"/>
  <c r="M89" i="12"/>
  <c r="M93" i="12"/>
  <c r="N93" i="12"/>
  <c r="I97" i="12"/>
  <c r="M97" i="12"/>
  <c r="N97" i="12"/>
  <c r="N101" i="12"/>
  <c r="M101" i="12"/>
  <c r="L105" i="12"/>
  <c r="M105" i="12"/>
  <c r="N105" i="12"/>
  <c r="K109" i="12"/>
  <c r="M109" i="12"/>
  <c r="N109" i="12"/>
  <c r="L113" i="12"/>
  <c r="M113" i="12"/>
  <c r="N113" i="12"/>
  <c r="N117" i="12"/>
  <c r="M117" i="12"/>
  <c r="L121" i="12"/>
  <c r="M121" i="12"/>
  <c r="N121" i="12"/>
  <c r="L125" i="12"/>
  <c r="N125" i="12"/>
  <c r="M125" i="12"/>
  <c r="J129" i="12"/>
  <c r="M129" i="12"/>
  <c r="N129" i="12"/>
  <c r="N133" i="12"/>
  <c r="M133" i="12"/>
  <c r="L137" i="12"/>
  <c r="M137" i="12"/>
  <c r="N137" i="12"/>
  <c r="L141" i="12"/>
  <c r="N141" i="12"/>
  <c r="M141" i="12"/>
  <c r="L145" i="12"/>
  <c r="M145" i="12"/>
  <c r="N145" i="12"/>
  <c r="N149" i="12"/>
  <c r="M149" i="12"/>
  <c r="L153" i="12"/>
  <c r="M153" i="12"/>
  <c r="N153" i="12"/>
  <c r="L157" i="12"/>
  <c r="N157" i="12"/>
  <c r="M157" i="12"/>
  <c r="J161" i="12"/>
  <c r="M161" i="12"/>
  <c r="N161" i="12"/>
  <c r="N165" i="12"/>
  <c r="M165" i="12"/>
  <c r="L169" i="12"/>
  <c r="M169" i="12"/>
  <c r="N169" i="12"/>
  <c r="I173" i="12"/>
  <c r="N173" i="12"/>
  <c r="M173" i="12"/>
  <c r="L177" i="12"/>
  <c r="M177" i="12"/>
  <c r="N177" i="12"/>
  <c r="N181" i="12"/>
  <c r="M181" i="12"/>
  <c r="L185" i="12"/>
  <c r="N185" i="12"/>
  <c r="M185" i="12"/>
  <c r="I189" i="12"/>
  <c r="N189" i="12"/>
  <c r="M189" i="12"/>
  <c r="K193" i="12"/>
  <c r="M193" i="12"/>
  <c r="N193" i="12"/>
  <c r="N197" i="12"/>
  <c r="M197" i="12"/>
  <c r="L201" i="12"/>
  <c r="M201" i="12"/>
  <c r="N201" i="12"/>
  <c r="I205" i="12"/>
  <c r="N205" i="12"/>
  <c r="M205" i="12"/>
  <c r="K209" i="12"/>
  <c r="M209" i="12"/>
  <c r="N209" i="12"/>
  <c r="N213" i="12"/>
  <c r="M213" i="12"/>
  <c r="L217" i="12"/>
  <c r="M217" i="12"/>
  <c r="N217" i="12"/>
  <c r="I221" i="12"/>
  <c r="N221" i="12"/>
  <c r="M221" i="12"/>
  <c r="L225" i="12"/>
  <c r="M225" i="12"/>
  <c r="N225" i="12"/>
  <c r="N229" i="12"/>
  <c r="M229" i="12"/>
  <c r="L233" i="12"/>
  <c r="M233" i="12"/>
  <c r="N233" i="12"/>
  <c r="I237" i="12"/>
  <c r="M237" i="12"/>
  <c r="N237" i="12"/>
  <c r="I241" i="12"/>
  <c r="M241" i="12"/>
  <c r="N241" i="12"/>
  <c r="N245" i="12"/>
  <c r="M245" i="12"/>
  <c r="L249" i="12"/>
  <c r="M249" i="12"/>
  <c r="N249" i="12"/>
  <c r="J253" i="12"/>
  <c r="M253" i="12"/>
  <c r="N253" i="12"/>
  <c r="L257" i="12"/>
  <c r="M257" i="12"/>
  <c r="N257" i="12"/>
  <c r="N261" i="12"/>
  <c r="M261" i="12"/>
  <c r="L265" i="12"/>
  <c r="M265" i="12"/>
  <c r="N265" i="12"/>
  <c r="N5" i="12"/>
  <c r="M5" i="12"/>
  <c r="L9" i="12"/>
  <c r="M9" i="12"/>
  <c r="N9" i="12"/>
  <c r="H13" i="12"/>
  <c r="M13" i="12"/>
  <c r="N13" i="12"/>
  <c r="J17" i="12"/>
  <c r="M17" i="12"/>
  <c r="N17" i="12"/>
  <c r="N21" i="12"/>
  <c r="M21" i="12"/>
  <c r="L25" i="12"/>
  <c r="M25" i="12"/>
  <c r="N25" i="12"/>
  <c r="L29" i="12"/>
  <c r="M29" i="12"/>
  <c r="N29" i="12"/>
  <c r="L33" i="12"/>
  <c r="M33" i="12"/>
  <c r="N33" i="12"/>
  <c r="N37" i="12"/>
  <c r="M37" i="12"/>
  <c r="L41" i="12"/>
  <c r="N41" i="12"/>
  <c r="M41" i="12"/>
  <c r="L45" i="12"/>
  <c r="M45" i="12"/>
  <c r="N45" i="12"/>
  <c r="L49" i="12"/>
  <c r="M49" i="12"/>
  <c r="N49" i="12"/>
  <c r="N53" i="12"/>
  <c r="M53" i="12"/>
  <c r="L57" i="12"/>
  <c r="M57" i="12"/>
  <c r="N57" i="12"/>
  <c r="L61" i="12"/>
  <c r="N61" i="12"/>
  <c r="M61" i="12"/>
  <c r="L66" i="12"/>
  <c r="M66" i="12"/>
  <c r="N66" i="12"/>
  <c r="K70" i="12"/>
  <c r="M70" i="12"/>
  <c r="N70" i="12"/>
  <c r="L74" i="12"/>
  <c r="N74" i="12"/>
  <c r="M74" i="12"/>
  <c r="N78" i="12"/>
  <c r="M78" i="12"/>
  <c r="L82" i="12"/>
  <c r="M82" i="12"/>
  <c r="N82" i="12"/>
  <c r="L86" i="12"/>
  <c r="M86" i="12"/>
  <c r="N86" i="12"/>
  <c r="L90" i="12"/>
  <c r="M90" i="12"/>
  <c r="N90" i="12"/>
  <c r="M94" i="12"/>
  <c r="N94" i="12"/>
  <c r="L98" i="12"/>
  <c r="M98" i="12"/>
  <c r="N98" i="12"/>
  <c r="J102" i="12"/>
  <c r="M102" i="12"/>
  <c r="N102" i="12"/>
  <c r="L106" i="12"/>
  <c r="M106" i="12"/>
  <c r="N106" i="12"/>
  <c r="N110" i="12"/>
  <c r="M110" i="12"/>
  <c r="L114" i="12"/>
  <c r="M114" i="12"/>
  <c r="N114" i="12"/>
  <c r="L118" i="12"/>
  <c r="M118" i="12"/>
  <c r="N118" i="12"/>
  <c r="H122" i="12"/>
  <c r="N122" i="12"/>
  <c r="M122" i="12"/>
  <c r="N126" i="12"/>
  <c r="M126" i="12"/>
  <c r="L130" i="12"/>
  <c r="M130" i="12"/>
  <c r="N130" i="12"/>
  <c r="L134" i="12"/>
  <c r="M134" i="12"/>
  <c r="N134" i="12"/>
  <c r="L138" i="12"/>
  <c r="N138" i="12"/>
  <c r="M138" i="12"/>
  <c r="N142" i="12"/>
  <c r="M142" i="12"/>
  <c r="L146" i="12"/>
  <c r="M146" i="12"/>
  <c r="N146" i="12"/>
  <c r="L150" i="12"/>
  <c r="M150" i="12"/>
  <c r="N150" i="12"/>
  <c r="L154" i="12"/>
  <c r="M154" i="12"/>
  <c r="N154" i="12"/>
  <c r="M158" i="12"/>
  <c r="N158" i="12"/>
  <c r="L162" i="12"/>
  <c r="M162" i="12"/>
  <c r="N162" i="12"/>
  <c r="H166" i="12"/>
  <c r="M166" i="12"/>
  <c r="N166" i="12"/>
  <c r="L170" i="12"/>
  <c r="N170" i="12"/>
  <c r="M170" i="12"/>
  <c r="M174" i="12"/>
  <c r="N174" i="12"/>
  <c r="L178" i="12"/>
  <c r="M178" i="12"/>
  <c r="N178" i="12"/>
  <c r="H182" i="12"/>
  <c r="M182" i="12"/>
  <c r="N182" i="12"/>
  <c r="I186" i="12"/>
  <c r="N186" i="12"/>
  <c r="M186" i="12"/>
  <c r="M190" i="12"/>
  <c r="N190" i="12"/>
  <c r="L194" i="12"/>
  <c r="M194" i="12"/>
  <c r="N194" i="12"/>
  <c r="H198" i="12"/>
  <c r="M198" i="12"/>
  <c r="N198" i="12"/>
  <c r="K202" i="12"/>
  <c r="M202" i="12"/>
  <c r="N202" i="12"/>
  <c r="M206" i="12"/>
  <c r="N206" i="12"/>
  <c r="L210" i="12"/>
  <c r="M210" i="12"/>
  <c r="N210" i="12"/>
  <c r="H214" i="12"/>
  <c r="M214" i="12"/>
  <c r="N214" i="12"/>
  <c r="L218" i="12"/>
  <c r="M218" i="12"/>
  <c r="N218" i="12"/>
  <c r="M222" i="12"/>
  <c r="N222" i="12"/>
  <c r="L226" i="12"/>
  <c r="M226" i="12"/>
  <c r="N226" i="12"/>
  <c r="I230" i="12"/>
  <c r="M230" i="12"/>
  <c r="N230" i="12"/>
  <c r="K234" i="12"/>
  <c r="N234" i="12"/>
  <c r="M234" i="12"/>
  <c r="M238" i="12"/>
  <c r="N238" i="12"/>
  <c r="L242" i="12"/>
  <c r="M242" i="12"/>
  <c r="N242" i="12"/>
  <c r="I246" i="12"/>
  <c r="M246" i="12"/>
  <c r="N246" i="12"/>
  <c r="L250" i="12"/>
  <c r="M250" i="12"/>
  <c r="N250" i="12"/>
  <c r="N254" i="12"/>
  <c r="M254" i="12"/>
  <c r="L258" i="12"/>
  <c r="M258" i="12"/>
  <c r="N258" i="12"/>
  <c r="I262" i="12"/>
  <c r="M262" i="12"/>
  <c r="N262" i="12"/>
  <c r="L266" i="12"/>
  <c r="N266" i="12"/>
  <c r="M266" i="12"/>
  <c r="L6" i="12"/>
  <c r="M6" i="12"/>
  <c r="N6" i="12"/>
  <c r="K10" i="12"/>
  <c r="N10" i="12"/>
  <c r="M10" i="12"/>
  <c r="M14" i="12"/>
  <c r="N14" i="12"/>
  <c r="L18" i="12"/>
  <c r="M18" i="12"/>
  <c r="N18" i="12"/>
  <c r="K22" i="12"/>
  <c r="M22" i="12"/>
  <c r="N22" i="12"/>
  <c r="L26" i="12"/>
  <c r="N26" i="12"/>
  <c r="M26" i="12"/>
  <c r="N30" i="12"/>
  <c r="M30" i="12"/>
  <c r="L34" i="12"/>
  <c r="M34" i="12"/>
  <c r="N34" i="12"/>
  <c r="L38" i="12"/>
  <c r="M38" i="12"/>
  <c r="N38" i="12"/>
  <c r="J42" i="12"/>
  <c r="M42" i="12"/>
  <c r="N42" i="12"/>
  <c r="M46" i="12"/>
  <c r="N46" i="12"/>
  <c r="L50" i="12"/>
  <c r="M50" i="12"/>
  <c r="N50" i="12"/>
  <c r="L54" i="12"/>
  <c r="M54" i="12"/>
  <c r="N54" i="12"/>
  <c r="L58" i="12"/>
  <c r="M58" i="12"/>
  <c r="N58" i="12"/>
  <c r="N62" i="12"/>
  <c r="M62" i="12"/>
  <c r="L67" i="12"/>
  <c r="M67" i="12"/>
  <c r="N67" i="12"/>
  <c r="L71" i="12"/>
  <c r="N71" i="12"/>
  <c r="M71" i="12"/>
  <c r="K75" i="12"/>
  <c r="M75" i="12"/>
  <c r="N75" i="12"/>
  <c r="L79" i="12"/>
  <c r="N79" i="12"/>
  <c r="M79" i="12"/>
  <c r="L83" i="12"/>
  <c r="M83" i="12"/>
  <c r="N83" i="12"/>
  <c r="L87" i="12"/>
  <c r="N87" i="12"/>
  <c r="M87" i="12"/>
  <c r="K91" i="12"/>
  <c r="M91" i="12"/>
  <c r="N91" i="12"/>
  <c r="K95" i="12"/>
  <c r="M95" i="12"/>
  <c r="N95" i="12"/>
  <c r="L99" i="12"/>
  <c r="M99" i="12"/>
  <c r="N99" i="12"/>
  <c r="L103" i="12"/>
  <c r="N103" i="12"/>
  <c r="M103" i="12"/>
  <c r="K107" i="12"/>
  <c r="M107" i="12"/>
  <c r="N107" i="12"/>
  <c r="L111" i="12"/>
  <c r="N111" i="12"/>
  <c r="M111" i="12"/>
  <c r="L115" i="12"/>
  <c r="M115" i="12"/>
  <c r="N115" i="12"/>
  <c r="L119" i="12"/>
  <c r="M119" i="12"/>
  <c r="N119" i="12"/>
  <c r="L123" i="12"/>
  <c r="M123" i="12"/>
  <c r="N123" i="12"/>
  <c r="J127" i="12"/>
  <c r="N127" i="12"/>
  <c r="M127" i="12"/>
  <c r="L131" i="12"/>
  <c r="M131" i="12"/>
  <c r="N131" i="12"/>
  <c r="L135" i="12"/>
  <c r="M135" i="12"/>
  <c r="N135" i="12"/>
  <c r="L139" i="12"/>
  <c r="M139" i="12"/>
  <c r="N139" i="12"/>
  <c r="L143" i="12"/>
  <c r="N143" i="12"/>
  <c r="M143" i="12"/>
  <c r="L147" i="12"/>
  <c r="M147" i="12"/>
  <c r="N147" i="12"/>
  <c r="L151" i="12"/>
  <c r="M151" i="12"/>
  <c r="N151" i="12"/>
  <c r="L155" i="12"/>
  <c r="M155" i="12"/>
  <c r="N155" i="12"/>
  <c r="L159" i="12"/>
  <c r="M159" i="12"/>
  <c r="N159" i="12"/>
  <c r="L163" i="12"/>
  <c r="M163" i="12"/>
  <c r="N163" i="12"/>
  <c r="L167" i="12"/>
  <c r="N167" i="12"/>
  <c r="M167" i="12"/>
  <c r="L171" i="12"/>
  <c r="M171" i="12"/>
  <c r="N171" i="12"/>
  <c r="L175" i="12"/>
  <c r="M175" i="12"/>
  <c r="N175" i="12"/>
  <c r="L179" i="12"/>
  <c r="M179" i="12"/>
  <c r="N179" i="12"/>
  <c r="L183" i="12"/>
  <c r="M183" i="12"/>
  <c r="N183" i="12"/>
  <c r="L187" i="12"/>
  <c r="M187" i="12"/>
  <c r="N187" i="12"/>
  <c r="L191" i="12"/>
  <c r="M191" i="12"/>
  <c r="N191" i="12"/>
  <c r="L195" i="12"/>
  <c r="M195" i="12"/>
  <c r="N195" i="12"/>
  <c r="L199" i="12"/>
  <c r="M199" i="12"/>
  <c r="N199" i="12"/>
  <c r="L203" i="12"/>
  <c r="M203" i="12"/>
  <c r="N203" i="12"/>
  <c r="H207" i="12"/>
  <c r="N207" i="12"/>
  <c r="M207" i="12"/>
  <c r="L211" i="12"/>
  <c r="M211" i="12"/>
  <c r="N211" i="12"/>
  <c r="L215" i="12"/>
  <c r="M215" i="12"/>
  <c r="N215" i="12"/>
  <c r="L219" i="12"/>
  <c r="M219" i="12"/>
  <c r="N219" i="12"/>
  <c r="L223" i="12"/>
  <c r="N223" i="12"/>
  <c r="M223" i="12"/>
  <c r="J227" i="12"/>
  <c r="M227" i="12"/>
  <c r="N227" i="12"/>
  <c r="L231" i="12"/>
  <c r="M231" i="12"/>
  <c r="N231" i="12"/>
  <c r="L235" i="12"/>
  <c r="M235" i="12"/>
  <c r="N235" i="12"/>
  <c r="L239" i="12"/>
  <c r="M239" i="12"/>
  <c r="N239" i="12"/>
  <c r="H243" i="12"/>
  <c r="M243" i="12"/>
  <c r="N243" i="12"/>
  <c r="L247" i="12"/>
  <c r="M247" i="12"/>
  <c r="N247" i="12"/>
  <c r="L251" i="12"/>
  <c r="M251" i="12"/>
  <c r="N251" i="12"/>
  <c r="H255" i="12"/>
  <c r="N255" i="12"/>
  <c r="M255" i="12"/>
  <c r="J259" i="12"/>
  <c r="M259" i="12"/>
  <c r="N259" i="12"/>
  <c r="L263" i="12"/>
  <c r="N263" i="12"/>
  <c r="M263" i="12"/>
  <c r="L267" i="12"/>
  <c r="M267" i="12"/>
  <c r="N267" i="12"/>
  <c r="L7" i="12"/>
  <c r="M7" i="12"/>
  <c r="N7" i="12"/>
  <c r="N11" i="12"/>
  <c r="M11" i="12"/>
  <c r="L15" i="12"/>
  <c r="M15" i="12"/>
  <c r="N15" i="12"/>
  <c r="L19" i="12"/>
  <c r="M19" i="12"/>
  <c r="N19" i="12"/>
  <c r="L23" i="12"/>
  <c r="M23" i="12"/>
  <c r="N23" i="12"/>
  <c r="J27" i="12"/>
  <c r="M27" i="12"/>
  <c r="N27" i="12"/>
  <c r="L31" i="12"/>
  <c r="M31" i="12"/>
  <c r="N31" i="12"/>
  <c r="L35" i="12"/>
  <c r="M35" i="12"/>
  <c r="N35" i="12"/>
  <c r="L39" i="12"/>
  <c r="M39" i="12"/>
  <c r="N39" i="12"/>
  <c r="J43" i="12"/>
  <c r="M43" i="12"/>
  <c r="N43" i="12"/>
  <c r="J47" i="12"/>
  <c r="N47" i="12"/>
  <c r="M47" i="12"/>
  <c r="L51" i="12"/>
  <c r="M51" i="12"/>
  <c r="N51" i="12"/>
  <c r="L55" i="12"/>
  <c r="M55" i="12"/>
  <c r="N55" i="12"/>
  <c r="K59" i="12"/>
  <c r="M59" i="12"/>
  <c r="N59" i="12"/>
  <c r="N63" i="12"/>
  <c r="M63" i="12"/>
  <c r="L64" i="12"/>
  <c r="M64" i="12"/>
  <c r="N64" i="12"/>
  <c r="H68" i="12"/>
  <c r="M68" i="12"/>
  <c r="N68" i="12"/>
  <c r="I72" i="12"/>
  <c r="N72" i="12"/>
  <c r="M72" i="12"/>
  <c r="L76" i="12"/>
  <c r="M76" i="12"/>
  <c r="N76" i="12"/>
  <c r="L80" i="12"/>
  <c r="M80" i="12"/>
  <c r="N80" i="12"/>
  <c r="H84" i="12"/>
  <c r="M84" i="12"/>
  <c r="N84" i="12"/>
  <c r="L88" i="12"/>
  <c r="M88" i="12"/>
  <c r="N88" i="12"/>
  <c r="L92" i="12"/>
  <c r="M92" i="12"/>
  <c r="N92" i="12"/>
  <c r="L96" i="12"/>
  <c r="M96" i="12"/>
  <c r="N96" i="12"/>
  <c r="L100" i="12"/>
  <c r="M100" i="12"/>
  <c r="N100" i="12"/>
  <c r="J104" i="12"/>
  <c r="M104" i="12"/>
  <c r="N104" i="12"/>
  <c r="L108" i="12"/>
  <c r="M108" i="12"/>
  <c r="N108" i="12"/>
  <c r="L112" i="12"/>
  <c r="M112" i="12"/>
  <c r="N112" i="12"/>
  <c r="L116" i="12"/>
  <c r="M116" i="12"/>
  <c r="N116" i="12"/>
  <c r="L120" i="12"/>
  <c r="M120" i="12"/>
  <c r="N120" i="12"/>
  <c r="L124" i="12"/>
  <c r="M124" i="12"/>
  <c r="N124" i="12"/>
  <c r="L128" i="12"/>
  <c r="M128" i="12"/>
  <c r="N128" i="12"/>
  <c r="L132" i="12"/>
  <c r="M132" i="12"/>
  <c r="N132" i="12"/>
  <c r="J136" i="12"/>
  <c r="M136" i="12"/>
  <c r="N136" i="12"/>
  <c r="L140" i="12"/>
  <c r="N140" i="12"/>
  <c r="M140" i="12"/>
  <c r="L144" i="12"/>
  <c r="M144" i="12"/>
  <c r="N144" i="12"/>
  <c r="L148" i="12"/>
  <c r="M148" i="12"/>
  <c r="N148" i="12"/>
  <c r="L152" i="12"/>
  <c r="M152" i="12"/>
  <c r="N152" i="12"/>
  <c r="L156" i="12"/>
  <c r="N156" i="12"/>
  <c r="M156" i="12"/>
  <c r="L160" i="12"/>
  <c r="M160" i="12"/>
  <c r="N160" i="12"/>
  <c r="H164" i="12"/>
  <c r="M164" i="12"/>
  <c r="N164" i="12"/>
  <c r="K168" i="12"/>
  <c r="M168" i="12"/>
  <c r="N168" i="12"/>
  <c r="L172" i="12"/>
  <c r="M172" i="12"/>
  <c r="N172" i="12"/>
  <c r="L176" i="12"/>
  <c r="N176" i="12"/>
  <c r="M176" i="12"/>
  <c r="J180" i="12"/>
  <c r="M180" i="12"/>
  <c r="N180" i="12"/>
  <c r="K184" i="12"/>
  <c r="N184" i="12"/>
  <c r="M184" i="12"/>
  <c r="L188" i="12"/>
  <c r="M188" i="12"/>
  <c r="N188" i="12"/>
  <c r="L192" i="12"/>
  <c r="N192" i="12"/>
  <c r="M192" i="12"/>
  <c r="J196" i="12"/>
  <c r="M196" i="12"/>
  <c r="N196" i="12"/>
  <c r="L200" i="12"/>
  <c r="N200" i="12"/>
  <c r="M200" i="12"/>
  <c r="L204" i="12"/>
  <c r="N204" i="12"/>
  <c r="M204" i="12"/>
  <c r="L208" i="12"/>
  <c r="N208" i="12"/>
  <c r="M208" i="12"/>
  <c r="J212" i="12"/>
  <c r="M212" i="12"/>
  <c r="N212" i="12"/>
  <c r="M216" i="12"/>
  <c r="N216" i="12"/>
  <c r="L220" i="12"/>
  <c r="M220" i="12"/>
  <c r="N220" i="12"/>
  <c r="L224" i="12"/>
  <c r="M224" i="12"/>
  <c r="N224" i="12"/>
  <c r="J228" i="12"/>
  <c r="M228" i="12"/>
  <c r="N228" i="12"/>
  <c r="L232" i="12"/>
  <c r="N232" i="12"/>
  <c r="M232" i="12"/>
  <c r="L236" i="12"/>
  <c r="N236" i="12"/>
  <c r="M236" i="12"/>
  <c r="L240" i="12"/>
  <c r="N240" i="12"/>
  <c r="M240" i="12"/>
  <c r="K244" i="12"/>
  <c r="M244" i="12"/>
  <c r="N244" i="12"/>
  <c r="K248" i="12"/>
  <c r="M248" i="12"/>
  <c r="N248" i="12"/>
  <c r="L252" i="12"/>
  <c r="N252" i="12"/>
  <c r="M252" i="12"/>
  <c r="L256" i="12"/>
  <c r="N256" i="12"/>
  <c r="M256" i="12"/>
  <c r="K260" i="12"/>
  <c r="M260" i="12"/>
  <c r="N260" i="12"/>
  <c r="L264" i="12"/>
  <c r="M264" i="12"/>
  <c r="N264" i="12"/>
  <c r="M8" i="12"/>
  <c r="N8" i="12"/>
  <c r="R8" i="12" s="1"/>
  <c r="M12" i="12"/>
  <c r="N12" i="12"/>
  <c r="L16" i="12"/>
  <c r="M16" i="12"/>
  <c r="N16" i="12"/>
  <c r="I20" i="12"/>
  <c r="M20" i="12"/>
  <c r="N20" i="12"/>
  <c r="L24" i="12"/>
  <c r="N24" i="12"/>
  <c r="M24" i="12"/>
  <c r="M28" i="12"/>
  <c r="N28" i="12"/>
  <c r="L32" i="12"/>
  <c r="M32" i="12"/>
  <c r="N32" i="12"/>
  <c r="H36" i="12"/>
  <c r="M36" i="12"/>
  <c r="N36" i="12"/>
  <c r="L40" i="12"/>
  <c r="M40" i="12"/>
  <c r="N40" i="12"/>
  <c r="L44" i="12"/>
  <c r="M44" i="12"/>
  <c r="N44" i="12"/>
  <c r="L48" i="12"/>
  <c r="M48" i="12"/>
  <c r="N48" i="12"/>
  <c r="H52" i="12"/>
  <c r="M52" i="12"/>
  <c r="N52" i="12"/>
  <c r="L56" i="12"/>
  <c r="M56" i="12"/>
  <c r="N56" i="12"/>
  <c r="L60" i="12"/>
  <c r="M60" i="12"/>
  <c r="N60" i="12"/>
  <c r="L63" i="12"/>
  <c r="L216" i="12"/>
  <c r="K216" i="12"/>
  <c r="F239" i="12"/>
  <c r="G141" i="12"/>
  <c r="G265" i="12"/>
  <c r="L202" i="12"/>
  <c r="J418" i="12"/>
  <c r="I303" i="12"/>
  <c r="P483" i="12"/>
  <c r="L511" i="12"/>
  <c r="K456" i="12"/>
  <c r="F217" i="12"/>
  <c r="F229" i="12"/>
  <c r="H9" i="1"/>
  <c r="E40" i="12"/>
  <c r="E154" i="12"/>
  <c r="F111" i="12"/>
  <c r="E246" i="12"/>
  <c r="E230" i="12"/>
  <c r="E134" i="12"/>
  <c r="E197" i="12"/>
  <c r="E181" i="12"/>
  <c r="E165" i="12"/>
  <c r="E133" i="12"/>
  <c r="E85" i="12"/>
  <c r="E182" i="12"/>
  <c r="E198" i="12"/>
  <c r="E259" i="12"/>
  <c r="E243" i="12"/>
  <c r="E99" i="12"/>
  <c r="E67" i="12"/>
  <c r="E257" i="12"/>
  <c r="E37" i="12"/>
  <c r="E146" i="12"/>
  <c r="E211" i="12"/>
  <c r="E240" i="12"/>
  <c r="E261" i="12"/>
  <c r="E238" i="12"/>
  <c r="E222" i="12"/>
  <c r="E206" i="12"/>
  <c r="E78" i="12"/>
  <c r="E30" i="12"/>
  <c r="E205" i="12"/>
  <c r="E125" i="12"/>
  <c r="E45" i="12"/>
  <c r="E147" i="12"/>
  <c r="E167" i="12"/>
  <c r="E175" i="12"/>
  <c r="E179" i="12"/>
  <c r="E183" i="12"/>
  <c r="E195" i="12"/>
  <c r="E199" i="12"/>
  <c r="E131" i="12"/>
  <c r="E142" i="12"/>
  <c r="E29" i="12"/>
  <c r="E229" i="12"/>
  <c r="E237" i="12"/>
  <c r="E245" i="12"/>
  <c r="E262" i="12"/>
  <c r="E204" i="12"/>
  <c r="E263" i="12"/>
  <c r="E231" i="12"/>
  <c r="E247" i="12"/>
  <c r="E151" i="12"/>
  <c r="E135" i="12"/>
  <c r="E87" i="12"/>
  <c r="E55" i="12"/>
  <c r="E217" i="12"/>
  <c r="E122" i="12"/>
  <c r="E73" i="12"/>
  <c r="E105" i="12"/>
  <c r="E169" i="12"/>
  <c r="E185" i="12"/>
  <c r="E201" i="12"/>
  <c r="E218" i="12"/>
  <c r="E170" i="12"/>
  <c r="E186" i="12"/>
  <c r="E202" i="12"/>
  <c r="E232" i="12"/>
  <c r="E248" i="12"/>
  <c r="E265" i="12"/>
  <c r="E216" i="12"/>
  <c r="E138" i="12"/>
  <c r="E120" i="12"/>
  <c r="E233" i="12"/>
  <c r="E267" i="12"/>
  <c r="E235" i="12"/>
  <c r="E156" i="12"/>
  <c r="E219" i="12"/>
  <c r="E172" i="12"/>
  <c r="E27" i="12"/>
  <c r="E28" i="12"/>
  <c r="E171" i="12"/>
  <c r="E187" i="12"/>
  <c r="E220" i="12"/>
  <c r="E44" i="12"/>
  <c r="E60" i="12"/>
  <c r="E76" i="12"/>
  <c r="E108" i="12"/>
  <c r="E143" i="12"/>
  <c r="E239" i="12"/>
  <c r="E223" i="12"/>
  <c r="E208" i="12"/>
  <c r="E144" i="12"/>
  <c r="E160" i="12"/>
  <c r="E112" i="12"/>
  <c r="E96" i="12"/>
  <c r="E17" i="12"/>
  <c r="E65" i="12"/>
  <c r="E241" i="12"/>
  <c r="E177" i="12"/>
  <c r="E193" i="12"/>
  <c r="E209" i="12"/>
  <c r="E145" i="12"/>
  <c r="E161" i="12"/>
  <c r="E129" i="12"/>
  <c r="E130" i="12"/>
  <c r="E66" i="12"/>
  <c r="E178" i="12"/>
  <c r="E194" i="12"/>
  <c r="E212" i="12"/>
  <c r="E52" i="12"/>
  <c r="E68" i="12"/>
  <c r="E84" i="12"/>
  <c r="E100" i="12"/>
  <c r="F165" i="12"/>
  <c r="F181" i="12"/>
  <c r="E155" i="12"/>
  <c r="G37" i="12"/>
  <c r="K212" i="12"/>
  <c r="F186" i="12"/>
  <c r="F207" i="12"/>
  <c r="G267" i="12"/>
  <c r="G35" i="12"/>
  <c r="G79" i="12"/>
  <c r="G95" i="12"/>
  <c r="G111" i="12"/>
  <c r="F60" i="12"/>
  <c r="F124" i="12"/>
  <c r="F185" i="12"/>
  <c r="L212" i="12"/>
  <c r="F234" i="12"/>
  <c r="F250" i="12"/>
  <c r="G234" i="12"/>
  <c r="G108" i="12"/>
  <c r="G120" i="12"/>
  <c r="G124" i="12"/>
  <c r="G136" i="12"/>
  <c r="G196" i="12"/>
  <c r="W6" i="3"/>
  <c r="X6" i="3" s="1"/>
  <c r="F208" i="12"/>
  <c r="F30" i="12"/>
  <c r="F243" i="12"/>
  <c r="F259" i="12"/>
  <c r="F235" i="12"/>
  <c r="F251" i="12"/>
  <c r="F141" i="12"/>
  <c r="G99" i="12"/>
  <c r="G207" i="12"/>
  <c r="G266" i="12"/>
  <c r="G219" i="12"/>
  <c r="F127" i="12"/>
  <c r="W7" i="3"/>
  <c r="X7" i="3" s="1"/>
  <c r="F66" i="12"/>
  <c r="F175" i="12"/>
  <c r="G239" i="12"/>
  <c r="G66" i="12"/>
  <c r="G175" i="12"/>
  <c r="G243" i="12"/>
  <c r="X220" i="3"/>
  <c r="G186" i="12"/>
  <c r="E121" i="12"/>
  <c r="H386" i="12"/>
  <c r="G222" i="12"/>
  <c r="F224" i="12"/>
  <c r="F256" i="12"/>
  <c r="G14" i="12"/>
  <c r="H35" i="12"/>
  <c r="F205" i="12"/>
  <c r="G181" i="12"/>
  <c r="F41" i="12"/>
  <c r="I77" i="12"/>
  <c r="G217" i="12"/>
  <c r="F73" i="12"/>
  <c r="F162" i="12"/>
  <c r="G51" i="12"/>
  <c r="G55" i="12"/>
  <c r="L59" i="12"/>
  <c r="L205" i="12"/>
  <c r="F43" i="12"/>
  <c r="F240" i="12"/>
  <c r="K186" i="12"/>
  <c r="G131" i="12"/>
  <c r="L186" i="12"/>
  <c r="H225" i="12"/>
  <c r="K127" i="12"/>
  <c r="K179" i="12"/>
  <c r="F130" i="12"/>
  <c r="F201" i="12"/>
  <c r="J100" i="12"/>
  <c r="K100" i="12"/>
  <c r="F138" i="12"/>
  <c r="F227" i="12"/>
  <c r="J11" i="12"/>
  <c r="P393" i="12"/>
  <c r="G109" i="12"/>
  <c r="H136" i="12"/>
  <c r="J241" i="12"/>
  <c r="F156" i="12"/>
  <c r="F195" i="12"/>
  <c r="K241" i="12"/>
  <c r="G156" i="12"/>
  <c r="K516" i="12"/>
  <c r="I234" i="12"/>
  <c r="L241" i="12"/>
  <c r="K102" i="12"/>
  <c r="L234" i="12"/>
  <c r="F109" i="12"/>
  <c r="L418" i="12"/>
  <c r="L17" i="12"/>
  <c r="L102" i="12"/>
  <c r="L196" i="12"/>
  <c r="F168" i="12"/>
  <c r="H297" i="12"/>
  <c r="P442" i="12"/>
  <c r="J84" i="12"/>
  <c r="G168" i="12"/>
  <c r="P407" i="12"/>
  <c r="G93" i="12"/>
  <c r="H100" i="12"/>
  <c r="I212" i="12"/>
  <c r="L10" i="12"/>
  <c r="H77" i="12"/>
  <c r="I100" i="12"/>
  <c r="L189" i="12"/>
  <c r="H498" i="12"/>
  <c r="F176" i="12"/>
  <c r="G218" i="12"/>
  <c r="J365" i="12"/>
  <c r="K404" i="12"/>
  <c r="L127" i="12"/>
  <c r="F202" i="12"/>
  <c r="I351" i="12"/>
  <c r="I386" i="12"/>
  <c r="J397" i="12"/>
  <c r="F173" i="12"/>
  <c r="H276" i="12"/>
  <c r="H298" i="12"/>
  <c r="J386" i="12"/>
  <c r="K397" i="12"/>
  <c r="I122" i="12"/>
  <c r="H125" i="12"/>
  <c r="G202" i="12"/>
  <c r="I276" i="12"/>
  <c r="J302" i="12"/>
  <c r="H379" i="12"/>
  <c r="I419" i="12"/>
  <c r="J473" i="12"/>
  <c r="H33" i="12"/>
  <c r="H65" i="12"/>
  <c r="K97" i="12"/>
  <c r="J122" i="12"/>
  <c r="I125" i="12"/>
  <c r="H177" i="12"/>
  <c r="J257" i="12"/>
  <c r="K276" i="12"/>
  <c r="K473" i="12"/>
  <c r="I65" i="12"/>
  <c r="L97" i="12"/>
  <c r="K122" i="12"/>
  <c r="J125" i="12"/>
  <c r="J166" i="12"/>
  <c r="I177" i="12"/>
  <c r="K257" i="12"/>
  <c r="L473" i="12"/>
  <c r="J65" i="12"/>
  <c r="L122" i="12"/>
  <c r="K125" i="12"/>
  <c r="K166" i="12"/>
  <c r="J177" i="12"/>
  <c r="G250" i="12"/>
  <c r="P473" i="12"/>
  <c r="H63" i="12"/>
  <c r="K65" i="12"/>
  <c r="K136" i="12"/>
  <c r="L166" i="12"/>
  <c r="K177" i="12"/>
  <c r="I225" i="12"/>
  <c r="L246" i="12"/>
  <c r="F65" i="12"/>
  <c r="K349" i="12"/>
  <c r="I63" i="12"/>
  <c r="H95" i="12"/>
  <c r="L136" i="12"/>
  <c r="J225" i="12"/>
  <c r="L349" i="12"/>
  <c r="H45" i="12"/>
  <c r="J63" i="12"/>
  <c r="I95" i="12"/>
  <c r="I164" i="12"/>
  <c r="F196" i="12"/>
  <c r="K225" i="12"/>
  <c r="G103" i="12"/>
  <c r="J303" i="12"/>
  <c r="J448" i="12"/>
  <c r="H493" i="12"/>
  <c r="H42" i="12"/>
  <c r="I45" i="12"/>
  <c r="K63" i="12"/>
  <c r="J95" i="12"/>
  <c r="J164" i="12"/>
  <c r="L243" i="12"/>
  <c r="G29" i="12"/>
  <c r="L293" i="12"/>
  <c r="L307" i="12"/>
  <c r="H346" i="12"/>
  <c r="P448" i="12"/>
  <c r="K493" i="12"/>
  <c r="L27" i="12"/>
  <c r="K42" i="12"/>
  <c r="J45" i="12"/>
  <c r="L95" i="12"/>
  <c r="K164" i="12"/>
  <c r="F29" i="12"/>
  <c r="G187" i="12"/>
  <c r="I418" i="12"/>
  <c r="L493" i="12"/>
  <c r="J20" i="12"/>
  <c r="L42" i="12"/>
  <c r="K45" i="12"/>
  <c r="L164" i="12"/>
  <c r="I297" i="12"/>
  <c r="H456" i="12"/>
  <c r="H17" i="12"/>
  <c r="K20" i="12"/>
  <c r="I74" i="12"/>
  <c r="K77" i="12"/>
  <c r="I109" i="12"/>
  <c r="J189" i="12"/>
  <c r="G238" i="12"/>
  <c r="H241" i="12"/>
  <c r="F122" i="12"/>
  <c r="P282" i="12"/>
  <c r="J297" i="12"/>
  <c r="J407" i="12"/>
  <c r="K418" i="12"/>
  <c r="I456" i="12"/>
  <c r="K17" i="12"/>
  <c r="L20" i="12"/>
  <c r="J74" i="12"/>
  <c r="L77" i="12"/>
  <c r="L109" i="12"/>
  <c r="J186" i="12"/>
  <c r="K189" i="12"/>
  <c r="H234" i="12"/>
  <c r="K259" i="12"/>
  <c r="F143" i="12"/>
  <c r="F8" i="12"/>
  <c r="F223" i="12"/>
  <c r="G40" i="12"/>
  <c r="J276" i="12"/>
  <c r="I390" i="12"/>
  <c r="H429" i="12"/>
  <c r="H439" i="12"/>
  <c r="H446" i="12"/>
  <c r="H471" i="12"/>
  <c r="H40" i="12"/>
  <c r="K52" i="12"/>
  <c r="I116" i="12"/>
  <c r="H143" i="12"/>
  <c r="H161" i="12"/>
  <c r="H223" i="12"/>
  <c r="F265" i="12"/>
  <c r="P319" i="12"/>
  <c r="I334" i="12"/>
  <c r="H380" i="12"/>
  <c r="L426" i="12"/>
  <c r="I429" i="12"/>
  <c r="K439" i="12"/>
  <c r="I446" i="12"/>
  <c r="J464" i="12"/>
  <c r="I471" i="12"/>
  <c r="H15" i="12"/>
  <c r="I40" i="12"/>
  <c r="L52" i="12"/>
  <c r="G60" i="12"/>
  <c r="J116" i="12"/>
  <c r="H147" i="12"/>
  <c r="K161" i="12"/>
  <c r="H184" i="12"/>
  <c r="H193" i="12"/>
  <c r="L209" i="12"/>
  <c r="I223" i="12"/>
  <c r="L244" i="12"/>
  <c r="I301" i="12"/>
  <c r="K334" i="12"/>
  <c r="I380" i="12"/>
  <c r="P426" i="12"/>
  <c r="J429" i="12"/>
  <c r="L439" i="12"/>
  <c r="J446" i="12"/>
  <c r="H462" i="12"/>
  <c r="P464" i="12"/>
  <c r="J471" i="12"/>
  <c r="K494" i="12"/>
  <c r="I15" i="12"/>
  <c r="J40" i="12"/>
  <c r="F132" i="12"/>
  <c r="H134" i="12"/>
  <c r="I147" i="12"/>
  <c r="L161" i="12"/>
  <c r="I184" i="12"/>
  <c r="L193" i="12"/>
  <c r="J223" i="12"/>
  <c r="F52" i="12"/>
  <c r="L334" i="12"/>
  <c r="P373" i="12"/>
  <c r="J380" i="12"/>
  <c r="I387" i="12"/>
  <c r="K429" i="12"/>
  <c r="K446" i="12"/>
  <c r="I462" i="12"/>
  <c r="L494" i="12"/>
  <c r="J15" i="12"/>
  <c r="H38" i="12"/>
  <c r="K40" i="12"/>
  <c r="I134" i="12"/>
  <c r="J147" i="12"/>
  <c r="H159" i="12"/>
  <c r="J184" i="12"/>
  <c r="K223" i="12"/>
  <c r="I232" i="12"/>
  <c r="G52" i="12"/>
  <c r="G228" i="12"/>
  <c r="P429" i="12"/>
  <c r="L446" i="12"/>
  <c r="J462" i="12"/>
  <c r="K15" i="12"/>
  <c r="I38" i="12"/>
  <c r="J72" i="12"/>
  <c r="J134" i="12"/>
  <c r="K147" i="12"/>
  <c r="H150" i="12"/>
  <c r="I159" i="12"/>
  <c r="L184" i="12"/>
  <c r="J232" i="12"/>
  <c r="P274" i="12"/>
  <c r="K462" i="12"/>
  <c r="I35" i="12"/>
  <c r="J38" i="12"/>
  <c r="K72" i="12"/>
  <c r="L107" i="12"/>
  <c r="H132" i="12"/>
  <c r="K134" i="12"/>
  <c r="H154" i="12"/>
  <c r="J159" i="12"/>
  <c r="I207" i="12"/>
  <c r="L248" i="12"/>
  <c r="K262" i="12"/>
  <c r="F170" i="12"/>
  <c r="L462" i="12"/>
  <c r="J35" i="12"/>
  <c r="K38" i="12"/>
  <c r="L72" i="12"/>
  <c r="H90" i="12"/>
  <c r="I99" i="12"/>
  <c r="H104" i="12"/>
  <c r="H129" i="12"/>
  <c r="I132" i="12"/>
  <c r="I141" i="12"/>
  <c r="I154" i="12"/>
  <c r="H157" i="12"/>
  <c r="K159" i="12"/>
  <c r="J207" i="12"/>
  <c r="H259" i="12"/>
  <c r="L262" i="12"/>
  <c r="G170" i="12"/>
  <c r="P462" i="12"/>
  <c r="I90" i="12"/>
  <c r="J99" i="12"/>
  <c r="K104" i="12"/>
  <c r="K129" i="12"/>
  <c r="J132" i="12"/>
  <c r="J141" i="12"/>
  <c r="J154" i="12"/>
  <c r="I157" i="12"/>
  <c r="L168" i="12"/>
  <c r="I191" i="12"/>
  <c r="K207" i="12"/>
  <c r="J221" i="12"/>
  <c r="I266" i="12"/>
  <c r="J271" i="12"/>
  <c r="I360" i="12"/>
  <c r="I367" i="12"/>
  <c r="H475" i="12"/>
  <c r="I22" i="12"/>
  <c r="I33" i="12"/>
  <c r="H70" i="12"/>
  <c r="J90" i="12"/>
  <c r="L104" i="12"/>
  <c r="H115" i="12"/>
  <c r="L129" i="12"/>
  <c r="K132" i="12"/>
  <c r="K154" i="12"/>
  <c r="J157" i="12"/>
  <c r="J191" i="12"/>
  <c r="H202" i="12"/>
  <c r="L207" i="12"/>
  <c r="J230" i="12"/>
  <c r="L259" i="12"/>
  <c r="H285" i="12"/>
  <c r="H357" i="12"/>
  <c r="J360" i="12"/>
  <c r="L367" i="12"/>
  <c r="I430" i="12"/>
  <c r="K447" i="12"/>
  <c r="H450" i="12"/>
  <c r="I486" i="12"/>
  <c r="H507" i="12"/>
  <c r="H514" i="12"/>
  <c r="H10" i="12"/>
  <c r="L22" i="12"/>
  <c r="J33" i="12"/>
  <c r="H47" i="12"/>
  <c r="H67" i="12"/>
  <c r="I70" i="12"/>
  <c r="K90" i="12"/>
  <c r="H102" i="12"/>
  <c r="I115" i="12"/>
  <c r="H127" i="12"/>
  <c r="K157" i="12"/>
  <c r="H179" i="12"/>
  <c r="I202" i="12"/>
  <c r="H205" i="12"/>
  <c r="I214" i="12"/>
  <c r="H227" i="12"/>
  <c r="K230" i="12"/>
  <c r="I243" i="12"/>
  <c r="J282" i="12"/>
  <c r="I285" i="12"/>
  <c r="I325" i="12"/>
  <c r="L357" i="12"/>
  <c r="P367" i="12"/>
  <c r="L430" i="12"/>
  <c r="K450" i="12"/>
  <c r="P490" i="12"/>
  <c r="I493" i="12"/>
  <c r="K507" i="12"/>
  <c r="I514" i="12"/>
  <c r="I10" i="12"/>
  <c r="K33" i="12"/>
  <c r="K47" i="12"/>
  <c r="I67" i="12"/>
  <c r="J70" i="12"/>
  <c r="I102" i="12"/>
  <c r="J115" i="12"/>
  <c r="H118" i="12"/>
  <c r="I127" i="12"/>
  <c r="I148" i="12"/>
  <c r="I179" i="12"/>
  <c r="J202" i="12"/>
  <c r="J205" i="12"/>
  <c r="L214" i="12"/>
  <c r="K227" i="12"/>
  <c r="L230" i="12"/>
  <c r="J243" i="12"/>
  <c r="J246" i="12"/>
  <c r="H257" i="12"/>
  <c r="L282" i="12"/>
  <c r="I293" i="12"/>
  <c r="P357" i="12"/>
  <c r="H418" i="12"/>
  <c r="H428" i="12"/>
  <c r="P430" i="12"/>
  <c r="L450" i="12"/>
  <c r="K466" i="12"/>
  <c r="L483" i="12"/>
  <c r="J493" i="12"/>
  <c r="K511" i="12"/>
  <c r="L514" i="12"/>
  <c r="J10" i="12"/>
  <c r="L47" i="12"/>
  <c r="F55" i="12"/>
  <c r="K67" i="12"/>
  <c r="L70" i="12"/>
  <c r="J97" i="12"/>
  <c r="K115" i="12"/>
  <c r="J148" i="12"/>
  <c r="I166" i="12"/>
  <c r="J179" i="12"/>
  <c r="K205" i="12"/>
  <c r="L227" i="12"/>
  <c r="K243" i="12"/>
  <c r="K246" i="12"/>
  <c r="I257" i="12"/>
  <c r="J346" i="12"/>
  <c r="I355" i="12"/>
  <c r="H397" i="12"/>
  <c r="F58" i="12"/>
  <c r="K277" i="12"/>
  <c r="I288" i="12"/>
  <c r="H318" i="12"/>
  <c r="P334" i="12"/>
  <c r="L346" i="12"/>
  <c r="P352" i="12"/>
  <c r="K355" i="12"/>
  <c r="H392" i="12"/>
  <c r="I397" i="12"/>
  <c r="H8" i="12"/>
  <c r="I13" i="12"/>
  <c r="H58" i="12"/>
  <c r="L75" i="12"/>
  <c r="H83" i="12"/>
  <c r="H93" i="12"/>
  <c r="I255" i="12"/>
  <c r="L288" i="12"/>
  <c r="J315" i="12"/>
  <c r="I318" i="12"/>
  <c r="H324" i="12"/>
  <c r="P363" i="12"/>
  <c r="I392" i="12"/>
  <c r="P415" i="12"/>
  <c r="J434" i="12"/>
  <c r="H454" i="12"/>
  <c r="K479" i="12"/>
  <c r="H482" i="12"/>
  <c r="I521" i="12"/>
  <c r="I8" i="12"/>
  <c r="J13" i="12"/>
  <c r="I58" i="12"/>
  <c r="I68" i="12"/>
  <c r="I83" i="12"/>
  <c r="H88" i="12"/>
  <c r="I93" i="12"/>
  <c r="H120" i="12"/>
  <c r="H145" i="12"/>
  <c r="H152" i="12"/>
  <c r="I182" i="12"/>
  <c r="H195" i="12"/>
  <c r="H200" i="12"/>
  <c r="H239" i="12"/>
  <c r="J255" i="12"/>
  <c r="H312" i="12"/>
  <c r="P315" i="12"/>
  <c r="J318" i="12"/>
  <c r="I324" i="12"/>
  <c r="H366" i="12"/>
  <c r="H378" i="12"/>
  <c r="J392" i="12"/>
  <c r="H403" i="12"/>
  <c r="K434" i="12"/>
  <c r="H451" i="12"/>
  <c r="I454" i="12"/>
  <c r="L479" i="12"/>
  <c r="I482" i="12"/>
  <c r="J8" i="12"/>
  <c r="K13" i="12"/>
  <c r="H26" i="12"/>
  <c r="H31" i="12"/>
  <c r="K43" i="12"/>
  <c r="J58" i="12"/>
  <c r="H61" i="12"/>
  <c r="J68" i="12"/>
  <c r="J83" i="12"/>
  <c r="I88" i="12"/>
  <c r="J93" i="12"/>
  <c r="H113" i="12"/>
  <c r="I120" i="12"/>
  <c r="I145" i="12"/>
  <c r="I152" i="12"/>
  <c r="H175" i="12"/>
  <c r="J182" i="12"/>
  <c r="I195" i="12"/>
  <c r="I200" i="12"/>
  <c r="H218" i="12"/>
  <c r="K228" i="12"/>
  <c r="I239" i="12"/>
  <c r="K255" i="12"/>
  <c r="L260" i="12"/>
  <c r="H292" i="12"/>
  <c r="L297" i="12"/>
  <c r="J312" i="12"/>
  <c r="K318" i="12"/>
  <c r="K324" i="12"/>
  <c r="H330" i="12"/>
  <c r="H333" i="12"/>
  <c r="H345" i="12"/>
  <c r="K350" i="12"/>
  <c r="I366" i="12"/>
  <c r="H372" i="12"/>
  <c r="L378" i="12"/>
  <c r="P380" i="12"/>
  <c r="K386" i="12"/>
  <c r="K392" i="12"/>
  <c r="I403" i="12"/>
  <c r="H424" i="12"/>
  <c r="L434" i="12"/>
  <c r="P451" i="12"/>
  <c r="K471" i="12"/>
  <c r="P479" i="12"/>
  <c r="J482" i="12"/>
  <c r="H488" i="12"/>
  <c r="P496" i="12"/>
  <c r="I503" i="12"/>
  <c r="H6" i="12"/>
  <c r="K8" i="12"/>
  <c r="L13" i="12"/>
  <c r="I26" i="12"/>
  <c r="I31" i="12"/>
  <c r="I36" i="12"/>
  <c r="L43" i="12"/>
  <c r="H51" i="12"/>
  <c r="H56" i="12"/>
  <c r="K58" i="12"/>
  <c r="I61" i="12"/>
  <c r="K68" i="12"/>
  <c r="H81" i="12"/>
  <c r="K83" i="12"/>
  <c r="J88" i="12"/>
  <c r="K93" i="12"/>
  <c r="I113" i="12"/>
  <c r="J120" i="12"/>
  <c r="J145" i="12"/>
  <c r="J152" i="12"/>
  <c r="I175" i="12"/>
  <c r="K182" i="12"/>
  <c r="J195" i="12"/>
  <c r="J200" i="12"/>
  <c r="G211" i="12"/>
  <c r="I218" i="12"/>
  <c r="H221" i="12"/>
  <c r="L228" i="12"/>
  <c r="J239" i="12"/>
  <c r="L255" i="12"/>
  <c r="H266" i="12"/>
  <c r="F93" i="12"/>
  <c r="F192" i="12"/>
  <c r="H272" i="12"/>
  <c r="I292" i="12"/>
  <c r="J330" i="12"/>
  <c r="I333" i="12"/>
  <c r="I345" i="12"/>
  <c r="H361" i="12"/>
  <c r="L366" i="12"/>
  <c r="I372" i="12"/>
  <c r="L392" i="12"/>
  <c r="J400" i="12"/>
  <c r="J403" i="12"/>
  <c r="I424" i="12"/>
  <c r="L471" i="12"/>
  <c r="K482" i="12"/>
  <c r="J503" i="12"/>
  <c r="I6" i="12"/>
  <c r="L8" i="12"/>
  <c r="J26" i="12"/>
  <c r="J31" i="12"/>
  <c r="J36" i="12"/>
  <c r="I51" i="12"/>
  <c r="I56" i="12"/>
  <c r="J61" i="12"/>
  <c r="L68" i="12"/>
  <c r="I81" i="12"/>
  <c r="H86" i="12"/>
  <c r="K88" i="12"/>
  <c r="L93" i="12"/>
  <c r="J113" i="12"/>
  <c r="K120" i="12"/>
  <c r="K145" i="12"/>
  <c r="K152" i="12"/>
  <c r="J175" i="12"/>
  <c r="L182" i="12"/>
  <c r="K195" i="12"/>
  <c r="K200" i="12"/>
  <c r="J218" i="12"/>
  <c r="K239" i="12"/>
  <c r="J272" i="12"/>
  <c r="H278" i="12"/>
  <c r="H281" i="12"/>
  <c r="J292" i="12"/>
  <c r="L330" i="12"/>
  <c r="J333" i="12"/>
  <c r="J345" i="12"/>
  <c r="J361" i="12"/>
  <c r="J372" i="12"/>
  <c r="J384" i="12"/>
  <c r="P392" i="12"/>
  <c r="K403" i="12"/>
  <c r="I409" i="12"/>
  <c r="K424" i="12"/>
  <c r="P444" i="12"/>
  <c r="I457" i="12"/>
  <c r="L482" i="12"/>
  <c r="K500" i="12"/>
  <c r="P503" i="12"/>
  <c r="H510" i="12"/>
  <c r="J512" i="12"/>
  <c r="J6" i="12"/>
  <c r="H24" i="12"/>
  <c r="K26" i="12"/>
  <c r="H29" i="12"/>
  <c r="K31" i="12"/>
  <c r="K36" i="12"/>
  <c r="F44" i="12"/>
  <c r="J51" i="12"/>
  <c r="J56" i="12"/>
  <c r="K61" i="12"/>
  <c r="J81" i="12"/>
  <c r="I86" i="12"/>
  <c r="H111" i="12"/>
  <c r="K113" i="12"/>
  <c r="I118" i="12"/>
  <c r="I143" i="12"/>
  <c r="I150" i="12"/>
  <c r="H170" i="12"/>
  <c r="K175" i="12"/>
  <c r="H180" i="12"/>
  <c r="I193" i="12"/>
  <c r="I198" i="12"/>
  <c r="H211" i="12"/>
  <c r="H216" i="12"/>
  <c r="K218" i="12"/>
  <c r="K221" i="12"/>
  <c r="H237" i="12"/>
  <c r="H250" i="12"/>
  <c r="J266" i="12"/>
  <c r="K272" i="12"/>
  <c r="J278" i="12"/>
  <c r="I281" i="12"/>
  <c r="K292" i="12"/>
  <c r="P330" i="12"/>
  <c r="K333" i="12"/>
  <c r="K345" i="12"/>
  <c r="L361" i="12"/>
  <c r="K372" i="12"/>
  <c r="L403" i="12"/>
  <c r="K409" i="12"/>
  <c r="L424" i="12"/>
  <c r="K463" i="12"/>
  <c r="L477" i="12"/>
  <c r="L500" i="12"/>
  <c r="I510" i="12"/>
  <c r="P512" i="12"/>
  <c r="I515" i="12"/>
  <c r="K6" i="12"/>
  <c r="K11" i="12"/>
  <c r="H19" i="12"/>
  <c r="I24" i="12"/>
  <c r="I29" i="12"/>
  <c r="L36" i="12"/>
  <c r="H49" i="12"/>
  <c r="H54" i="12"/>
  <c r="K56" i="12"/>
  <c r="H79" i="12"/>
  <c r="K81" i="12"/>
  <c r="J86" i="12"/>
  <c r="H106" i="12"/>
  <c r="I111" i="12"/>
  <c r="J118" i="12"/>
  <c r="H131" i="12"/>
  <c r="H138" i="12"/>
  <c r="J143" i="12"/>
  <c r="J150" i="12"/>
  <c r="H163" i="12"/>
  <c r="I170" i="12"/>
  <c r="H173" i="12"/>
  <c r="I180" i="12"/>
  <c r="J193" i="12"/>
  <c r="J198" i="12"/>
  <c r="I211" i="12"/>
  <c r="I216" i="12"/>
  <c r="L221" i="12"/>
  <c r="J234" i="12"/>
  <c r="J237" i="12"/>
  <c r="I250" i="12"/>
  <c r="K253" i="12"/>
  <c r="H264" i="12"/>
  <c r="K266" i="12"/>
  <c r="L278" i="12"/>
  <c r="J281" i="12"/>
  <c r="L292" i="12"/>
  <c r="H339" i="12"/>
  <c r="L345" i="12"/>
  <c r="P361" i="12"/>
  <c r="L372" i="12"/>
  <c r="H398" i="12"/>
  <c r="L409" i="12"/>
  <c r="I422" i="12"/>
  <c r="J432" i="12"/>
  <c r="L463" i="12"/>
  <c r="I466" i="12"/>
  <c r="P477" i="12"/>
  <c r="J510" i="12"/>
  <c r="L11" i="12"/>
  <c r="I19" i="12"/>
  <c r="J24" i="12"/>
  <c r="J29" i="12"/>
  <c r="I49" i="12"/>
  <c r="I54" i="12"/>
  <c r="H74" i="12"/>
  <c r="I79" i="12"/>
  <c r="K86" i="12"/>
  <c r="L91" i="12"/>
  <c r="H99" i="12"/>
  <c r="I106" i="12"/>
  <c r="J111" i="12"/>
  <c r="H116" i="12"/>
  <c r="K118" i="12"/>
  <c r="I131" i="12"/>
  <c r="I138" i="12"/>
  <c r="H141" i="12"/>
  <c r="K143" i="12"/>
  <c r="H148" i="12"/>
  <c r="K150" i="12"/>
  <c r="I163" i="12"/>
  <c r="J170" i="12"/>
  <c r="J173" i="12"/>
  <c r="K180" i="12"/>
  <c r="H191" i="12"/>
  <c r="K198" i="12"/>
  <c r="J211" i="12"/>
  <c r="J216" i="12"/>
  <c r="G227" i="12"/>
  <c r="H232" i="12"/>
  <c r="K237" i="12"/>
  <c r="J250" i="12"/>
  <c r="L253" i="12"/>
  <c r="G259" i="12"/>
  <c r="I264" i="12"/>
  <c r="P278" i="12"/>
  <c r="I287" i="12"/>
  <c r="H301" i="12"/>
  <c r="I313" i="12"/>
  <c r="H325" i="12"/>
  <c r="J339" i="12"/>
  <c r="P345" i="12"/>
  <c r="P372" i="12"/>
  <c r="P381" i="12"/>
  <c r="H387" i="12"/>
  <c r="L398" i="12"/>
  <c r="H419" i="12"/>
  <c r="L422" i="12"/>
  <c r="P432" i="12"/>
  <c r="J466" i="12"/>
  <c r="K510" i="12"/>
  <c r="J19" i="12"/>
  <c r="H22" i="12"/>
  <c r="K24" i="12"/>
  <c r="K29" i="12"/>
  <c r="J49" i="12"/>
  <c r="J54" i="12"/>
  <c r="J79" i="12"/>
  <c r="I84" i="12"/>
  <c r="J106" i="12"/>
  <c r="H109" i="12"/>
  <c r="K111" i="12"/>
  <c r="J131" i="12"/>
  <c r="J138" i="12"/>
  <c r="J163" i="12"/>
  <c r="H168" i="12"/>
  <c r="K170" i="12"/>
  <c r="K173" i="12"/>
  <c r="L180" i="12"/>
  <c r="L198" i="12"/>
  <c r="H209" i="12"/>
  <c r="K211" i="12"/>
  <c r="L237" i="12"/>
  <c r="H248" i="12"/>
  <c r="K250" i="12"/>
  <c r="J264" i="12"/>
  <c r="J287" i="12"/>
  <c r="K339" i="12"/>
  <c r="L510" i="12"/>
  <c r="K49" i="12"/>
  <c r="K54" i="12"/>
  <c r="K79" i="12"/>
  <c r="K106" i="12"/>
  <c r="K131" i="12"/>
  <c r="K138" i="12"/>
  <c r="K163" i="12"/>
  <c r="I168" i="12"/>
  <c r="L173" i="12"/>
  <c r="I209" i="12"/>
  <c r="I248" i="12"/>
  <c r="K264" i="12"/>
  <c r="G233" i="12"/>
  <c r="K287" i="12"/>
  <c r="K298" i="12"/>
  <c r="L301" i="12"/>
  <c r="H307" i="12"/>
  <c r="J319" i="12"/>
  <c r="K325" i="12"/>
  <c r="I328" i="12"/>
  <c r="J351" i="12"/>
  <c r="I357" i="12"/>
  <c r="H365" i="12"/>
  <c r="J367" i="12"/>
  <c r="P387" i="12"/>
  <c r="J393" i="12"/>
  <c r="K407" i="12"/>
  <c r="P419" i="12"/>
  <c r="J428" i="12"/>
  <c r="J430" i="12"/>
  <c r="I439" i="12"/>
  <c r="H442" i="12"/>
  <c r="I450" i="12"/>
  <c r="L466" i="12"/>
  <c r="K483" i="12"/>
  <c r="K504" i="12"/>
  <c r="I17" i="12"/>
  <c r="J22" i="12"/>
  <c r="I42" i="12"/>
  <c r="I47" i="12"/>
  <c r="I52" i="12"/>
  <c r="H72" i="12"/>
  <c r="K74" i="12"/>
  <c r="K84" i="12"/>
  <c r="H97" i="12"/>
  <c r="K99" i="12"/>
  <c r="I104" i="12"/>
  <c r="J109" i="12"/>
  <c r="K116" i="12"/>
  <c r="I129" i="12"/>
  <c r="I136" i="12"/>
  <c r="K141" i="12"/>
  <c r="K148" i="12"/>
  <c r="I161" i="12"/>
  <c r="J168" i="12"/>
  <c r="H186" i="12"/>
  <c r="K191" i="12"/>
  <c r="I196" i="12"/>
  <c r="J209" i="12"/>
  <c r="J214" i="12"/>
  <c r="I227" i="12"/>
  <c r="K232" i="12"/>
  <c r="J248" i="12"/>
  <c r="I259" i="12"/>
  <c r="L287" i="12"/>
  <c r="P298" i="12"/>
  <c r="J307" i="12"/>
  <c r="I317" i="12"/>
  <c r="L319" i="12"/>
  <c r="P325" i="12"/>
  <c r="P351" i="12"/>
  <c r="K357" i="12"/>
  <c r="H360" i="12"/>
  <c r="I365" i="12"/>
  <c r="K367" i="12"/>
  <c r="J404" i="12"/>
  <c r="L407" i="12"/>
  <c r="K430" i="12"/>
  <c r="J439" i="12"/>
  <c r="J450" i="12"/>
  <c r="J516" i="12"/>
  <c r="K27" i="12"/>
  <c r="J52" i="12"/>
  <c r="J67" i="12"/>
  <c r="L84" i="12"/>
  <c r="H189" i="12"/>
  <c r="K196" i="12"/>
  <c r="K214" i="12"/>
  <c r="J262" i="12"/>
  <c r="L85" i="12"/>
  <c r="K85" i="12"/>
  <c r="J85" i="12"/>
  <c r="I85" i="12"/>
  <c r="H85" i="12"/>
  <c r="L117" i="12"/>
  <c r="K117" i="12"/>
  <c r="J117" i="12"/>
  <c r="I117" i="12"/>
  <c r="H117" i="12"/>
  <c r="L142" i="12"/>
  <c r="K142" i="12"/>
  <c r="J142" i="12"/>
  <c r="I142" i="12"/>
  <c r="H142" i="12"/>
  <c r="L149" i="12"/>
  <c r="K149" i="12"/>
  <c r="J149" i="12"/>
  <c r="I149" i="12"/>
  <c r="H149" i="12"/>
  <c r="L53" i="12"/>
  <c r="K53" i="12"/>
  <c r="J53" i="12"/>
  <c r="I53" i="12"/>
  <c r="H53" i="12"/>
  <c r="L78" i="12"/>
  <c r="K78" i="12"/>
  <c r="J78" i="12"/>
  <c r="I78" i="12"/>
  <c r="H78" i="12"/>
  <c r="L197" i="12"/>
  <c r="K197" i="12"/>
  <c r="J197" i="12"/>
  <c r="I197" i="12"/>
  <c r="H197" i="12"/>
  <c r="L190" i="12"/>
  <c r="K190" i="12"/>
  <c r="J190" i="12"/>
  <c r="I190" i="12"/>
  <c r="H190" i="12"/>
  <c r="L21" i="12"/>
  <c r="K21" i="12"/>
  <c r="J21" i="12"/>
  <c r="I21" i="12"/>
  <c r="H21" i="12"/>
  <c r="L46" i="12"/>
  <c r="K46" i="12"/>
  <c r="J46" i="12"/>
  <c r="I46" i="12"/>
  <c r="H46" i="12"/>
  <c r="L213" i="12"/>
  <c r="K213" i="12"/>
  <c r="J213" i="12"/>
  <c r="I213" i="12"/>
  <c r="H213" i="12"/>
  <c r="L28" i="12"/>
  <c r="K28" i="12"/>
  <c r="J28" i="12"/>
  <c r="I28" i="12"/>
  <c r="H28" i="12"/>
  <c r="L165" i="12"/>
  <c r="K165" i="12"/>
  <c r="J165" i="12"/>
  <c r="I165" i="12"/>
  <c r="H165" i="12"/>
  <c r="L206" i="12"/>
  <c r="K206" i="12"/>
  <c r="J206" i="12"/>
  <c r="I206" i="12"/>
  <c r="H206" i="12"/>
  <c r="G261" i="12"/>
  <c r="L261" i="12"/>
  <c r="K261" i="12"/>
  <c r="J261" i="12"/>
  <c r="I261" i="12"/>
  <c r="H261" i="12"/>
  <c r="L14" i="12"/>
  <c r="K14" i="12"/>
  <c r="J14" i="12"/>
  <c r="I14" i="12"/>
  <c r="H14" i="12"/>
  <c r="L101" i="12"/>
  <c r="K101" i="12"/>
  <c r="J101" i="12"/>
  <c r="I101" i="12"/>
  <c r="H101" i="12"/>
  <c r="L126" i="12"/>
  <c r="K126" i="12"/>
  <c r="J126" i="12"/>
  <c r="I126" i="12"/>
  <c r="H126" i="12"/>
  <c r="L133" i="12"/>
  <c r="K133" i="12"/>
  <c r="J133" i="12"/>
  <c r="I133" i="12"/>
  <c r="H133" i="12"/>
  <c r="L158" i="12"/>
  <c r="K158" i="12"/>
  <c r="J158" i="12"/>
  <c r="I158" i="12"/>
  <c r="H158" i="12"/>
  <c r="G229" i="12"/>
  <c r="L229" i="12"/>
  <c r="K229" i="12"/>
  <c r="J229" i="12"/>
  <c r="I229" i="12"/>
  <c r="H229" i="12"/>
  <c r="L69" i="12"/>
  <c r="K69" i="12"/>
  <c r="J69" i="12"/>
  <c r="I69" i="12"/>
  <c r="H69" i="12"/>
  <c r="L94" i="12"/>
  <c r="K94" i="12"/>
  <c r="J94" i="12"/>
  <c r="I94" i="12"/>
  <c r="H94" i="12"/>
  <c r="L245" i="12"/>
  <c r="K245" i="12"/>
  <c r="J245" i="12"/>
  <c r="G245" i="12"/>
  <c r="I245" i="12"/>
  <c r="H245" i="12"/>
  <c r="L110" i="12"/>
  <c r="K110" i="12"/>
  <c r="J110" i="12"/>
  <c r="I110" i="12"/>
  <c r="H110" i="12"/>
  <c r="G197" i="12"/>
  <c r="L37" i="12"/>
  <c r="K37" i="12"/>
  <c r="J37" i="12"/>
  <c r="I37" i="12"/>
  <c r="H37" i="12"/>
  <c r="L62" i="12"/>
  <c r="K62" i="12"/>
  <c r="J62" i="12"/>
  <c r="I62" i="12"/>
  <c r="H62" i="12"/>
  <c r="L222" i="12"/>
  <c r="K222" i="12"/>
  <c r="J222" i="12"/>
  <c r="I222" i="12"/>
  <c r="H222" i="12"/>
  <c r="L12" i="12"/>
  <c r="K12" i="12"/>
  <c r="J12" i="12"/>
  <c r="I12" i="12"/>
  <c r="H12" i="12"/>
  <c r="L254" i="12"/>
  <c r="K254" i="12"/>
  <c r="J254" i="12"/>
  <c r="I254" i="12"/>
  <c r="H254" i="12"/>
  <c r="G28" i="12"/>
  <c r="L181" i="12"/>
  <c r="K181" i="12"/>
  <c r="J181" i="12"/>
  <c r="I181" i="12"/>
  <c r="H181" i="12"/>
  <c r="L238" i="12"/>
  <c r="K238" i="12"/>
  <c r="J238" i="12"/>
  <c r="I238" i="12"/>
  <c r="H238" i="12"/>
  <c r="L30" i="12"/>
  <c r="K30" i="12"/>
  <c r="J30" i="12"/>
  <c r="I30" i="12"/>
  <c r="H30" i="12"/>
  <c r="L174" i="12"/>
  <c r="K174" i="12"/>
  <c r="J174" i="12"/>
  <c r="I174" i="12"/>
  <c r="H174" i="12"/>
  <c r="G53" i="12"/>
  <c r="L5" i="12"/>
  <c r="K5" i="12"/>
  <c r="J5" i="12"/>
  <c r="H44" i="12"/>
  <c r="H60" i="12"/>
  <c r="H76" i="12"/>
  <c r="H92" i="12"/>
  <c r="H108" i="12"/>
  <c r="H124" i="12"/>
  <c r="H140" i="12"/>
  <c r="H156" i="12"/>
  <c r="H172" i="12"/>
  <c r="H188" i="12"/>
  <c r="H204" i="12"/>
  <c r="H220" i="12"/>
  <c r="H236" i="12"/>
  <c r="H252" i="12"/>
  <c r="I44" i="12"/>
  <c r="I60" i="12"/>
  <c r="I76" i="12"/>
  <c r="I92" i="12"/>
  <c r="I108" i="12"/>
  <c r="I124" i="12"/>
  <c r="I140" i="12"/>
  <c r="I156" i="12"/>
  <c r="I172" i="12"/>
  <c r="I188" i="12"/>
  <c r="I204" i="12"/>
  <c r="I220" i="12"/>
  <c r="I236" i="12"/>
  <c r="I252" i="12"/>
  <c r="K19" i="12"/>
  <c r="K35" i="12"/>
  <c r="J44" i="12"/>
  <c r="K51" i="12"/>
  <c r="J60" i="12"/>
  <c r="J76" i="12"/>
  <c r="J92" i="12"/>
  <c r="J108" i="12"/>
  <c r="J124" i="12"/>
  <c r="J140" i="12"/>
  <c r="J156" i="12"/>
  <c r="J172" i="12"/>
  <c r="J188" i="12"/>
  <c r="J204" i="12"/>
  <c r="J220" i="12"/>
  <c r="J236" i="12"/>
  <c r="J252" i="12"/>
  <c r="H7" i="12"/>
  <c r="H23" i="12"/>
  <c r="H39" i="12"/>
  <c r="K44" i="12"/>
  <c r="H55" i="12"/>
  <c r="K60" i="12"/>
  <c r="H71" i="12"/>
  <c r="K76" i="12"/>
  <c r="H87" i="12"/>
  <c r="K92" i="12"/>
  <c r="H103" i="12"/>
  <c r="K108" i="12"/>
  <c r="H119" i="12"/>
  <c r="K124" i="12"/>
  <c r="H135" i="12"/>
  <c r="K140" i="12"/>
  <c r="H151" i="12"/>
  <c r="K156" i="12"/>
  <c r="H167" i="12"/>
  <c r="K172" i="12"/>
  <c r="H183" i="12"/>
  <c r="K188" i="12"/>
  <c r="H199" i="12"/>
  <c r="K204" i="12"/>
  <c r="H215" i="12"/>
  <c r="K220" i="12"/>
  <c r="H231" i="12"/>
  <c r="K236" i="12"/>
  <c r="H247" i="12"/>
  <c r="K252" i="12"/>
  <c r="H263" i="12"/>
  <c r="I7" i="12"/>
  <c r="H16" i="12"/>
  <c r="I23" i="12"/>
  <c r="H32" i="12"/>
  <c r="I39" i="12"/>
  <c r="H48" i="12"/>
  <c r="I55" i="12"/>
  <c r="H64" i="12"/>
  <c r="I71" i="12"/>
  <c r="H80" i="12"/>
  <c r="I87" i="12"/>
  <c r="H96" i="12"/>
  <c r="I103" i="12"/>
  <c r="H112" i="12"/>
  <c r="I119" i="12"/>
  <c r="H128" i="12"/>
  <c r="I135" i="12"/>
  <c r="H144" i="12"/>
  <c r="I151" i="12"/>
  <c r="H160" i="12"/>
  <c r="I167" i="12"/>
  <c r="H176" i="12"/>
  <c r="I183" i="12"/>
  <c r="H192" i="12"/>
  <c r="I199" i="12"/>
  <c r="H208" i="12"/>
  <c r="I215" i="12"/>
  <c r="H224" i="12"/>
  <c r="I231" i="12"/>
  <c r="H240" i="12"/>
  <c r="I247" i="12"/>
  <c r="H256" i="12"/>
  <c r="I263" i="12"/>
  <c r="J7" i="12"/>
  <c r="H9" i="12"/>
  <c r="I16" i="12"/>
  <c r="J23" i="12"/>
  <c r="H25" i="12"/>
  <c r="I32" i="12"/>
  <c r="J39" i="12"/>
  <c r="H41" i="12"/>
  <c r="I48" i="12"/>
  <c r="J55" i="12"/>
  <c r="H57" i="12"/>
  <c r="I64" i="12"/>
  <c r="J71" i="12"/>
  <c r="H73" i="12"/>
  <c r="I80" i="12"/>
  <c r="J87" i="12"/>
  <c r="H89" i="12"/>
  <c r="I96" i="12"/>
  <c r="J103" i="12"/>
  <c r="H105" i="12"/>
  <c r="I112" i="12"/>
  <c r="J119" i="12"/>
  <c r="H121" i="12"/>
  <c r="I128" i="12"/>
  <c r="J135" i="12"/>
  <c r="H137" i="12"/>
  <c r="I144" i="12"/>
  <c r="J151" i="12"/>
  <c r="H153" i="12"/>
  <c r="I160" i="12"/>
  <c r="J167" i="12"/>
  <c r="H169" i="12"/>
  <c r="I176" i="12"/>
  <c r="J183" i="12"/>
  <c r="H185" i="12"/>
  <c r="I192" i="12"/>
  <c r="J199" i="12"/>
  <c r="H201" i="12"/>
  <c r="I208" i="12"/>
  <c r="J215" i="12"/>
  <c r="H217" i="12"/>
  <c r="I224" i="12"/>
  <c r="J231" i="12"/>
  <c r="H233" i="12"/>
  <c r="I240" i="12"/>
  <c r="J247" i="12"/>
  <c r="H249" i="12"/>
  <c r="I256" i="12"/>
  <c r="J263" i="12"/>
  <c r="H265" i="12"/>
  <c r="K7" i="12"/>
  <c r="I9" i="12"/>
  <c r="J16" i="12"/>
  <c r="H18" i="12"/>
  <c r="K23" i="12"/>
  <c r="I25" i="12"/>
  <c r="J32" i="12"/>
  <c r="H34" i="12"/>
  <c r="K39" i="12"/>
  <c r="I41" i="12"/>
  <c r="J48" i="12"/>
  <c r="H50" i="12"/>
  <c r="K55" i="12"/>
  <c r="I57" i="12"/>
  <c r="J64" i="12"/>
  <c r="H66" i="12"/>
  <c r="K71" i="12"/>
  <c r="I73" i="12"/>
  <c r="J80" i="12"/>
  <c r="H82" i="12"/>
  <c r="K87" i="12"/>
  <c r="I89" i="12"/>
  <c r="J96" i="12"/>
  <c r="H98" i="12"/>
  <c r="K103" i="12"/>
  <c r="I105" i="12"/>
  <c r="J112" i="12"/>
  <c r="H114" i="12"/>
  <c r="K119" i="12"/>
  <c r="I121" i="12"/>
  <c r="J128" i="12"/>
  <c r="H130" i="12"/>
  <c r="K135" i="12"/>
  <c r="I137" i="12"/>
  <c r="J144" i="12"/>
  <c r="H146" i="12"/>
  <c r="K151" i="12"/>
  <c r="I153" i="12"/>
  <c r="J160" i="12"/>
  <c r="H162" i="12"/>
  <c r="K167" i="12"/>
  <c r="I169" i="12"/>
  <c r="J176" i="12"/>
  <c r="H178" i="12"/>
  <c r="K183" i="12"/>
  <c r="I185" i="12"/>
  <c r="J192" i="12"/>
  <c r="H194" i="12"/>
  <c r="K199" i="12"/>
  <c r="I201" i="12"/>
  <c r="J208" i="12"/>
  <c r="H210" i="12"/>
  <c r="K215" i="12"/>
  <c r="I217" i="12"/>
  <c r="J224" i="12"/>
  <c r="H226" i="12"/>
  <c r="K231" i="12"/>
  <c r="I233" i="12"/>
  <c r="J240" i="12"/>
  <c r="H242" i="12"/>
  <c r="K247" i="12"/>
  <c r="I249" i="12"/>
  <c r="J256" i="12"/>
  <c r="H258" i="12"/>
  <c r="K263" i="12"/>
  <c r="I265" i="12"/>
  <c r="J9" i="12"/>
  <c r="H11" i="12"/>
  <c r="K16" i="12"/>
  <c r="I18" i="12"/>
  <c r="J25" i="12"/>
  <c r="H27" i="12"/>
  <c r="K32" i="12"/>
  <c r="I34" i="12"/>
  <c r="J41" i="12"/>
  <c r="H43" i="12"/>
  <c r="K48" i="12"/>
  <c r="I50" i="12"/>
  <c r="J57" i="12"/>
  <c r="H59" i="12"/>
  <c r="K64" i="12"/>
  <c r="I66" i="12"/>
  <c r="J73" i="12"/>
  <c r="H75" i="12"/>
  <c r="K80" i="12"/>
  <c r="I82" i="12"/>
  <c r="J89" i="12"/>
  <c r="H91" i="12"/>
  <c r="K96" i="12"/>
  <c r="I98" i="12"/>
  <c r="J105" i="12"/>
  <c r="H107" i="12"/>
  <c r="K112" i="12"/>
  <c r="I114" i="12"/>
  <c r="J121" i="12"/>
  <c r="H123" i="12"/>
  <c r="K128" i="12"/>
  <c r="I130" i="12"/>
  <c r="J137" i="12"/>
  <c r="H139" i="12"/>
  <c r="K144" i="12"/>
  <c r="I146" i="12"/>
  <c r="J153" i="12"/>
  <c r="H155" i="12"/>
  <c r="K160" i="12"/>
  <c r="I162" i="12"/>
  <c r="J169" i="12"/>
  <c r="H171" i="12"/>
  <c r="K176" i="12"/>
  <c r="I178" i="12"/>
  <c r="J185" i="12"/>
  <c r="H187" i="12"/>
  <c r="K192" i="12"/>
  <c r="I194" i="12"/>
  <c r="J201" i="12"/>
  <c r="H203" i="12"/>
  <c r="K208" i="12"/>
  <c r="I210" i="12"/>
  <c r="J217" i="12"/>
  <c r="H219" i="12"/>
  <c r="K224" i="12"/>
  <c r="I226" i="12"/>
  <c r="J233" i="12"/>
  <c r="H235" i="12"/>
  <c r="K240" i="12"/>
  <c r="I242" i="12"/>
  <c r="J249" i="12"/>
  <c r="H251" i="12"/>
  <c r="K256" i="12"/>
  <c r="I258" i="12"/>
  <c r="J265" i="12"/>
  <c r="H267" i="12"/>
  <c r="K9" i="12"/>
  <c r="I11" i="12"/>
  <c r="J18" i="12"/>
  <c r="H20" i="12"/>
  <c r="K25" i="12"/>
  <c r="I27" i="12"/>
  <c r="J34" i="12"/>
  <c r="K41" i="12"/>
  <c r="I43" i="12"/>
  <c r="J50" i="12"/>
  <c r="K57" i="12"/>
  <c r="I59" i="12"/>
  <c r="J66" i="12"/>
  <c r="K73" i="12"/>
  <c r="I75" i="12"/>
  <c r="J82" i="12"/>
  <c r="K89" i="12"/>
  <c r="I91" i="12"/>
  <c r="J98" i="12"/>
  <c r="K105" i="12"/>
  <c r="I107" i="12"/>
  <c r="J114" i="12"/>
  <c r="K121" i="12"/>
  <c r="I123" i="12"/>
  <c r="J130" i="12"/>
  <c r="K137" i="12"/>
  <c r="I139" i="12"/>
  <c r="J146" i="12"/>
  <c r="K153" i="12"/>
  <c r="I155" i="12"/>
  <c r="J162" i="12"/>
  <c r="K169" i="12"/>
  <c r="I171" i="12"/>
  <c r="J178" i="12"/>
  <c r="K185" i="12"/>
  <c r="I187" i="12"/>
  <c r="J194" i="12"/>
  <c r="H196" i="12"/>
  <c r="K201" i="12"/>
  <c r="I203" i="12"/>
  <c r="J210" i="12"/>
  <c r="H212" i="12"/>
  <c r="K217" i="12"/>
  <c r="I219" i="12"/>
  <c r="J226" i="12"/>
  <c r="H228" i="12"/>
  <c r="K233" i="12"/>
  <c r="I235" i="12"/>
  <c r="J242" i="12"/>
  <c r="H244" i="12"/>
  <c r="K249" i="12"/>
  <c r="I251" i="12"/>
  <c r="J258" i="12"/>
  <c r="H260" i="12"/>
  <c r="K265" i="12"/>
  <c r="I267" i="12"/>
  <c r="K18" i="12"/>
  <c r="K34" i="12"/>
  <c r="K50" i="12"/>
  <c r="J59" i="12"/>
  <c r="K66" i="12"/>
  <c r="J75" i="12"/>
  <c r="K82" i="12"/>
  <c r="J91" i="12"/>
  <c r="K98" i="12"/>
  <c r="J107" i="12"/>
  <c r="K114" i="12"/>
  <c r="J123" i="12"/>
  <c r="K130" i="12"/>
  <c r="J139" i="12"/>
  <c r="K146" i="12"/>
  <c r="J155" i="12"/>
  <c r="K162" i="12"/>
  <c r="J171" i="12"/>
  <c r="K178" i="12"/>
  <c r="J187" i="12"/>
  <c r="K194" i="12"/>
  <c r="J203" i="12"/>
  <c r="K210" i="12"/>
  <c r="J219" i="12"/>
  <c r="K226" i="12"/>
  <c r="I228" i="12"/>
  <c r="J235" i="12"/>
  <c r="K242" i="12"/>
  <c r="I244" i="12"/>
  <c r="J251" i="12"/>
  <c r="H253" i="12"/>
  <c r="K258" i="12"/>
  <c r="I260" i="12"/>
  <c r="J267" i="12"/>
  <c r="K123" i="12"/>
  <c r="K139" i="12"/>
  <c r="K155" i="12"/>
  <c r="K171" i="12"/>
  <c r="K187" i="12"/>
  <c r="K203" i="12"/>
  <c r="K219" i="12"/>
  <c r="H230" i="12"/>
  <c r="K235" i="12"/>
  <c r="J244" i="12"/>
  <c r="H246" i="12"/>
  <c r="K251" i="12"/>
  <c r="I253" i="12"/>
  <c r="J260" i="12"/>
  <c r="H262" i="12"/>
  <c r="K267" i="12"/>
  <c r="F152" i="12"/>
  <c r="G152" i="12"/>
  <c r="G157" i="12"/>
  <c r="F157" i="12"/>
  <c r="P329" i="12"/>
  <c r="L329" i="12"/>
  <c r="K329" i="12"/>
  <c r="J329" i="12"/>
  <c r="I329" i="12"/>
  <c r="H329" i="12"/>
  <c r="G147" i="12"/>
  <c r="P308" i="12"/>
  <c r="L308" i="12"/>
  <c r="K308" i="12"/>
  <c r="J308" i="12"/>
  <c r="I308" i="12"/>
  <c r="H308" i="12"/>
  <c r="P509" i="12"/>
  <c r="L509" i="12"/>
  <c r="K509" i="12"/>
  <c r="J509" i="12"/>
  <c r="I509" i="12"/>
  <c r="H509" i="12"/>
  <c r="P286" i="12"/>
  <c r="L286" i="12"/>
  <c r="K286" i="12"/>
  <c r="J286" i="12"/>
  <c r="I286" i="12"/>
  <c r="H286" i="12"/>
  <c r="P491" i="12"/>
  <c r="K491" i="12"/>
  <c r="H491" i="12"/>
  <c r="G12" i="12"/>
  <c r="F114" i="12"/>
  <c r="F125" i="12"/>
  <c r="J341" i="12"/>
  <c r="P341" i="12"/>
  <c r="L341" i="12"/>
  <c r="K341" i="12"/>
  <c r="I341" i="12"/>
  <c r="H341" i="12"/>
  <c r="G25" i="12"/>
  <c r="F28" i="12"/>
  <c r="G87" i="12"/>
  <c r="F103" i="12"/>
  <c r="F105" i="12"/>
  <c r="G114" i="12"/>
  <c r="G119" i="12"/>
  <c r="G125" i="12"/>
  <c r="F164" i="12"/>
  <c r="G164" i="12"/>
  <c r="G167" i="12"/>
  <c r="G180" i="12"/>
  <c r="F197" i="12"/>
  <c r="F218" i="12"/>
  <c r="P275" i="12"/>
  <c r="K275" i="12"/>
  <c r="H275" i="12"/>
  <c r="F12" i="12"/>
  <c r="G43" i="12"/>
  <c r="F76" i="12"/>
  <c r="F84" i="12"/>
  <c r="F100" i="12"/>
  <c r="F108" i="12"/>
  <c r="G127" i="12"/>
  <c r="G130" i="12"/>
  <c r="G135" i="12"/>
  <c r="P356" i="12"/>
  <c r="L356" i="12"/>
  <c r="K356" i="12"/>
  <c r="J356" i="12"/>
  <c r="I356" i="12"/>
  <c r="H356" i="12"/>
  <c r="K395" i="12"/>
  <c r="H395" i="12"/>
  <c r="F68" i="12"/>
  <c r="G76" i="12"/>
  <c r="F87" i="12"/>
  <c r="F119" i="12"/>
  <c r="F121" i="12"/>
  <c r="G140" i="12"/>
  <c r="F161" i="12"/>
  <c r="F228" i="12"/>
  <c r="P416" i="12"/>
  <c r="J416" i="12"/>
  <c r="F24" i="12"/>
  <c r="F80" i="12"/>
  <c r="F135" i="12"/>
  <c r="F151" i="12"/>
  <c r="G146" i="12"/>
  <c r="L452" i="12"/>
  <c r="K452" i="12"/>
  <c r="J452" i="12"/>
  <c r="P461" i="12"/>
  <c r="L461" i="12"/>
  <c r="K461" i="12"/>
  <c r="J461" i="12"/>
  <c r="I461" i="12"/>
  <c r="H461" i="12"/>
  <c r="P497" i="12"/>
  <c r="J497" i="12"/>
  <c r="F14" i="12"/>
  <c r="F17" i="12"/>
  <c r="G24" i="12"/>
  <c r="G30" i="12"/>
  <c r="G65" i="12"/>
  <c r="G67" i="12"/>
  <c r="P310" i="12"/>
  <c r="L310" i="12"/>
  <c r="K310" i="12"/>
  <c r="L420" i="12"/>
  <c r="K420" i="12"/>
  <c r="G8" i="12"/>
  <c r="G17" i="12"/>
  <c r="G185" i="12"/>
  <c r="G201" i="12"/>
  <c r="G212" i="12"/>
  <c r="F212" i="12"/>
  <c r="P376" i="12"/>
  <c r="L376" i="12"/>
  <c r="K376" i="12"/>
  <c r="J376" i="12"/>
  <c r="I376" i="12"/>
  <c r="H376" i="12"/>
  <c r="P445" i="12"/>
  <c r="L445" i="12"/>
  <c r="K445" i="12"/>
  <c r="J445" i="12"/>
  <c r="I445" i="12"/>
  <c r="H445" i="12"/>
  <c r="F35" i="12"/>
  <c r="G85" i="12"/>
  <c r="F120" i="12"/>
  <c r="F136" i="12"/>
  <c r="F146" i="12"/>
  <c r="F148" i="12"/>
  <c r="F179" i="12"/>
  <c r="G260" i="12"/>
  <c r="F260" i="12"/>
  <c r="P391" i="12"/>
  <c r="L391" i="12"/>
  <c r="K391" i="12"/>
  <c r="J391" i="12"/>
  <c r="I391" i="12"/>
  <c r="H391" i="12"/>
  <c r="G44" i="12"/>
  <c r="F49" i="12"/>
  <c r="I314" i="12"/>
  <c r="P314" i="12"/>
  <c r="L314" i="12"/>
  <c r="K314" i="12"/>
  <c r="J314" i="12"/>
  <c r="H314" i="12"/>
  <c r="P323" i="12"/>
  <c r="K323" i="12"/>
  <c r="J323" i="12"/>
  <c r="I323" i="12"/>
  <c r="H323" i="12"/>
  <c r="P382" i="12"/>
  <c r="L382" i="12"/>
  <c r="K382" i="12"/>
  <c r="J382" i="12"/>
  <c r="I382" i="12"/>
  <c r="H382" i="12"/>
  <c r="P414" i="12"/>
  <c r="L414" i="12"/>
  <c r="K414" i="12"/>
  <c r="J414" i="12"/>
  <c r="I414" i="12"/>
  <c r="H414" i="12"/>
  <c r="G49" i="12"/>
  <c r="F154" i="12"/>
  <c r="G165" i="12"/>
  <c r="G176" i="12"/>
  <c r="G223" i="12"/>
  <c r="J285" i="12"/>
  <c r="J301" i="12"/>
  <c r="I312" i="12"/>
  <c r="J324" i="12"/>
  <c r="K330" i="12"/>
  <c r="I339" i="12"/>
  <c r="K503" i="12"/>
  <c r="J514" i="12"/>
  <c r="L503" i="12"/>
  <c r="K514" i="12"/>
  <c r="K312" i="12"/>
  <c r="L324" i="12"/>
  <c r="H458" i="12"/>
  <c r="H506" i="12"/>
  <c r="H519" i="12"/>
  <c r="P324" i="12"/>
  <c r="L386" i="12"/>
  <c r="L458" i="12"/>
  <c r="H499" i="12"/>
  <c r="L506" i="12"/>
  <c r="I519" i="12"/>
  <c r="F169" i="12"/>
  <c r="F266" i="12"/>
  <c r="L272" i="12"/>
  <c r="K281" i="12"/>
  <c r="P287" i="12"/>
  <c r="P297" i="12"/>
  <c r="K303" i="12"/>
  <c r="L318" i="12"/>
  <c r="I320" i="12"/>
  <c r="L333" i="12"/>
  <c r="K351" i="12"/>
  <c r="J366" i="12"/>
  <c r="L397" i="12"/>
  <c r="H423" i="12"/>
  <c r="P424" i="12"/>
  <c r="P458" i="12"/>
  <c r="H478" i="12"/>
  <c r="I499" i="12"/>
  <c r="P506" i="12"/>
  <c r="K519" i="12"/>
  <c r="G169" i="12"/>
  <c r="F233" i="12"/>
  <c r="P272" i="12"/>
  <c r="L281" i="12"/>
  <c r="L303" i="12"/>
  <c r="L320" i="12"/>
  <c r="H344" i="12"/>
  <c r="L351" i="12"/>
  <c r="H362" i="12"/>
  <c r="K366" i="12"/>
  <c r="H402" i="12"/>
  <c r="I423" i="12"/>
  <c r="I478" i="12"/>
  <c r="K495" i="12"/>
  <c r="J499" i="12"/>
  <c r="L519" i="12"/>
  <c r="P303" i="12"/>
  <c r="I344" i="12"/>
  <c r="H350" i="12"/>
  <c r="I362" i="12"/>
  <c r="I402" i="12"/>
  <c r="I406" i="12"/>
  <c r="J423" i="12"/>
  <c r="H435" i="12"/>
  <c r="H455" i="12"/>
  <c r="J478" i="12"/>
  <c r="J480" i="12"/>
  <c r="J484" i="12"/>
  <c r="L495" i="12"/>
  <c r="K499" i="12"/>
  <c r="P519" i="12"/>
  <c r="H271" i="12"/>
  <c r="I277" i="12"/>
  <c r="H302" i="12"/>
  <c r="I335" i="12"/>
  <c r="J344" i="12"/>
  <c r="I350" i="12"/>
  <c r="P358" i="12"/>
  <c r="J362" i="12"/>
  <c r="L368" i="12"/>
  <c r="H371" i="12"/>
  <c r="I389" i="12"/>
  <c r="J402" i="12"/>
  <c r="K423" i="12"/>
  <c r="I435" i="12"/>
  <c r="I455" i="12"/>
  <c r="H467" i="12"/>
  <c r="H474" i="12"/>
  <c r="K478" i="12"/>
  <c r="P480" i="12"/>
  <c r="K484" i="12"/>
  <c r="H487" i="12"/>
  <c r="P495" i="12"/>
  <c r="L499" i="12"/>
  <c r="H522" i="12"/>
  <c r="I271" i="12"/>
  <c r="J277" i="12"/>
  <c r="I302" i="12"/>
  <c r="H313" i="12"/>
  <c r="H317" i="12"/>
  <c r="J335" i="12"/>
  <c r="H340" i="12"/>
  <c r="J350" i="12"/>
  <c r="K362" i="12"/>
  <c r="P368" i="12"/>
  <c r="I371" i="12"/>
  <c r="K402" i="12"/>
  <c r="H408" i="12"/>
  <c r="H413" i="12"/>
  <c r="L423" i="12"/>
  <c r="K431" i="12"/>
  <c r="J435" i="12"/>
  <c r="I449" i="12"/>
  <c r="J455" i="12"/>
  <c r="I467" i="12"/>
  <c r="L474" i="12"/>
  <c r="L478" i="12"/>
  <c r="L484" i="12"/>
  <c r="I487" i="12"/>
  <c r="P499" i="12"/>
  <c r="I502" i="12"/>
  <c r="H504" i="12"/>
  <c r="J513" i="12"/>
  <c r="H515" i="12"/>
  <c r="L522" i="12"/>
  <c r="K335" i="12"/>
  <c r="J371" i="12"/>
  <c r="H375" i="12"/>
  <c r="H381" i="12"/>
  <c r="L402" i="12"/>
  <c r="I408" i="12"/>
  <c r="I413" i="12"/>
  <c r="L431" i="12"/>
  <c r="K435" i="12"/>
  <c r="K455" i="12"/>
  <c r="J467" i="12"/>
  <c r="P474" i="12"/>
  <c r="J487" i="12"/>
  <c r="P522" i="12"/>
  <c r="G171" i="12"/>
  <c r="G179" i="12"/>
  <c r="K271" i="12"/>
  <c r="K273" i="12"/>
  <c r="L277" i="12"/>
  <c r="K302" i="12"/>
  <c r="J313" i="12"/>
  <c r="J317" i="12"/>
  <c r="L335" i="12"/>
  <c r="J340" i="12"/>
  <c r="L350" i="12"/>
  <c r="P362" i="12"/>
  <c r="K371" i="12"/>
  <c r="H373" i="12"/>
  <c r="I375" i="12"/>
  <c r="I381" i="12"/>
  <c r="J408" i="12"/>
  <c r="J413" i="12"/>
  <c r="P431" i="12"/>
  <c r="L435" i="12"/>
  <c r="I451" i="12"/>
  <c r="L455" i="12"/>
  <c r="K467" i="12"/>
  <c r="H477" i="12"/>
  <c r="K487" i="12"/>
  <c r="I498" i="12"/>
  <c r="J515" i="12"/>
  <c r="G143" i="12"/>
  <c r="G151" i="12"/>
  <c r="G195" i="12"/>
  <c r="F211" i="12"/>
  <c r="G235" i="12"/>
  <c r="G251" i="12"/>
  <c r="F261" i="12"/>
  <c r="L271" i="12"/>
  <c r="P273" i="12"/>
  <c r="P277" i="12"/>
  <c r="H282" i="12"/>
  <c r="J298" i="12"/>
  <c r="L302" i="12"/>
  <c r="I307" i="12"/>
  <c r="K313" i="12"/>
  <c r="L317" i="12"/>
  <c r="I319" i="12"/>
  <c r="L325" i="12"/>
  <c r="H328" i="12"/>
  <c r="H334" i="12"/>
  <c r="P335" i="12"/>
  <c r="K340" i="12"/>
  <c r="K346" i="12"/>
  <c r="H349" i="12"/>
  <c r="L352" i="12"/>
  <c r="H355" i="12"/>
  <c r="I361" i="12"/>
  <c r="L365" i="12"/>
  <c r="I373" i="12"/>
  <c r="J375" i="12"/>
  <c r="J381" i="12"/>
  <c r="J387" i="12"/>
  <c r="I398" i="12"/>
  <c r="L404" i="12"/>
  <c r="K413" i="12"/>
  <c r="J419" i="12"/>
  <c r="K428" i="12"/>
  <c r="P435" i="12"/>
  <c r="L447" i="12"/>
  <c r="J451" i="12"/>
  <c r="J457" i="12"/>
  <c r="P463" i="12"/>
  <c r="L467" i="12"/>
  <c r="I477" i="12"/>
  <c r="H483" i="12"/>
  <c r="L487" i="12"/>
  <c r="H494" i="12"/>
  <c r="J498" i="12"/>
  <c r="P511" i="12"/>
  <c r="K515" i="12"/>
  <c r="H518" i="12"/>
  <c r="L313" i="12"/>
  <c r="L340" i="12"/>
  <c r="I349" i="12"/>
  <c r="K373" i="12"/>
  <c r="K375" i="12"/>
  <c r="K381" i="12"/>
  <c r="K387" i="12"/>
  <c r="J398" i="12"/>
  <c r="H407" i="12"/>
  <c r="H411" i="12"/>
  <c r="L413" i="12"/>
  <c r="K415" i="12"/>
  <c r="K419" i="12"/>
  <c r="H434" i="12"/>
  <c r="H444" i="12"/>
  <c r="P447" i="12"/>
  <c r="K451" i="12"/>
  <c r="L457" i="12"/>
  <c r="P467" i="12"/>
  <c r="J477" i="12"/>
  <c r="I483" i="12"/>
  <c r="H490" i="12"/>
  <c r="I494" i="12"/>
  <c r="K498" i="12"/>
  <c r="L515" i="12"/>
  <c r="I518" i="12"/>
  <c r="K520" i="12"/>
  <c r="F140" i="12"/>
  <c r="F153" i="12"/>
  <c r="K282" i="12"/>
  <c r="L298" i="12"/>
  <c r="K307" i="12"/>
  <c r="P313" i="12"/>
  <c r="K319" i="12"/>
  <c r="J328" i="12"/>
  <c r="P340" i="12"/>
  <c r="P346" i="12"/>
  <c r="J349" i="12"/>
  <c r="J355" i="12"/>
  <c r="L373" i="12"/>
  <c r="L375" i="12"/>
  <c r="K398" i="12"/>
  <c r="L415" i="12"/>
  <c r="H430" i="12"/>
  <c r="I434" i="12"/>
  <c r="H466" i="12"/>
  <c r="L490" i="12"/>
  <c r="J494" i="12"/>
  <c r="J496" i="12"/>
  <c r="L498" i="12"/>
  <c r="J500" i="12"/>
  <c r="L518" i="12"/>
  <c r="G112" i="12"/>
  <c r="F112" i="12"/>
  <c r="G123" i="12"/>
  <c r="F123" i="12"/>
  <c r="G193" i="12"/>
  <c r="F193" i="12"/>
  <c r="G62" i="12"/>
  <c r="F62" i="12"/>
  <c r="G86" i="12"/>
  <c r="G134" i="12"/>
  <c r="F134" i="12"/>
  <c r="K304" i="12"/>
  <c r="H304" i="12"/>
  <c r="P304" i="12"/>
  <c r="L304" i="12"/>
  <c r="J304" i="12"/>
  <c r="I304" i="12"/>
  <c r="F27" i="12"/>
  <c r="F56" i="12"/>
  <c r="G145" i="12"/>
  <c r="F145" i="12"/>
  <c r="P269" i="12"/>
  <c r="L269" i="12"/>
  <c r="K269" i="12"/>
  <c r="J269" i="12"/>
  <c r="I269" i="12"/>
  <c r="H269" i="12"/>
  <c r="P332" i="12"/>
  <c r="L332" i="12"/>
  <c r="K332" i="12"/>
  <c r="J332" i="12"/>
  <c r="I332" i="12"/>
  <c r="H332" i="12"/>
  <c r="G27" i="12"/>
  <c r="G113" i="12"/>
  <c r="F113" i="12"/>
  <c r="F86" i="12"/>
  <c r="G160" i="12"/>
  <c r="F160" i="12"/>
  <c r="G216" i="12"/>
  <c r="F216" i="12"/>
  <c r="F10" i="12"/>
  <c r="F53" i="12"/>
  <c r="F59" i="12"/>
  <c r="G155" i="12"/>
  <c r="F155" i="12"/>
  <c r="G10" i="12"/>
  <c r="F36" i="12"/>
  <c r="F45" i="12"/>
  <c r="G56" i="12"/>
  <c r="G59" i="12"/>
  <c r="G101" i="12"/>
  <c r="F101" i="12"/>
  <c r="G139" i="12"/>
  <c r="F139" i="12"/>
  <c r="G36" i="12"/>
  <c r="G45" i="12"/>
  <c r="G78" i="12"/>
  <c r="F78" i="12"/>
  <c r="G150" i="12"/>
  <c r="F150" i="12"/>
  <c r="G184" i="12"/>
  <c r="F184" i="12"/>
  <c r="F25" i="12"/>
  <c r="G58" i="12"/>
  <c r="F85" i="12"/>
  <c r="G118" i="12"/>
  <c r="F118" i="12"/>
  <c r="G80" i="12"/>
  <c r="G68" i="12"/>
  <c r="G96" i="12"/>
  <c r="F96" i="12"/>
  <c r="G102" i="12"/>
  <c r="F102" i="12"/>
  <c r="G129" i="12"/>
  <c r="F129" i="12"/>
  <c r="F37" i="12"/>
  <c r="F40" i="12"/>
  <c r="G237" i="12"/>
  <c r="F237" i="12"/>
  <c r="G172" i="12"/>
  <c r="G177" i="12"/>
  <c r="F177" i="12"/>
  <c r="G263" i="12"/>
  <c r="F263" i="12"/>
  <c r="G199" i="12"/>
  <c r="F199" i="12"/>
  <c r="G205" i="12"/>
  <c r="P289" i="12"/>
  <c r="K289" i="12"/>
  <c r="J289" i="12"/>
  <c r="I289" i="12"/>
  <c r="H289" i="12"/>
  <c r="L289" i="12"/>
  <c r="J294" i="12"/>
  <c r="I294" i="12"/>
  <c r="H294" i="12"/>
  <c r="P294" i="12"/>
  <c r="L294" i="12"/>
  <c r="K294" i="12"/>
  <c r="G231" i="12"/>
  <c r="F231" i="12"/>
  <c r="F238" i="12"/>
  <c r="F144" i="12"/>
  <c r="F172" i="12"/>
  <c r="F174" i="12"/>
  <c r="G194" i="12"/>
  <c r="F194" i="12"/>
  <c r="G209" i="12"/>
  <c r="F209" i="12"/>
  <c r="F133" i="12"/>
  <c r="G144" i="12"/>
  <c r="F149" i="12"/>
  <c r="G162" i="12"/>
  <c r="G174" i="12"/>
  <c r="L299" i="12"/>
  <c r="I299" i="12"/>
  <c r="H299" i="12"/>
  <c r="P299" i="12"/>
  <c r="K299" i="12"/>
  <c r="J299" i="12"/>
  <c r="G133" i="12"/>
  <c r="G149" i="12"/>
  <c r="F79" i="12"/>
  <c r="F95" i="12"/>
  <c r="G122" i="12"/>
  <c r="G138" i="12"/>
  <c r="G154" i="12"/>
  <c r="G221" i="12"/>
  <c r="F221" i="12"/>
  <c r="P306" i="12"/>
  <c r="L306" i="12"/>
  <c r="K306" i="12"/>
  <c r="J306" i="12"/>
  <c r="I306" i="12"/>
  <c r="H306" i="12"/>
  <c r="G84" i="12"/>
  <c r="G100" i="12"/>
  <c r="G132" i="12"/>
  <c r="G148" i="12"/>
  <c r="G173" i="12"/>
  <c r="G178" i="12"/>
  <c r="F178" i="12"/>
  <c r="G183" i="12"/>
  <c r="F183" i="12"/>
  <c r="G41" i="12"/>
  <c r="G73" i="12"/>
  <c r="G105" i="12"/>
  <c r="F110" i="12"/>
  <c r="G121" i="12"/>
  <c r="F142" i="12"/>
  <c r="G153" i="12"/>
  <c r="F167" i="12"/>
  <c r="F200" i="12"/>
  <c r="G247" i="12"/>
  <c r="F247" i="12"/>
  <c r="P279" i="12"/>
  <c r="L279" i="12"/>
  <c r="K279" i="12"/>
  <c r="J279" i="12"/>
  <c r="I279" i="12"/>
  <c r="H279" i="12"/>
  <c r="F51" i="12"/>
  <c r="F67" i="12"/>
  <c r="F99" i="12"/>
  <c r="G110" i="12"/>
  <c r="F131" i="12"/>
  <c r="G142" i="12"/>
  <c r="F147" i="12"/>
  <c r="G161" i="12"/>
  <c r="G200" i="12"/>
  <c r="F206" i="12"/>
  <c r="F222" i="12"/>
  <c r="F180" i="12"/>
  <c r="G204" i="12"/>
  <c r="F204" i="12"/>
  <c r="G206" i="12"/>
  <c r="L311" i="12"/>
  <c r="K311" i="12"/>
  <c r="J311" i="12"/>
  <c r="I311" i="12"/>
  <c r="P311" i="12"/>
  <c r="H311" i="12"/>
  <c r="P296" i="12"/>
  <c r="L296" i="12"/>
  <c r="L326" i="12"/>
  <c r="K326" i="12"/>
  <c r="J326" i="12"/>
  <c r="I326" i="12"/>
  <c r="H326" i="12"/>
  <c r="P337" i="12"/>
  <c r="L337" i="12"/>
  <c r="K337" i="12"/>
  <c r="J337" i="12"/>
  <c r="I337" i="12"/>
  <c r="H337" i="12"/>
  <c r="P343" i="12"/>
  <c r="L343" i="12"/>
  <c r="K343" i="12"/>
  <c r="J343" i="12"/>
  <c r="I343" i="12"/>
  <c r="H343" i="12"/>
  <c r="J309" i="12"/>
  <c r="F232" i="12"/>
  <c r="F248" i="12"/>
  <c r="F264" i="12"/>
  <c r="H270" i="12"/>
  <c r="L283" i="12"/>
  <c r="I283" i="12"/>
  <c r="H283" i="12"/>
  <c r="J284" i="12"/>
  <c r="L316" i="12"/>
  <c r="K316" i="12"/>
  <c r="J316" i="12"/>
  <c r="I316" i="12"/>
  <c r="H316" i="12"/>
  <c r="P321" i="12"/>
  <c r="K321" i="12"/>
  <c r="J321" i="12"/>
  <c r="I321" i="12"/>
  <c r="H321" i="12"/>
  <c r="P326" i="12"/>
  <c r="P338" i="12"/>
  <c r="L338" i="12"/>
  <c r="K338" i="12"/>
  <c r="J338" i="12"/>
  <c r="I338" i="12"/>
  <c r="P359" i="12"/>
  <c r="L359" i="12"/>
  <c r="K359" i="12"/>
  <c r="J359" i="12"/>
  <c r="I359" i="12"/>
  <c r="H359" i="12"/>
  <c r="H441" i="12"/>
  <c r="P441" i="12"/>
  <c r="L441" i="12"/>
  <c r="K441" i="12"/>
  <c r="J441" i="12"/>
  <c r="I441" i="12"/>
  <c r="G232" i="12"/>
  <c r="G248" i="12"/>
  <c r="G264" i="12"/>
  <c r="I270" i="12"/>
  <c r="P327" i="12"/>
  <c r="L327" i="12"/>
  <c r="K327" i="12"/>
  <c r="J327" i="12"/>
  <c r="I327" i="12"/>
  <c r="H327" i="12"/>
  <c r="L347" i="12"/>
  <c r="K347" i="12"/>
  <c r="J347" i="12"/>
  <c r="I347" i="12"/>
  <c r="H347" i="12"/>
  <c r="L517" i="12"/>
  <c r="K517" i="12"/>
  <c r="J517" i="12"/>
  <c r="I517" i="12"/>
  <c r="H517" i="12"/>
  <c r="P517" i="12"/>
  <c r="F242" i="12"/>
  <c r="F258" i="12"/>
  <c r="J270" i="12"/>
  <c r="I275" i="12"/>
  <c r="L276" i="12"/>
  <c r="H280" i="12"/>
  <c r="H291" i="12"/>
  <c r="H296" i="12"/>
  <c r="H309" i="12"/>
  <c r="L412" i="12"/>
  <c r="I412" i="12"/>
  <c r="P412" i="12"/>
  <c r="K412" i="12"/>
  <c r="J412" i="12"/>
  <c r="H412" i="12"/>
  <c r="I436" i="12"/>
  <c r="H436" i="12"/>
  <c r="P436" i="12"/>
  <c r="L436" i="12"/>
  <c r="K436" i="12"/>
  <c r="J436" i="12"/>
  <c r="G242" i="12"/>
  <c r="G258" i="12"/>
  <c r="K270" i="12"/>
  <c r="J275" i="12"/>
  <c r="I280" i="12"/>
  <c r="I291" i="12"/>
  <c r="J293" i="12"/>
  <c r="I296" i="12"/>
  <c r="I309" i="12"/>
  <c r="F220" i="12"/>
  <c r="F236" i="12"/>
  <c r="F252" i="12"/>
  <c r="L270" i="12"/>
  <c r="H274" i="12"/>
  <c r="J280" i="12"/>
  <c r="K288" i="12"/>
  <c r="H288" i="12"/>
  <c r="P290" i="12"/>
  <c r="L290" i="12"/>
  <c r="K290" i="12"/>
  <c r="J290" i="12"/>
  <c r="J291" i="12"/>
  <c r="L295" i="12"/>
  <c r="K295" i="12"/>
  <c r="J295" i="12"/>
  <c r="I295" i="12"/>
  <c r="J296" i="12"/>
  <c r="K309" i="12"/>
  <c r="L321" i="12"/>
  <c r="P353" i="12"/>
  <c r="L353" i="12"/>
  <c r="K353" i="12"/>
  <c r="J353" i="12"/>
  <c r="I353" i="12"/>
  <c r="H353" i="12"/>
  <c r="P385" i="12"/>
  <c r="L385" i="12"/>
  <c r="K385" i="12"/>
  <c r="J385" i="12"/>
  <c r="I385" i="12"/>
  <c r="H385" i="12"/>
  <c r="L460" i="12"/>
  <c r="I460" i="12"/>
  <c r="H460" i="12"/>
  <c r="P460" i="12"/>
  <c r="K460" i="12"/>
  <c r="J460" i="12"/>
  <c r="G220" i="12"/>
  <c r="F225" i="12"/>
  <c r="G236" i="12"/>
  <c r="F241" i="12"/>
  <c r="G252" i="12"/>
  <c r="F257" i="12"/>
  <c r="I274" i="12"/>
  <c r="L275" i="12"/>
  <c r="K280" i="12"/>
  <c r="K291" i="12"/>
  <c r="K296" i="12"/>
  <c r="L300" i="12"/>
  <c r="K300" i="12"/>
  <c r="J300" i="12"/>
  <c r="I300" i="12"/>
  <c r="H300" i="12"/>
  <c r="L309" i="12"/>
  <c r="P322" i="12"/>
  <c r="L322" i="12"/>
  <c r="K322" i="12"/>
  <c r="J322" i="12"/>
  <c r="I322" i="12"/>
  <c r="K336" i="12"/>
  <c r="J336" i="12"/>
  <c r="I336" i="12"/>
  <c r="H336" i="12"/>
  <c r="F182" i="12"/>
  <c r="F198" i="12"/>
  <c r="G225" i="12"/>
  <c r="F230" i="12"/>
  <c r="G241" i="12"/>
  <c r="F246" i="12"/>
  <c r="G257" i="12"/>
  <c r="F262" i="12"/>
  <c r="J274" i="12"/>
  <c r="L280" i="12"/>
  <c r="J283" i="12"/>
  <c r="L291" i="12"/>
  <c r="P316" i="12"/>
  <c r="H338" i="12"/>
  <c r="P347" i="12"/>
  <c r="P369" i="12"/>
  <c r="L369" i="12"/>
  <c r="K369" i="12"/>
  <c r="J369" i="12"/>
  <c r="I369" i="12"/>
  <c r="H369" i="12"/>
  <c r="I468" i="12"/>
  <c r="H468" i="12"/>
  <c r="P468" i="12"/>
  <c r="L468" i="12"/>
  <c r="K468" i="12"/>
  <c r="J468" i="12"/>
  <c r="F171" i="12"/>
  <c r="G182" i="12"/>
  <c r="F187" i="12"/>
  <c r="G198" i="12"/>
  <c r="F219" i="12"/>
  <c r="G230" i="12"/>
  <c r="G246" i="12"/>
  <c r="G262" i="12"/>
  <c r="F267" i="12"/>
  <c r="H273" i="12"/>
  <c r="K274" i="12"/>
  <c r="K283" i="12"/>
  <c r="H293" i="12"/>
  <c r="P309" i="12"/>
  <c r="P312" i="12"/>
  <c r="L312" i="12"/>
  <c r="L331" i="12"/>
  <c r="K331" i="12"/>
  <c r="J331" i="12"/>
  <c r="I331" i="12"/>
  <c r="H331" i="12"/>
  <c r="L342" i="12"/>
  <c r="K342" i="12"/>
  <c r="J342" i="12"/>
  <c r="I342" i="12"/>
  <c r="H342" i="12"/>
  <c r="P348" i="12"/>
  <c r="L348" i="12"/>
  <c r="K348" i="12"/>
  <c r="J348" i="12"/>
  <c r="I348" i="12"/>
  <c r="H348" i="12"/>
  <c r="I273" i="12"/>
  <c r="P305" i="12"/>
  <c r="K305" i="12"/>
  <c r="J305" i="12"/>
  <c r="I305" i="12"/>
  <c r="H305" i="12"/>
  <c r="J310" i="12"/>
  <c r="I310" i="12"/>
  <c r="H310" i="12"/>
  <c r="L315" i="12"/>
  <c r="I315" i="12"/>
  <c r="H315" i="12"/>
  <c r="K320" i="12"/>
  <c r="J320" i="12"/>
  <c r="H320" i="12"/>
  <c r="P354" i="12"/>
  <c r="L354" i="12"/>
  <c r="K354" i="12"/>
  <c r="J354" i="12"/>
  <c r="I354" i="12"/>
  <c r="H354" i="12"/>
  <c r="P433" i="12"/>
  <c r="L433" i="12"/>
  <c r="K433" i="12"/>
  <c r="H433" i="12"/>
  <c r="J433" i="12"/>
  <c r="I433" i="12"/>
  <c r="G192" i="12"/>
  <c r="G208" i="12"/>
  <c r="G224" i="12"/>
  <c r="G240" i="12"/>
  <c r="F245" i="12"/>
  <c r="G256" i="12"/>
  <c r="J273" i="12"/>
  <c r="I278" i="12"/>
  <c r="P283" i="12"/>
  <c r="J288" i="12"/>
  <c r="K293" i="12"/>
  <c r="L336" i="12"/>
  <c r="L284" i="12"/>
  <c r="K284" i="12"/>
  <c r="I284" i="12"/>
  <c r="H284" i="12"/>
  <c r="P370" i="12"/>
  <c r="L370" i="12"/>
  <c r="K370" i="12"/>
  <c r="J370" i="12"/>
  <c r="I370" i="12"/>
  <c r="H370" i="12"/>
  <c r="I290" i="12"/>
  <c r="P295" i="12"/>
  <c r="H322" i="12"/>
  <c r="L421" i="12"/>
  <c r="K421" i="12"/>
  <c r="J421" i="12"/>
  <c r="H421" i="12"/>
  <c r="P421" i="12"/>
  <c r="I421" i="12"/>
  <c r="P443" i="12"/>
  <c r="L443" i="12"/>
  <c r="J443" i="12"/>
  <c r="I443" i="12"/>
  <c r="K443" i="12"/>
  <c r="H443" i="12"/>
  <c r="J383" i="12"/>
  <c r="I383" i="12"/>
  <c r="H383" i="12"/>
  <c r="K394" i="12"/>
  <c r="J394" i="12"/>
  <c r="I394" i="12"/>
  <c r="L405" i="12"/>
  <c r="K405" i="12"/>
  <c r="J405" i="12"/>
  <c r="H405" i="12"/>
  <c r="P438" i="12"/>
  <c r="K438" i="12"/>
  <c r="J438" i="12"/>
  <c r="P465" i="12"/>
  <c r="L465" i="12"/>
  <c r="K465" i="12"/>
  <c r="H465" i="12"/>
  <c r="P470" i="12"/>
  <c r="K470" i="12"/>
  <c r="J470" i="12"/>
  <c r="P481" i="12"/>
  <c r="L481" i="12"/>
  <c r="K481" i="12"/>
  <c r="I481" i="12"/>
  <c r="H481" i="12"/>
  <c r="P374" i="12"/>
  <c r="K374" i="12"/>
  <c r="J374" i="12"/>
  <c r="K410" i="12"/>
  <c r="J410" i="12"/>
  <c r="I410" i="12"/>
  <c r="L453" i="12"/>
  <c r="K453" i="12"/>
  <c r="J453" i="12"/>
  <c r="H453" i="12"/>
  <c r="P472" i="12"/>
  <c r="L472" i="12"/>
  <c r="J472" i="12"/>
  <c r="L476" i="12"/>
  <c r="J476" i="12"/>
  <c r="I476" i="12"/>
  <c r="H476" i="12"/>
  <c r="H505" i="12"/>
  <c r="L505" i="12"/>
  <c r="K505" i="12"/>
  <c r="J505" i="12"/>
  <c r="H377" i="12"/>
  <c r="I388" i="12"/>
  <c r="H388" i="12"/>
  <c r="J399" i="12"/>
  <c r="I399" i="12"/>
  <c r="H399" i="12"/>
  <c r="H489" i="12"/>
  <c r="L489" i="12"/>
  <c r="J489" i="12"/>
  <c r="H394" i="12"/>
  <c r="P401" i="12"/>
  <c r="L401" i="12"/>
  <c r="K401" i="12"/>
  <c r="P417" i="12"/>
  <c r="L417" i="12"/>
  <c r="K417" i="12"/>
  <c r="H417" i="12"/>
  <c r="H425" i="12"/>
  <c r="H470" i="12"/>
  <c r="L323" i="12"/>
  <c r="K328" i="12"/>
  <c r="L339" i="12"/>
  <c r="K344" i="12"/>
  <c r="L355" i="12"/>
  <c r="K360" i="12"/>
  <c r="L371" i="12"/>
  <c r="P379" i="12"/>
  <c r="L379" i="12"/>
  <c r="J379" i="12"/>
  <c r="I379" i="12"/>
  <c r="K383" i="12"/>
  <c r="P390" i="12"/>
  <c r="K390" i="12"/>
  <c r="J390" i="12"/>
  <c r="L394" i="12"/>
  <c r="I405" i="12"/>
  <c r="K408" i="12"/>
  <c r="I420" i="12"/>
  <c r="H420" i="12"/>
  <c r="P420" i="12"/>
  <c r="P427" i="12"/>
  <c r="L427" i="12"/>
  <c r="J427" i="12"/>
  <c r="I427" i="12"/>
  <c r="H438" i="12"/>
  <c r="I465" i="12"/>
  <c r="I470" i="12"/>
  <c r="J481" i="12"/>
  <c r="L485" i="12"/>
  <c r="K485" i="12"/>
  <c r="J485" i="12"/>
  <c r="H485" i="12"/>
  <c r="P485" i="12"/>
  <c r="P508" i="12"/>
  <c r="L508" i="12"/>
  <c r="J508" i="12"/>
  <c r="I508" i="12"/>
  <c r="H508" i="12"/>
  <c r="K285" i="12"/>
  <c r="K301" i="12"/>
  <c r="K317" i="12"/>
  <c r="L328" i="12"/>
  <c r="L344" i="12"/>
  <c r="L360" i="12"/>
  <c r="H364" i="12"/>
  <c r="K365" i="12"/>
  <c r="K380" i="12"/>
  <c r="L383" i="12"/>
  <c r="H393" i="12"/>
  <c r="H396" i="12"/>
  <c r="I404" i="12"/>
  <c r="H404" i="12"/>
  <c r="L408" i="12"/>
  <c r="H410" i="12"/>
  <c r="P422" i="12"/>
  <c r="K422" i="12"/>
  <c r="J422" i="12"/>
  <c r="I438" i="12"/>
  <c r="L444" i="12"/>
  <c r="I444" i="12"/>
  <c r="J465" i="12"/>
  <c r="L470" i="12"/>
  <c r="L501" i="12"/>
  <c r="K501" i="12"/>
  <c r="J501" i="12"/>
  <c r="I501" i="12"/>
  <c r="H501" i="12"/>
  <c r="P501" i="12"/>
  <c r="I505" i="12"/>
  <c r="L285" i="12"/>
  <c r="I364" i="12"/>
  <c r="I377" i="12"/>
  <c r="P394" i="12"/>
  <c r="I396" i="12"/>
  <c r="P405" i="12"/>
  <c r="L410" i="12"/>
  <c r="L438" i="12"/>
  <c r="K442" i="12"/>
  <c r="J442" i="12"/>
  <c r="I442" i="12"/>
  <c r="I453" i="12"/>
  <c r="H457" i="12"/>
  <c r="K476" i="12"/>
  <c r="I489" i="12"/>
  <c r="P492" i="12"/>
  <c r="L492" i="12"/>
  <c r="J492" i="12"/>
  <c r="I492" i="12"/>
  <c r="H492" i="12"/>
  <c r="P505" i="12"/>
  <c r="H358" i="12"/>
  <c r="J364" i="12"/>
  <c r="H374" i="12"/>
  <c r="J377" i="12"/>
  <c r="P383" i="12"/>
  <c r="J388" i="12"/>
  <c r="P395" i="12"/>
  <c r="L395" i="12"/>
  <c r="J395" i="12"/>
  <c r="I395" i="12"/>
  <c r="J396" i="12"/>
  <c r="K399" i="12"/>
  <c r="P406" i="12"/>
  <c r="K406" i="12"/>
  <c r="J406" i="12"/>
  <c r="H409" i="12"/>
  <c r="I425" i="12"/>
  <c r="L437" i="12"/>
  <c r="K437" i="12"/>
  <c r="J437" i="12"/>
  <c r="H437" i="12"/>
  <c r="P449" i="12"/>
  <c r="L449" i="12"/>
  <c r="K449" i="12"/>
  <c r="H449" i="12"/>
  <c r="P459" i="12"/>
  <c r="L459" i="12"/>
  <c r="J459" i="12"/>
  <c r="I459" i="12"/>
  <c r="L469" i="12"/>
  <c r="K469" i="12"/>
  <c r="J469" i="12"/>
  <c r="H469" i="12"/>
  <c r="H472" i="12"/>
  <c r="P476" i="12"/>
  <c r="K489" i="12"/>
  <c r="I358" i="12"/>
  <c r="H363" i="12"/>
  <c r="K364" i="12"/>
  <c r="I374" i="12"/>
  <c r="K377" i="12"/>
  <c r="L384" i="12"/>
  <c r="K384" i="12"/>
  <c r="I384" i="12"/>
  <c r="H384" i="12"/>
  <c r="K388" i="12"/>
  <c r="K396" i="12"/>
  <c r="L399" i="12"/>
  <c r="P410" i="12"/>
  <c r="J425" i="12"/>
  <c r="H440" i="12"/>
  <c r="I452" i="12"/>
  <c r="H452" i="12"/>
  <c r="P452" i="12"/>
  <c r="P453" i="12"/>
  <c r="I472" i="12"/>
  <c r="P489" i="12"/>
  <c r="H352" i="12"/>
  <c r="J358" i="12"/>
  <c r="I363" i="12"/>
  <c r="L364" i="12"/>
  <c r="H368" i="12"/>
  <c r="L374" i="12"/>
  <c r="L377" i="12"/>
  <c r="L388" i="12"/>
  <c r="I393" i="12"/>
  <c r="P396" i="12"/>
  <c r="H401" i="12"/>
  <c r="P411" i="12"/>
  <c r="L411" i="12"/>
  <c r="J411" i="12"/>
  <c r="I411" i="12"/>
  <c r="I417" i="12"/>
  <c r="J420" i="12"/>
  <c r="K425" i="12"/>
  <c r="H427" i="12"/>
  <c r="I440" i="12"/>
  <c r="P454" i="12"/>
  <c r="K454" i="12"/>
  <c r="J454" i="12"/>
  <c r="K472" i="12"/>
  <c r="I485" i="12"/>
  <c r="K508" i="12"/>
  <c r="I352" i="12"/>
  <c r="K358" i="12"/>
  <c r="J363" i="12"/>
  <c r="I368" i="12"/>
  <c r="P399" i="12"/>
  <c r="I401" i="12"/>
  <c r="J417" i="12"/>
  <c r="L425" i="12"/>
  <c r="K440" i="12"/>
  <c r="H473" i="12"/>
  <c r="J352" i="12"/>
  <c r="K363" i="12"/>
  <c r="J368" i="12"/>
  <c r="P377" i="12"/>
  <c r="P388" i="12"/>
  <c r="L400" i="12"/>
  <c r="K400" i="12"/>
  <c r="I400" i="12"/>
  <c r="H400" i="12"/>
  <c r="J401" i="12"/>
  <c r="L416" i="12"/>
  <c r="K416" i="12"/>
  <c r="I416" i="12"/>
  <c r="H416" i="12"/>
  <c r="P425" i="12"/>
  <c r="L428" i="12"/>
  <c r="I428" i="12"/>
  <c r="L440" i="12"/>
  <c r="P475" i="12"/>
  <c r="L475" i="12"/>
  <c r="J475" i="12"/>
  <c r="I475" i="12"/>
  <c r="P486" i="12"/>
  <c r="K486" i="12"/>
  <c r="J486" i="12"/>
  <c r="H486" i="12"/>
  <c r="P488" i="12"/>
  <c r="L488" i="12"/>
  <c r="J488" i="12"/>
  <c r="I488" i="12"/>
  <c r="K378" i="12"/>
  <c r="J378" i="12"/>
  <c r="I378" i="12"/>
  <c r="L389" i="12"/>
  <c r="K389" i="12"/>
  <c r="J389" i="12"/>
  <c r="H389" i="12"/>
  <c r="L390" i="12"/>
  <c r="L393" i="12"/>
  <c r="H406" i="12"/>
  <c r="J409" i="12"/>
  <c r="K426" i="12"/>
  <c r="J426" i="12"/>
  <c r="I426" i="12"/>
  <c r="I437" i="12"/>
  <c r="P440" i="12"/>
  <c r="K444" i="12"/>
  <c r="L456" i="12"/>
  <c r="J456" i="12"/>
  <c r="K457" i="12"/>
  <c r="H459" i="12"/>
  <c r="I469" i="12"/>
  <c r="H521" i="12"/>
  <c r="L521" i="12"/>
  <c r="K521" i="12"/>
  <c r="J521" i="12"/>
  <c r="L516" i="12"/>
  <c r="H520" i="12"/>
  <c r="I504" i="12"/>
  <c r="I520" i="12"/>
  <c r="P484" i="12"/>
  <c r="P500" i="12"/>
  <c r="J504" i="12"/>
  <c r="P516" i="12"/>
  <c r="J520" i="12"/>
  <c r="L504" i="12"/>
  <c r="L520" i="12"/>
  <c r="H497" i="12"/>
  <c r="H513" i="12"/>
  <c r="P515" i="12"/>
  <c r="I497" i="12"/>
  <c r="H502" i="12"/>
  <c r="I513" i="12"/>
  <c r="H523" i="12"/>
  <c r="H432" i="12"/>
  <c r="H448" i="12"/>
  <c r="H464" i="12"/>
  <c r="H480" i="12"/>
  <c r="I491" i="12"/>
  <c r="H496" i="12"/>
  <c r="K497" i="12"/>
  <c r="J502" i="12"/>
  <c r="I507" i="12"/>
  <c r="H512" i="12"/>
  <c r="K513" i="12"/>
  <c r="J518" i="12"/>
  <c r="I523" i="12"/>
  <c r="I432" i="12"/>
  <c r="I448" i="12"/>
  <c r="I464" i="12"/>
  <c r="I480" i="12"/>
  <c r="J491" i="12"/>
  <c r="I496" i="12"/>
  <c r="L497" i="12"/>
  <c r="K502" i="12"/>
  <c r="J507" i="12"/>
  <c r="I512" i="12"/>
  <c r="L513" i="12"/>
  <c r="K518" i="12"/>
  <c r="J523" i="12"/>
  <c r="L502" i="12"/>
  <c r="K523" i="12"/>
  <c r="H415" i="12"/>
  <c r="H431" i="12"/>
  <c r="K432" i="12"/>
  <c r="H447" i="12"/>
  <c r="K448" i="12"/>
  <c r="I458" i="12"/>
  <c r="H463" i="12"/>
  <c r="K464" i="12"/>
  <c r="I474" i="12"/>
  <c r="H479" i="12"/>
  <c r="K480" i="12"/>
  <c r="I490" i="12"/>
  <c r="L491" i="12"/>
  <c r="H495" i="12"/>
  <c r="K496" i="12"/>
  <c r="I506" i="12"/>
  <c r="L507" i="12"/>
  <c r="H511" i="12"/>
  <c r="K512" i="12"/>
  <c r="I522" i="12"/>
  <c r="L523" i="12"/>
  <c r="I415" i="12"/>
  <c r="I431" i="12"/>
  <c r="I447" i="12"/>
  <c r="J458" i="12"/>
  <c r="I463" i="12"/>
  <c r="J474" i="12"/>
  <c r="I479" i="12"/>
  <c r="H484" i="12"/>
  <c r="J490" i="12"/>
  <c r="I495" i="12"/>
  <c r="H500" i="12"/>
  <c r="J506" i="12"/>
  <c r="I511" i="12"/>
  <c r="H516" i="12"/>
  <c r="J522" i="12"/>
  <c r="W163" i="3"/>
  <c r="X163" i="3" s="1"/>
  <c r="W87" i="3"/>
  <c r="X87" i="3" s="1"/>
  <c r="W103" i="3"/>
  <c r="X103" i="3" s="1"/>
  <c r="W112" i="3"/>
  <c r="X112" i="3" s="1"/>
  <c r="W91" i="3"/>
  <c r="X91" i="3" s="1"/>
  <c r="W72" i="3"/>
  <c r="X72" i="3" s="1"/>
  <c r="W60" i="3"/>
  <c r="X60" i="3" s="1"/>
  <c r="W31" i="3"/>
  <c r="X31" i="3" s="1"/>
  <c r="W138" i="3"/>
  <c r="Y138" i="3" s="1"/>
  <c r="W17" i="3"/>
  <c r="X17" i="3" s="1"/>
  <c r="W15" i="3"/>
  <c r="X15" i="3" s="1"/>
  <c r="W82" i="3"/>
  <c r="X82" i="3" s="1"/>
  <c r="W92" i="3"/>
  <c r="X92" i="3" s="1"/>
  <c r="W108" i="3"/>
  <c r="Y108" i="3" s="1"/>
  <c r="W134" i="3"/>
  <c r="X134" i="3" s="1"/>
  <c r="W185" i="3"/>
  <c r="X185" i="3" s="1"/>
  <c r="W200" i="3"/>
  <c r="Y200" i="3" s="1"/>
  <c r="W158" i="3"/>
  <c r="X158" i="3" s="1"/>
  <c r="W68" i="3"/>
  <c r="X68" i="3" s="1"/>
  <c r="W104" i="3"/>
  <c r="X104" i="3" s="1"/>
  <c r="W171" i="3"/>
  <c r="X171" i="3" s="1"/>
  <c r="W105" i="3"/>
  <c r="X105" i="3" s="1"/>
  <c r="W3" i="3"/>
  <c r="X3" i="3" s="1"/>
  <c r="W195" i="3"/>
  <c r="X195" i="3" s="1"/>
  <c r="W211" i="3"/>
  <c r="Y211" i="3" s="1"/>
  <c r="W66" i="3"/>
  <c r="X66" i="3" s="1"/>
  <c r="W169" i="3"/>
  <c r="X169" i="3" s="1"/>
  <c r="W71" i="3"/>
  <c r="X71" i="3" s="1"/>
  <c r="W167" i="3"/>
  <c r="X167" i="3" s="1"/>
  <c r="W34" i="3"/>
  <c r="X34" i="3" s="1"/>
  <c r="W53" i="3"/>
  <c r="Y53" i="3" s="1"/>
  <c r="W96" i="3"/>
  <c r="X96" i="3" s="1"/>
  <c r="W125" i="3"/>
  <c r="X125" i="3" s="1"/>
  <c r="W160" i="3"/>
  <c r="Y160" i="3" s="1"/>
  <c r="W199" i="3"/>
  <c r="X199" i="3" s="1"/>
  <c r="W133" i="3"/>
  <c r="X133" i="3" s="1"/>
  <c r="W67" i="3"/>
  <c r="X67" i="3" s="1"/>
  <c r="W44" i="3"/>
  <c r="X44" i="3" s="1"/>
  <c r="W57" i="3"/>
  <c r="X57" i="3" s="1"/>
  <c r="W26" i="3"/>
  <c r="X26" i="3" s="1"/>
  <c r="W101" i="3"/>
  <c r="X101" i="3" s="1"/>
  <c r="N207" i="3"/>
  <c r="W35" i="3"/>
  <c r="X35" i="3" s="1"/>
  <c r="W73" i="3"/>
  <c r="X73" i="3" s="1"/>
  <c r="W144" i="3"/>
  <c r="X144" i="3" s="1"/>
  <c r="W238" i="3"/>
  <c r="X238" i="3" s="1"/>
  <c r="W262" i="3"/>
  <c r="X262" i="3" s="1"/>
  <c r="W131" i="3"/>
  <c r="X131" i="3" s="1"/>
  <c r="W250" i="3"/>
  <c r="Y250" i="3" s="1"/>
  <c r="W69" i="3"/>
  <c r="X69" i="3" s="1"/>
  <c r="W183" i="3"/>
  <c r="X183" i="3" s="1"/>
  <c r="W216" i="3"/>
  <c r="X216" i="3" s="1"/>
  <c r="W51" i="3"/>
  <c r="X51" i="3" s="1"/>
  <c r="W132" i="3"/>
  <c r="X132" i="3" s="1"/>
  <c r="W187" i="3"/>
  <c r="X187" i="3" s="1"/>
  <c r="W201" i="3"/>
  <c r="X201" i="3" s="1"/>
  <c r="W213" i="3"/>
  <c r="X213" i="3" s="1"/>
  <c r="W37" i="3"/>
  <c r="X37" i="3" s="1"/>
  <c r="W85" i="3"/>
  <c r="X85" i="3" s="1"/>
  <c r="W29" i="3"/>
  <c r="X29" i="3" s="1"/>
  <c r="W191" i="3"/>
  <c r="X191" i="3" s="1"/>
  <c r="W217" i="3"/>
  <c r="X217" i="3" s="1"/>
  <c r="W224" i="3"/>
  <c r="X224" i="3" s="1"/>
  <c r="W251" i="3"/>
  <c r="Y251" i="3" s="1"/>
  <c r="W2" i="3"/>
  <c r="X2" i="3" s="1"/>
  <c r="W28" i="3"/>
  <c r="X28" i="3" s="1"/>
  <c r="W39" i="3"/>
  <c r="X39" i="3" s="1"/>
  <c r="W168" i="3"/>
  <c r="X168" i="3" s="1"/>
  <c r="W184" i="3"/>
  <c r="X184" i="3" s="1"/>
  <c r="W16" i="3"/>
  <c r="X16" i="3" s="1"/>
  <c r="W20" i="3"/>
  <c r="X20" i="3" s="1"/>
  <c r="W117" i="3"/>
  <c r="X117" i="3" s="1"/>
  <c r="W142" i="3"/>
  <c r="X142" i="3" s="1"/>
  <c r="W175" i="3"/>
  <c r="X175" i="3" s="1"/>
  <c r="W232" i="3"/>
  <c r="X232" i="3" s="1"/>
  <c r="W246" i="3"/>
  <c r="X246" i="3" s="1"/>
  <c r="W253" i="3"/>
  <c r="X253" i="3" s="1"/>
  <c r="W36" i="3"/>
  <c r="X36" i="3" s="1"/>
  <c r="W260" i="3"/>
  <c r="X260" i="3" s="1"/>
  <c r="W8" i="3"/>
  <c r="X8" i="3" s="1"/>
  <c r="W4" i="3"/>
  <c r="X4" i="3" s="1"/>
  <c r="W13" i="3"/>
  <c r="X13" i="3" s="1"/>
  <c r="W21" i="3"/>
  <c r="X21" i="3" s="1"/>
  <c r="W30" i="3"/>
  <c r="X30" i="3" s="1"/>
  <c r="W80" i="3"/>
  <c r="X80" i="3" s="1"/>
  <c r="W84" i="3"/>
  <c r="X84" i="3" s="1"/>
  <c r="W88" i="3"/>
  <c r="X88" i="3" s="1"/>
  <c r="W118" i="3"/>
  <c r="X118" i="3" s="1"/>
  <c r="W122" i="3"/>
  <c r="X122" i="3" s="1"/>
  <c r="W179" i="3"/>
  <c r="X179" i="3" s="1"/>
  <c r="W192" i="3"/>
  <c r="X192" i="3" s="1"/>
  <c r="W240" i="3"/>
  <c r="X240" i="3" s="1"/>
  <c r="W176" i="3"/>
  <c r="X176" i="3" s="1"/>
  <c r="W223" i="3"/>
  <c r="Y223" i="3" s="1"/>
  <c r="W230" i="3"/>
  <c r="X230" i="3" s="1"/>
  <c r="W254" i="3"/>
  <c r="X254" i="3" s="1"/>
  <c r="W41" i="3"/>
  <c r="X41" i="3" s="1"/>
  <c r="W115" i="3"/>
  <c r="Y115" i="3" s="1"/>
  <c r="W151" i="3"/>
  <c r="X151" i="3" s="1"/>
  <c r="W18" i="3"/>
  <c r="X18" i="3" s="1"/>
  <c r="W64" i="3"/>
  <c r="X64" i="3" s="1"/>
  <c r="W214" i="3"/>
  <c r="X214" i="3" s="1"/>
  <c r="W22" i="3"/>
  <c r="X22" i="3" s="1"/>
  <c r="W38" i="3"/>
  <c r="Y38" i="3" s="1"/>
  <c r="W89" i="3"/>
  <c r="X89" i="3" s="1"/>
  <c r="W98" i="3"/>
  <c r="X98" i="3" s="1"/>
  <c r="W210" i="3"/>
  <c r="X210" i="3" s="1"/>
  <c r="W14" i="3"/>
  <c r="X14" i="3" s="1"/>
  <c r="W27" i="3"/>
  <c r="X27" i="3" s="1"/>
  <c r="W49" i="3"/>
  <c r="X49" i="3" s="1"/>
  <c r="W52" i="3"/>
  <c r="X52" i="3" s="1"/>
  <c r="W65" i="3"/>
  <c r="X65" i="3" s="1"/>
  <c r="W81" i="3"/>
  <c r="X81" i="3" s="1"/>
  <c r="W97" i="3"/>
  <c r="X97" i="3" s="1"/>
  <c r="W107" i="3"/>
  <c r="Y107" i="3" s="1"/>
  <c r="C103" i="13" s="1"/>
  <c r="W130" i="3"/>
  <c r="X130" i="3" s="1"/>
  <c r="W143" i="3"/>
  <c r="X143" i="3" s="1"/>
  <c r="W159" i="3"/>
  <c r="X159" i="3" s="1"/>
  <c r="W202" i="3"/>
  <c r="X202" i="3" s="1"/>
  <c r="J210" i="3"/>
  <c r="W226" i="3"/>
  <c r="X226" i="3" s="1"/>
  <c r="W234" i="3"/>
  <c r="X234" i="3" s="1"/>
  <c r="W242" i="3"/>
  <c r="X242" i="3" s="1"/>
  <c r="W256" i="3"/>
  <c r="X256" i="3" s="1"/>
  <c r="W264" i="3"/>
  <c r="X264" i="3" s="1"/>
  <c r="W11" i="3"/>
  <c r="X11" i="3" s="1"/>
  <c r="W24" i="3"/>
  <c r="X24" i="3" s="1"/>
  <c r="W46" i="3"/>
  <c r="X46" i="3" s="1"/>
  <c r="W62" i="3"/>
  <c r="X62" i="3" s="1"/>
  <c r="W78" i="3"/>
  <c r="X78" i="3" s="1"/>
  <c r="W94" i="3"/>
  <c r="X94" i="3" s="1"/>
  <c r="W114" i="3"/>
  <c r="X114" i="3" s="1"/>
  <c r="W127" i="3"/>
  <c r="X127" i="3" s="1"/>
  <c r="W140" i="3"/>
  <c r="X140" i="3" s="1"/>
  <c r="W156" i="3"/>
  <c r="X156" i="3" s="1"/>
  <c r="W162" i="3"/>
  <c r="X162" i="3" s="1"/>
  <c r="W170" i="3"/>
  <c r="X170" i="3" s="1"/>
  <c r="W178" i="3"/>
  <c r="X178" i="3" s="1"/>
  <c r="W186" i="3"/>
  <c r="X186" i="3" s="1"/>
  <c r="W194" i="3"/>
  <c r="X194" i="3" s="1"/>
  <c r="W215" i="3"/>
  <c r="X215" i="3" s="1"/>
  <c r="W43" i="3"/>
  <c r="X43" i="3" s="1"/>
  <c r="W59" i="3"/>
  <c r="X59" i="3" s="1"/>
  <c r="W75" i="3"/>
  <c r="X75" i="3" s="1"/>
  <c r="W124" i="3"/>
  <c r="X124" i="3" s="1"/>
  <c r="W153" i="3"/>
  <c r="X153" i="3" s="1"/>
  <c r="W205" i="3"/>
  <c r="X205" i="3" s="1"/>
  <c r="W229" i="3"/>
  <c r="X229" i="3" s="1"/>
  <c r="W237" i="3"/>
  <c r="X237" i="3" s="1"/>
  <c r="W245" i="3"/>
  <c r="X245" i="3" s="1"/>
  <c r="W259" i="3"/>
  <c r="X259" i="3" s="1"/>
  <c r="W12" i="3"/>
  <c r="X12" i="3" s="1"/>
  <c r="W25" i="3"/>
  <c r="X25" i="3" s="1"/>
  <c r="W47" i="3"/>
  <c r="X47" i="3" s="1"/>
  <c r="W50" i="3"/>
  <c r="Y50" i="3" s="1"/>
  <c r="W63" i="3"/>
  <c r="X63" i="3" s="1"/>
  <c r="W79" i="3"/>
  <c r="X79" i="3" s="1"/>
  <c r="W95" i="3"/>
  <c r="X95" i="3" s="1"/>
  <c r="W128" i="3"/>
  <c r="X128" i="3" s="1"/>
  <c r="W141" i="3"/>
  <c r="X141" i="3" s="1"/>
  <c r="W157" i="3"/>
  <c r="X157" i="3" s="1"/>
  <c r="W203" i="3"/>
  <c r="X203" i="3" s="1"/>
  <c r="W208" i="3"/>
  <c r="X208" i="3" s="1"/>
  <c r="W227" i="3"/>
  <c r="X227" i="3" s="1"/>
  <c r="W235" i="3"/>
  <c r="X235" i="3" s="1"/>
  <c r="W243" i="3"/>
  <c r="X243" i="3" s="1"/>
  <c r="W19" i="3"/>
  <c r="X19" i="3" s="1"/>
  <c r="W54" i="3"/>
  <c r="X54" i="3" s="1"/>
  <c r="W70" i="3"/>
  <c r="X70" i="3" s="1"/>
  <c r="W86" i="3"/>
  <c r="X86" i="3" s="1"/>
  <c r="W102" i="3"/>
  <c r="X102" i="3" s="1"/>
  <c r="W109" i="3"/>
  <c r="X109" i="3" s="1"/>
  <c r="W119" i="3"/>
  <c r="X119" i="3" s="1"/>
  <c r="W135" i="3"/>
  <c r="X135" i="3" s="1"/>
  <c r="W148" i="3"/>
  <c r="X148" i="3" s="1"/>
  <c r="W166" i="3"/>
  <c r="X166" i="3" s="1"/>
  <c r="W174" i="3"/>
  <c r="X174" i="3" s="1"/>
  <c r="W182" i="3"/>
  <c r="X182" i="3" s="1"/>
  <c r="W190" i="3"/>
  <c r="X190" i="3" s="1"/>
  <c r="W198" i="3"/>
  <c r="X198" i="3" s="1"/>
  <c r="W206" i="3"/>
  <c r="X206" i="3" s="1"/>
  <c r="W219" i="3"/>
  <c r="X219" i="3" s="1"/>
  <c r="W252" i="3"/>
  <c r="Y252" i="3" s="1"/>
  <c r="W10" i="3"/>
  <c r="X10" i="3" s="1"/>
  <c r="W23" i="3"/>
  <c r="Y23" i="3" s="1"/>
  <c r="C152" i="13" s="1"/>
  <c r="W45" i="3"/>
  <c r="X45" i="3" s="1"/>
  <c r="W61" i="3"/>
  <c r="X61" i="3" s="1"/>
  <c r="W77" i="3"/>
  <c r="X77" i="3" s="1"/>
  <c r="W93" i="3"/>
  <c r="X93" i="3" s="1"/>
  <c r="W106" i="3"/>
  <c r="Y106" i="3" s="1"/>
  <c r="W113" i="3"/>
  <c r="Y113" i="3" s="1"/>
  <c r="W126" i="3"/>
  <c r="X126" i="3" s="1"/>
  <c r="W139" i="3"/>
  <c r="X139" i="3" s="1"/>
  <c r="W155" i="3"/>
  <c r="X155" i="3" s="1"/>
  <c r="W204" i="3"/>
  <c r="X204" i="3" s="1"/>
  <c r="W209" i="3"/>
  <c r="X209" i="3" s="1"/>
  <c r="J212" i="3"/>
  <c r="W228" i="3"/>
  <c r="X228" i="3" s="1"/>
  <c r="W236" i="3"/>
  <c r="X236" i="3" s="1"/>
  <c r="W244" i="3"/>
  <c r="X244" i="3" s="1"/>
  <c r="W258" i="3"/>
  <c r="X258" i="3" s="1"/>
  <c r="W42" i="3"/>
  <c r="X42" i="3" s="1"/>
  <c r="W58" i="3"/>
  <c r="X58" i="3" s="1"/>
  <c r="W74" i="3"/>
  <c r="X74" i="3" s="1"/>
  <c r="W90" i="3"/>
  <c r="X90" i="3" s="1"/>
  <c r="W123" i="3"/>
  <c r="X123" i="3" s="1"/>
  <c r="W152" i="3"/>
  <c r="X152" i="3" s="1"/>
  <c r="W164" i="3"/>
  <c r="X164" i="3" s="1"/>
  <c r="W172" i="3"/>
  <c r="X172" i="3" s="1"/>
  <c r="W180" i="3"/>
  <c r="X180" i="3" s="1"/>
  <c r="W188" i="3"/>
  <c r="Y188" i="3" s="1"/>
  <c r="W3" i="2" s="1"/>
  <c r="W196" i="3"/>
  <c r="X196" i="3" s="1"/>
  <c r="C150" i="13" l="1"/>
  <c r="C148" i="13"/>
  <c r="C147" i="13"/>
  <c r="C146" i="13"/>
  <c r="C145" i="13"/>
  <c r="C140" i="13"/>
  <c r="C139" i="13"/>
  <c r="C132" i="13"/>
  <c r="C127" i="13"/>
  <c r="AW12" i="2"/>
  <c r="C125" i="13"/>
  <c r="AQ10" i="2"/>
  <c r="AW10" i="2"/>
  <c r="C124" i="13"/>
  <c r="AW9" i="2"/>
  <c r="C122" i="13"/>
  <c r="AW6" i="2"/>
  <c r="C119" i="13"/>
  <c r="C136" i="13"/>
  <c r="C133" i="13"/>
  <c r="C144" i="13"/>
  <c r="C131" i="13"/>
  <c r="C143" i="13"/>
  <c r="C142" i="13"/>
  <c r="C55" i="13"/>
  <c r="C92" i="13"/>
  <c r="C52" i="13"/>
  <c r="C90" i="13"/>
  <c r="C51" i="13"/>
  <c r="C89" i="13"/>
  <c r="C45" i="13"/>
  <c r="C86" i="13"/>
  <c r="C80" i="13"/>
  <c r="C116" i="13"/>
  <c r="C79" i="13"/>
  <c r="C115" i="13"/>
  <c r="C75" i="13"/>
  <c r="C111" i="13"/>
  <c r="C72" i="13"/>
  <c r="C107" i="13"/>
  <c r="C76" i="13"/>
  <c r="C112" i="13"/>
  <c r="C71" i="13"/>
  <c r="C106" i="13"/>
  <c r="C64" i="13"/>
  <c r="C99" i="13"/>
  <c r="C61" i="13"/>
  <c r="C96" i="13"/>
  <c r="C78" i="13"/>
  <c r="C114" i="13"/>
  <c r="C81" i="13"/>
  <c r="C117" i="13"/>
  <c r="C82" i="13"/>
  <c r="C118" i="13"/>
  <c r="C69" i="13"/>
  <c r="C104" i="13"/>
  <c r="C67" i="13"/>
  <c r="C102" i="13"/>
  <c r="C62" i="13"/>
  <c r="C97" i="13"/>
  <c r="C40" i="13"/>
  <c r="C83" i="13"/>
  <c r="C73" i="13"/>
  <c r="C108" i="13"/>
  <c r="C77" i="13"/>
  <c r="C113" i="13"/>
  <c r="C60" i="13"/>
  <c r="C95" i="13"/>
  <c r="AB23" i="2"/>
  <c r="C23" i="13"/>
  <c r="AB17" i="2"/>
  <c r="C17" i="13"/>
  <c r="AB10" i="2"/>
  <c r="C10" i="13"/>
  <c r="AB28" i="2"/>
  <c r="C28" i="13"/>
  <c r="AB7" i="2"/>
  <c r="C7" i="13"/>
  <c r="AB5" i="2"/>
  <c r="C5" i="13"/>
  <c r="AB32" i="2"/>
  <c r="C32" i="13"/>
  <c r="AB15" i="2"/>
  <c r="C15" i="13"/>
  <c r="AB36" i="2"/>
  <c r="C36" i="13"/>
  <c r="AB35" i="2"/>
  <c r="C35" i="13"/>
  <c r="AB30" i="2"/>
  <c r="C30" i="13"/>
  <c r="AB27" i="2"/>
  <c r="C27" i="13"/>
  <c r="AB31" i="2"/>
  <c r="C31" i="13"/>
  <c r="AB26" i="2"/>
  <c r="C26" i="13"/>
  <c r="AB21" i="2"/>
  <c r="C21" i="13"/>
  <c r="AB18" i="2"/>
  <c r="C18" i="13"/>
  <c r="AB22" i="2"/>
  <c r="C22" i="13"/>
  <c r="AB34" i="2"/>
  <c r="C34" i="13"/>
  <c r="AB16" i="2"/>
  <c r="C16" i="13"/>
  <c r="AB3" i="2"/>
  <c r="C3" i="13"/>
  <c r="AB33" i="2"/>
  <c r="C33" i="13"/>
  <c r="AB8" i="2"/>
  <c r="C8" i="13"/>
  <c r="AB9" i="2"/>
  <c r="C9" i="13"/>
  <c r="C39" i="13"/>
  <c r="AB37" i="2"/>
  <c r="C37" i="13"/>
  <c r="AB38" i="2"/>
  <c r="C38" i="13"/>
  <c r="C6" i="13"/>
  <c r="C24" i="13"/>
  <c r="AB6" i="2"/>
  <c r="AB24" i="2"/>
  <c r="AW23" i="2"/>
  <c r="AQ12" i="2"/>
  <c r="AQ8" i="2"/>
  <c r="AW33" i="2"/>
  <c r="AW36" i="2"/>
  <c r="AW31" i="2"/>
  <c r="AW27" i="2"/>
  <c r="AW32" i="2"/>
  <c r="AW26" i="2"/>
  <c r="E95" i="12"/>
  <c r="AW37" i="2"/>
  <c r="AQ9" i="2"/>
  <c r="AW24" i="2"/>
  <c r="AQ22" i="2"/>
  <c r="AW22" i="2"/>
  <c r="AQ3" i="2"/>
  <c r="AW3" i="2"/>
  <c r="AQ27" i="2"/>
  <c r="AW28" i="2"/>
  <c r="AQ17" i="2"/>
  <c r="AW17" i="2"/>
  <c r="AQ15" i="2"/>
  <c r="AW15" i="2"/>
  <c r="AQ32" i="2"/>
  <c r="AW35" i="2"/>
  <c r="AQ19" i="2"/>
  <c r="AW19" i="2"/>
  <c r="AQ16" i="2"/>
  <c r="AW16" i="2"/>
  <c r="AQ31" i="2"/>
  <c r="AW34" i="2"/>
  <c r="AQ35" i="2"/>
  <c r="AQ38" i="2"/>
  <c r="AQ34" i="2"/>
  <c r="AQ37" i="2"/>
  <c r="AQ33" i="2"/>
  <c r="AQ36" i="2"/>
  <c r="AQ26" i="2"/>
  <c r="AQ28" i="2"/>
  <c r="W6" i="2"/>
  <c r="AQ23" i="2"/>
  <c r="E227" i="12"/>
  <c r="W24" i="2"/>
  <c r="E119" i="12"/>
  <c r="AK6" i="2"/>
  <c r="AK8" i="2"/>
  <c r="E113" i="12"/>
  <c r="AK12" i="2"/>
  <c r="E127" i="12"/>
  <c r="AK14" i="2"/>
  <c r="E14" i="12"/>
  <c r="AK15" i="2"/>
  <c r="E207" i="12"/>
  <c r="AK18" i="2"/>
  <c r="E93" i="12"/>
  <c r="AK24" i="2"/>
  <c r="AK30" i="2"/>
  <c r="AK31" i="2"/>
  <c r="AK32" i="2"/>
  <c r="AK41" i="2"/>
  <c r="W25" i="2"/>
  <c r="AK40" i="2"/>
  <c r="AK39" i="2"/>
  <c r="AK38" i="2"/>
  <c r="AK43" i="2"/>
  <c r="AK44" i="2"/>
  <c r="AK34" i="2"/>
  <c r="AK27" i="2"/>
  <c r="AK45" i="2"/>
  <c r="AK13" i="2"/>
  <c r="AK35" i="2"/>
  <c r="AK36" i="2"/>
  <c r="AK25" i="2"/>
  <c r="AK23" i="2"/>
  <c r="AK42" i="2"/>
  <c r="W27" i="2"/>
  <c r="E101" i="12"/>
  <c r="W16" i="2"/>
  <c r="E25" i="12"/>
  <c r="W18" i="2"/>
  <c r="W33" i="2"/>
  <c r="E162" i="12"/>
  <c r="W39" i="2"/>
  <c r="W9" i="2"/>
  <c r="E80" i="12"/>
  <c r="W28" i="2"/>
  <c r="W31" i="2"/>
  <c r="W10" i="2"/>
  <c r="E10" i="12"/>
  <c r="E24" i="12"/>
  <c r="Y246" i="3"/>
  <c r="E249" i="12" s="1"/>
  <c r="Y6" i="3"/>
  <c r="E9" i="12" s="1"/>
  <c r="Y86" i="3"/>
  <c r="E89" i="12" s="1"/>
  <c r="Y51" i="3"/>
  <c r="E54" i="12" s="1"/>
  <c r="Y10" i="3"/>
  <c r="E13" i="12" s="1"/>
  <c r="W11" i="2"/>
  <c r="E49" i="12"/>
  <c r="E136" i="12"/>
  <c r="W15" i="2"/>
  <c r="W23" i="2"/>
  <c r="E132" i="12"/>
  <c r="E148" i="12"/>
  <c r="E8" i="12"/>
  <c r="W21" i="2"/>
  <c r="W29" i="2"/>
  <c r="Y68" i="3"/>
  <c r="E71" i="12" s="1"/>
  <c r="Y87" i="3"/>
  <c r="E90" i="12" s="1"/>
  <c r="O345" i="12"/>
  <c r="Y60" i="3"/>
  <c r="E63" i="12" s="1"/>
  <c r="Y67" i="3"/>
  <c r="E70" i="12" s="1"/>
  <c r="Y123" i="3"/>
  <c r="Y79" i="3"/>
  <c r="Y187" i="3"/>
  <c r="E190" i="12" s="1"/>
  <c r="Y44" i="3"/>
  <c r="E47" i="12" s="1"/>
  <c r="Y43" i="3"/>
  <c r="C74" i="13" s="1"/>
  <c r="Y185" i="3"/>
  <c r="E188" i="12" s="1"/>
  <c r="Y71" i="3"/>
  <c r="E74" i="12" s="1"/>
  <c r="Y210" i="3"/>
  <c r="E213" i="12" s="1"/>
  <c r="Y36" i="3"/>
  <c r="E39" i="12" s="1"/>
  <c r="Y35" i="3"/>
  <c r="Y212" i="3"/>
  <c r="C163" i="13" s="1"/>
  <c r="Y31" i="3"/>
  <c r="E34" i="12" s="1"/>
  <c r="Y29" i="3"/>
  <c r="E32" i="12" s="1"/>
  <c r="Y28" i="3"/>
  <c r="C158" i="13" s="1"/>
  <c r="Y163" i="3"/>
  <c r="E166" i="12" s="1"/>
  <c r="Y17" i="3"/>
  <c r="E20" i="12" s="1"/>
  <c r="Y125" i="3"/>
  <c r="E128" i="12" s="1"/>
  <c r="Y19" i="3"/>
  <c r="E22" i="12" s="1"/>
  <c r="Y155" i="3"/>
  <c r="E158" i="12" s="1"/>
  <c r="Y16" i="3"/>
  <c r="E19" i="12" s="1"/>
  <c r="Y134" i="3"/>
  <c r="E137" i="12" s="1"/>
  <c r="Y2" i="3"/>
  <c r="Y18" i="3"/>
  <c r="E21" i="12" s="1"/>
  <c r="Y8" i="3"/>
  <c r="E11" i="12" s="1"/>
  <c r="Y94" i="3"/>
  <c r="E97" i="12" s="1"/>
  <c r="Y20" i="3"/>
  <c r="E23" i="12" s="1"/>
  <c r="Y156" i="3"/>
  <c r="E159" i="12" s="1"/>
  <c r="Y114" i="3"/>
  <c r="Y78" i="3"/>
  <c r="Y101" i="3"/>
  <c r="C54" i="13" s="1"/>
  <c r="Y13" i="3"/>
  <c r="E16" i="12" s="1"/>
  <c r="Y12" i="3"/>
  <c r="C160" i="13" s="1"/>
  <c r="Y89" i="3"/>
  <c r="Y104" i="3"/>
  <c r="E107" i="12" s="1"/>
  <c r="Y54" i="3"/>
  <c r="Y85" i="3"/>
  <c r="E88" i="12" s="1"/>
  <c r="Y4" i="3"/>
  <c r="E7" i="12" s="1"/>
  <c r="Y186" i="3"/>
  <c r="E189" i="12" s="1"/>
  <c r="Y3" i="3"/>
  <c r="Y74" i="3"/>
  <c r="E77" i="12" s="1"/>
  <c r="Y88" i="3"/>
  <c r="Y69" i="3"/>
  <c r="E72" i="12" s="1"/>
  <c r="Y66" i="3"/>
  <c r="E69" i="12" s="1"/>
  <c r="Y80" i="3"/>
  <c r="Y47" i="3"/>
  <c r="W17" i="2" s="1"/>
  <c r="Y61" i="3"/>
  <c r="E64" i="12" s="1"/>
  <c r="Y58" i="3"/>
  <c r="E61" i="12" s="1"/>
  <c r="Y72" i="3"/>
  <c r="E75" i="12" s="1"/>
  <c r="Y45" i="3"/>
  <c r="Y112" i="3"/>
  <c r="E115" i="12" s="1"/>
  <c r="Y91" i="3"/>
  <c r="E94" i="12" s="1"/>
  <c r="Y103" i="3"/>
  <c r="E106" i="12" s="1"/>
  <c r="Y30" i="3"/>
  <c r="E33" i="12" s="1"/>
  <c r="Y15" i="3"/>
  <c r="E18" i="12" s="1"/>
  <c r="Y253" i="3"/>
  <c r="E256" i="12" s="1"/>
  <c r="Y95" i="3"/>
  <c r="E98" i="12" s="1"/>
  <c r="Y39" i="3"/>
  <c r="E42" i="12" s="1"/>
  <c r="E176" i="12"/>
  <c r="W26" i="2"/>
  <c r="E35" i="12"/>
  <c r="W13" i="2"/>
  <c r="E234" i="12"/>
  <c r="W4" i="2"/>
  <c r="E62" i="12"/>
  <c r="W38" i="2"/>
  <c r="E173" i="12"/>
  <c r="W7" i="2"/>
  <c r="E174" i="12"/>
  <c r="W8" i="2"/>
  <c r="E221" i="12"/>
  <c r="W5" i="2"/>
  <c r="O136" i="12"/>
  <c r="P136" i="12" s="1"/>
  <c r="O63" i="12"/>
  <c r="P63" i="12" s="1"/>
  <c r="O446" i="12"/>
  <c r="O281" i="12"/>
  <c r="O330" i="12"/>
  <c r="O211" i="12"/>
  <c r="P211" i="12" s="1"/>
  <c r="O187" i="12"/>
  <c r="P187" i="12" s="1"/>
  <c r="O511" i="12"/>
  <c r="O295" i="12"/>
  <c r="O233" i="12"/>
  <c r="P233" i="12" s="1"/>
  <c r="O325" i="12"/>
  <c r="O460" i="12"/>
  <c r="O287" i="12"/>
  <c r="O430" i="12"/>
  <c r="O228" i="12"/>
  <c r="P228" i="12" s="1"/>
  <c r="O414" i="12"/>
  <c r="O324" i="12"/>
  <c r="O95" i="12"/>
  <c r="P95" i="12" s="1"/>
  <c r="O48" i="12"/>
  <c r="P48" i="12" s="1"/>
  <c r="O25" i="12"/>
  <c r="P25" i="12" s="1"/>
  <c r="O13" i="12"/>
  <c r="P13" i="12" s="1"/>
  <c r="O74" i="12"/>
  <c r="P74" i="12" s="1"/>
  <c r="O392" i="12"/>
  <c r="O462" i="12"/>
  <c r="O341" i="12"/>
  <c r="O172" i="12"/>
  <c r="P172" i="12" s="1"/>
  <c r="O514" i="12"/>
  <c r="O218" i="12"/>
  <c r="P218" i="12" s="1"/>
  <c r="O506" i="12"/>
  <c r="O40" i="12"/>
  <c r="P40" i="12" s="1"/>
  <c r="O64" i="12"/>
  <c r="P64" i="12" s="1"/>
  <c r="O269" i="12"/>
  <c r="O423" i="12"/>
  <c r="O272" i="12"/>
  <c r="O519" i="12"/>
  <c r="O401" i="12"/>
  <c r="O476" i="12"/>
  <c r="O348" i="12"/>
  <c r="O274" i="12"/>
  <c r="O309" i="12"/>
  <c r="O277" i="12"/>
  <c r="O238" i="12"/>
  <c r="P238" i="12" s="1"/>
  <c r="O37" i="12"/>
  <c r="P37" i="12" s="1"/>
  <c r="O140" i="12"/>
  <c r="P140" i="12" s="1"/>
  <c r="O479" i="12"/>
  <c r="O339" i="12"/>
  <c r="O503" i="12"/>
  <c r="O428" i="12"/>
  <c r="O367" i="12"/>
  <c r="O403" i="12"/>
  <c r="O413" i="12"/>
  <c r="O35" i="12"/>
  <c r="P35" i="12" s="1"/>
  <c r="O372" i="12"/>
  <c r="O167" i="12"/>
  <c r="P167" i="12" s="1"/>
  <c r="O215" i="12"/>
  <c r="P215" i="12" s="1"/>
  <c r="O494" i="12"/>
  <c r="O431" i="12"/>
  <c r="O419" i="12"/>
  <c r="O459" i="12"/>
  <c r="O481" i="12"/>
  <c r="O322" i="12"/>
  <c r="O342" i="12"/>
  <c r="O171" i="12"/>
  <c r="P171" i="12" s="1"/>
  <c r="O321" i="12"/>
  <c r="O99" i="12"/>
  <c r="P99" i="12" s="1"/>
  <c r="O221" i="12"/>
  <c r="P221" i="12" s="1"/>
  <c r="O332" i="12"/>
  <c r="O145" i="12"/>
  <c r="P145" i="12" s="1"/>
  <c r="O318" i="12"/>
  <c r="O504" i="12"/>
  <c r="O402" i="12"/>
  <c r="O376" i="12"/>
  <c r="O103" i="12"/>
  <c r="P103" i="12" s="1"/>
  <c r="O409" i="12"/>
  <c r="O359" i="12"/>
  <c r="O101" i="12"/>
  <c r="P101" i="12" s="1"/>
  <c r="O445" i="12"/>
  <c r="O222" i="12"/>
  <c r="P222" i="12" s="1"/>
  <c r="O398" i="12"/>
  <c r="O478" i="12"/>
  <c r="O51" i="12"/>
  <c r="P51" i="12" s="1"/>
  <c r="O266" i="12"/>
  <c r="P266" i="12" s="1"/>
  <c r="O393" i="12"/>
  <c r="O505" i="12"/>
  <c r="O135" i="12"/>
  <c r="P135" i="12" s="1"/>
  <c r="O94" i="12"/>
  <c r="P94" i="12" s="1"/>
  <c r="O134" i="12"/>
  <c r="P134" i="12" s="1"/>
  <c r="O87" i="12"/>
  <c r="P87" i="12" s="1"/>
  <c r="O163" i="12"/>
  <c r="P163" i="12" s="1"/>
  <c r="O492" i="12"/>
  <c r="O374" i="12"/>
  <c r="O369" i="12"/>
  <c r="O343" i="12"/>
  <c r="O113" i="12"/>
  <c r="P113" i="12" s="1"/>
  <c r="O487" i="12"/>
  <c r="O455" i="12"/>
  <c r="O499" i="12"/>
  <c r="O146" i="12"/>
  <c r="P146" i="12" s="1"/>
  <c r="O303" i="12"/>
  <c r="O380" i="12"/>
  <c r="O501" i="12"/>
  <c r="O405" i="12"/>
  <c r="O354" i="12"/>
  <c r="O219" i="12"/>
  <c r="P219" i="12" s="1"/>
  <c r="O288" i="12"/>
  <c r="O412" i="12"/>
  <c r="O147" i="12"/>
  <c r="P147" i="12" s="1"/>
  <c r="O231" i="12"/>
  <c r="P231" i="12" s="1"/>
  <c r="O365" i="12"/>
  <c r="O356" i="12"/>
  <c r="O334" i="12"/>
  <c r="O400" i="12"/>
  <c r="O464" i="12"/>
  <c r="O313" i="12"/>
  <c r="O278" i="12"/>
  <c r="O383" i="12"/>
  <c r="O327" i="12"/>
  <c r="O284" i="12"/>
  <c r="O62" i="12"/>
  <c r="P62" i="12" s="1"/>
  <c r="O333" i="12"/>
  <c r="O500" i="12"/>
  <c r="O449" i="12"/>
  <c r="O340" i="12"/>
  <c r="O317" i="12"/>
  <c r="O120" i="12"/>
  <c r="P120" i="12" s="1"/>
  <c r="O164" i="12"/>
  <c r="P164" i="12" s="1"/>
  <c r="O404" i="12"/>
  <c r="O424" i="12"/>
  <c r="O418" i="12"/>
  <c r="O312" i="12"/>
  <c r="O328" i="12"/>
  <c r="O523" i="12"/>
  <c r="O379" i="12"/>
  <c r="O310" i="12"/>
  <c r="O385" i="12"/>
  <c r="O270" i="12"/>
  <c r="O131" i="12"/>
  <c r="P131" i="12" s="1"/>
  <c r="O47" i="12"/>
  <c r="P47" i="12" s="1"/>
  <c r="O467" i="12"/>
  <c r="O384" i="12"/>
  <c r="O456" i="12"/>
  <c r="O480" i="12"/>
  <c r="O516" i="12"/>
  <c r="O371" i="12"/>
  <c r="O416" i="12"/>
  <c r="O463" i="12"/>
  <c r="O440" i="12"/>
  <c r="O346" i="12"/>
  <c r="O203" i="12"/>
  <c r="P203" i="12" s="1"/>
  <c r="O338" i="12"/>
  <c r="O490" i="12"/>
  <c r="O486" i="12"/>
  <c r="O473" i="12"/>
  <c r="O358" i="12"/>
  <c r="O245" i="12"/>
  <c r="P245" i="12" s="1"/>
  <c r="O273" i="12"/>
  <c r="O517" i="12"/>
  <c r="O296" i="12"/>
  <c r="O254" i="12"/>
  <c r="P254" i="12" s="1"/>
  <c r="O326" i="12"/>
  <c r="O199" i="12"/>
  <c r="P199" i="12" s="1"/>
  <c r="O216" i="12"/>
  <c r="P216" i="12" s="1"/>
  <c r="O193" i="12"/>
  <c r="P193" i="12" s="1"/>
  <c r="O432" i="12"/>
  <c r="O437" i="12"/>
  <c r="O152" i="12"/>
  <c r="P152" i="12" s="1"/>
  <c r="O496" i="12"/>
  <c r="O297" i="12"/>
  <c r="O493" i="12"/>
  <c r="O307" i="12"/>
  <c r="O377" i="12"/>
  <c r="O178" i="12"/>
  <c r="P178" i="12" s="1"/>
  <c r="O349" i="12"/>
  <c r="O497" i="12"/>
  <c r="O382" i="12"/>
  <c r="O488" i="12"/>
  <c r="O447" i="12"/>
  <c r="O396" i="12"/>
  <c r="O316" i="12"/>
  <c r="O283" i="12"/>
  <c r="O441" i="12"/>
  <c r="O291" i="12"/>
  <c r="O115" i="12"/>
  <c r="P115" i="12" s="1"/>
  <c r="O474" i="12"/>
  <c r="O507" i="12"/>
  <c r="O451" i="12"/>
  <c r="O420" i="12"/>
  <c r="O373" i="12"/>
  <c r="O299" i="12"/>
  <c r="O294" i="12"/>
  <c r="O263" i="12"/>
  <c r="P263" i="12" s="1"/>
  <c r="O9" i="12"/>
  <c r="P9" i="12" s="1"/>
  <c r="O139" i="12"/>
  <c r="P139" i="12" s="1"/>
  <c r="O155" i="12"/>
  <c r="P155" i="12" s="1"/>
  <c r="O304" i="12"/>
  <c r="O123" i="12"/>
  <c r="P123" i="12" s="1"/>
  <c r="O498" i="12"/>
  <c r="O513" i="12"/>
  <c r="O408" i="12"/>
  <c r="O484" i="12"/>
  <c r="O335" i="12"/>
  <c r="O290" i="12"/>
  <c r="O323" i="12"/>
  <c r="O119" i="12"/>
  <c r="P119" i="12" s="1"/>
  <c r="O255" i="12"/>
  <c r="P255" i="12" s="1"/>
  <c r="O509" i="12"/>
  <c r="O360" i="12"/>
  <c r="O407" i="12"/>
  <c r="O366" i="12"/>
  <c r="O482" i="12"/>
  <c r="O448" i="12"/>
  <c r="O397" i="12"/>
  <c r="O361" i="12"/>
  <c r="O454" i="12"/>
  <c r="O450" i="12"/>
  <c r="O355" i="12"/>
  <c r="O300" i="12"/>
  <c r="O468" i="12"/>
  <c r="O180" i="12"/>
  <c r="P180" i="12" s="1"/>
  <c r="O83" i="12"/>
  <c r="P83" i="12" s="1"/>
  <c r="O177" i="12"/>
  <c r="P177" i="12" s="1"/>
  <c r="O107" i="12"/>
  <c r="P107" i="12" s="1"/>
  <c r="O391" i="12"/>
  <c r="O271" i="12"/>
  <c r="O512" i="12"/>
  <c r="O276" i="12"/>
  <c r="O452" i="12"/>
  <c r="O458" i="12"/>
  <c r="O364" i="12"/>
  <c r="O491" i="12"/>
  <c r="O282" i="12"/>
  <c r="O457" i="12"/>
  <c r="O388" i="12"/>
  <c r="O472" i="12"/>
  <c r="O465" i="12"/>
  <c r="O443" i="12"/>
  <c r="O370" i="12"/>
  <c r="O433" i="12"/>
  <c r="O320" i="12"/>
  <c r="O436" i="12"/>
  <c r="O67" i="12"/>
  <c r="P67" i="12" s="1"/>
  <c r="O386" i="12"/>
  <c r="O261" i="12"/>
  <c r="P261" i="12" s="1"/>
  <c r="O469" i="12"/>
  <c r="O389" i="12"/>
  <c r="O362" i="12"/>
  <c r="O244" i="12"/>
  <c r="P244" i="12" s="1"/>
  <c r="O275" i="12"/>
  <c r="O92" i="12"/>
  <c r="P92" i="12" s="1"/>
  <c r="O351" i="12"/>
  <c r="O510" i="12"/>
  <c r="O434" i="12"/>
  <c r="O520" i="12"/>
  <c r="O415" i="12"/>
  <c r="O298" i="12"/>
  <c r="O522" i="12"/>
  <c r="O378" i="12"/>
  <c r="O475" i="12"/>
  <c r="O368" i="12"/>
  <c r="O508" i="12"/>
  <c r="O427" i="12"/>
  <c r="O425" i="12"/>
  <c r="O470" i="12"/>
  <c r="O280" i="12"/>
  <c r="O97" i="12"/>
  <c r="P97" i="12" s="1"/>
  <c r="O86" i="12"/>
  <c r="P86" i="12" s="1"/>
  <c r="O46" i="12"/>
  <c r="P46" i="12" s="1"/>
  <c r="O301" i="12"/>
  <c r="O477" i="12"/>
  <c r="O381" i="12"/>
  <c r="O14" i="12"/>
  <c r="P14" i="12" s="1"/>
  <c r="O495" i="12"/>
  <c r="O357" i="12"/>
  <c r="O353" i="12"/>
  <c r="O279" i="12"/>
  <c r="O289" i="12"/>
  <c r="O75" i="12"/>
  <c r="P75" i="12" s="1"/>
  <c r="O375" i="12"/>
  <c r="O286" i="12"/>
  <c r="O305" i="12"/>
  <c r="O438" i="12"/>
  <c r="O302" i="12"/>
  <c r="O417" i="12"/>
  <c r="O518" i="12"/>
  <c r="O426" i="12"/>
  <c r="O489" i="12"/>
  <c r="O485" i="12"/>
  <c r="O453" i="12"/>
  <c r="O410" i="12"/>
  <c r="O336" i="12"/>
  <c r="O347" i="12"/>
  <c r="O337" i="12"/>
  <c r="O466" i="12"/>
  <c r="O422" i="12"/>
  <c r="O285" i="12"/>
  <c r="O406" i="12"/>
  <c r="O260" i="12"/>
  <c r="P260" i="12" s="1"/>
  <c r="O28" i="12"/>
  <c r="P28" i="12" s="1"/>
  <c r="O292" i="12"/>
  <c r="O390" i="12"/>
  <c r="O442" i="12"/>
  <c r="O363" i="12"/>
  <c r="O444" i="12"/>
  <c r="O394" i="12"/>
  <c r="O267" i="12"/>
  <c r="P267" i="12" s="1"/>
  <c r="O311" i="12"/>
  <c r="O306" i="12"/>
  <c r="O350" i="12"/>
  <c r="O461" i="12"/>
  <c r="O108" i="12"/>
  <c r="P108" i="12" s="1"/>
  <c r="O319" i="12"/>
  <c r="O471" i="12"/>
  <c r="O515" i="12"/>
  <c r="O314" i="12"/>
  <c r="O502" i="12"/>
  <c r="O521" i="12"/>
  <c r="O411" i="12"/>
  <c r="O352" i="12"/>
  <c r="O399" i="12"/>
  <c r="O483" i="12"/>
  <c r="O421" i="12"/>
  <c r="O315" i="12"/>
  <c r="O331" i="12"/>
  <c r="O293" i="12"/>
  <c r="O79" i="12"/>
  <c r="P79" i="12" s="1"/>
  <c r="O85" i="12"/>
  <c r="P85" i="12" s="1"/>
  <c r="O53" i="12"/>
  <c r="P53" i="12" s="1"/>
  <c r="O387" i="12"/>
  <c r="O344" i="12"/>
  <c r="O435" i="12"/>
  <c r="O395" i="12"/>
  <c r="O197" i="12"/>
  <c r="P197" i="12" s="1"/>
  <c r="O308" i="12"/>
  <c r="O329" i="12"/>
  <c r="O439" i="12"/>
  <c r="O429" i="12"/>
  <c r="O237" i="12"/>
  <c r="P237" i="12" s="1"/>
  <c r="O249" i="12"/>
  <c r="P249" i="12" s="1"/>
  <c r="O160" i="12"/>
  <c r="P160" i="12" s="1"/>
  <c r="O12" i="12"/>
  <c r="P12" i="12" s="1"/>
  <c r="O253" i="12"/>
  <c r="P253" i="12" s="1"/>
  <c r="O118" i="12"/>
  <c r="P118" i="12" s="1"/>
  <c r="O78" i="12"/>
  <c r="P78" i="12" s="1"/>
  <c r="O128" i="12"/>
  <c r="P128" i="12" s="1"/>
  <c r="O18" i="12"/>
  <c r="P18" i="12" s="1"/>
  <c r="O93" i="12"/>
  <c r="P93" i="12" s="1"/>
  <c r="O38" i="12"/>
  <c r="P38" i="12" s="1"/>
  <c r="O209" i="12"/>
  <c r="P209" i="12" s="1"/>
  <c r="O112" i="12"/>
  <c r="P112" i="12" s="1"/>
  <c r="O220" i="12"/>
  <c r="P220" i="12" s="1"/>
  <c r="O126" i="12"/>
  <c r="P126" i="12" s="1"/>
  <c r="O190" i="12"/>
  <c r="P190" i="12" s="1"/>
  <c r="O166" i="12"/>
  <c r="P166" i="12" s="1"/>
  <c r="O150" i="12"/>
  <c r="P150" i="12" s="1"/>
  <c r="O69" i="12"/>
  <c r="P69" i="12" s="1"/>
  <c r="O54" i="12"/>
  <c r="P54" i="12" s="1"/>
  <c r="O17" i="12"/>
  <c r="P17" i="12" s="1"/>
  <c r="O189" i="12"/>
  <c r="P189" i="12" s="1"/>
  <c r="O68" i="12"/>
  <c r="P68" i="12" s="1"/>
  <c r="O44" i="12"/>
  <c r="P44" i="12" s="1"/>
  <c r="O138" i="12"/>
  <c r="P138" i="12" s="1"/>
  <c r="O205" i="12"/>
  <c r="P205" i="12" s="1"/>
  <c r="O251" i="12"/>
  <c r="P251" i="12" s="1"/>
  <c r="O181" i="12"/>
  <c r="P181" i="12" s="1"/>
  <c r="O264" i="12"/>
  <c r="P264" i="12" s="1"/>
  <c r="O206" i="12"/>
  <c r="P206" i="12" s="1"/>
  <c r="O174" i="12"/>
  <c r="P174" i="12" s="1"/>
  <c r="O81" i="12"/>
  <c r="P81" i="12" s="1"/>
  <c r="O56" i="12"/>
  <c r="P56" i="12" s="1"/>
  <c r="O151" i="12"/>
  <c r="P151" i="12" s="1"/>
  <c r="O57" i="12"/>
  <c r="P57" i="12" s="1"/>
  <c r="O61" i="12"/>
  <c r="P61" i="12" s="1"/>
  <c r="O34" i="12"/>
  <c r="P34" i="12" s="1"/>
  <c r="O235" i="12"/>
  <c r="P235" i="12" s="1"/>
  <c r="O185" i="12"/>
  <c r="P185" i="12" s="1"/>
  <c r="O165" i="12"/>
  <c r="P165" i="12" s="1"/>
  <c r="O111" i="12"/>
  <c r="P111" i="12" s="1"/>
  <c r="O248" i="12"/>
  <c r="P248" i="12" s="1"/>
  <c r="O110" i="12"/>
  <c r="P110" i="12" s="1"/>
  <c r="O59" i="12"/>
  <c r="P59" i="12" s="1"/>
  <c r="O21" i="12"/>
  <c r="P21" i="12" s="1"/>
  <c r="O22" i="12"/>
  <c r="P22" i="12" s="1"/>
  <c r="O169" i="12"/>
  <c r="P169" i="12" s="1"/>
  <c r="O170" i="12"/>
  <c r="P170" i="12" s="1"/>
  <c r="O223" i="12"/>
  <c r="P223" i="12" s="1"/>
  <c r="O137" i="12"/>
  <c r="P137" i="12" s="1"/>
  <c r="O89" i="12"/>
  <c r="P89" i="12" s="1"/>
  <c r="O232" i="12"/>
  <c r="P232" i="12" s="1"/>
  <c r="O188" i="12"/>
  <c r="P188" i="12" s="1"/>
  <c r="O144" i="12"/>
  <c r="P144" i="12" s="1"/>
  <c r="O27" i="12"/>
  <c r="P27" i="12" s="1"/>
  <c r="O6" i="12"/>
  <c r="P6" i="12" s="1"/>
  <c r="O104" i="12"/>
  <c r="P104" i="12" s="1"/>
  <c r="O116" i="12"/>
  <c r="P116" i="12" s="1"/>
  <c r="O52" i="12"/>
  <c r="P52" i="12" s="1"/>
  <c r="O8" i="12"/>
  <c r="P8" i="12" s="1"/>
  <c r="O159" i="12"/>
  <c r="P159" i="12" s="1"/>
  <c r="O65" i="12"/>
  <c r="P65" i="12" s="1"/>
  <c r="O201" i="12"/>
  <c r="P201" i="12" s="1"/>
  <c r="O259" i="12"/>
  <c r="P259" i="12" s="1"/>
  <c r="O70" i="12"/>
  <c r="P70" i="12" s="1"/>
  <c r="O45" i="12"/>
  <c r="P45" i="12" s="1"/>
  <c r="O5" i="12"/>
  <c r="P5" i="12" s="1"/>
  <c r="O153" i="12"/>
  <c r="P153" i="12" s="1"/>
  <c r="O80" i="12"/>
  <c r="P80" i="12" s="1"/>
  <c r="O72" i="12"/>
  <c r="P72" i="12" s="1"/>
  <c r="O195" i="12"/>
  <c r="P195" i="12" s="1"/>
  <c r="O130" i="12"/>
  <c r="P130" i="12" s="1"/>
  <c r="O256" i="12"/>
  <c r="P256" i="12" s="1"/>
  <c r="O243" i="12"/>
  <c r="P243" i="12" s="1"/>
  <c r="O124" i="12"/>
  <c r="P124" i="12" s="1"/>
  <c r="O229" i="12"/>
  <c r="P229" i="12" s="1"/>
  <c r="O262" i="12"/>
  <c r="P262" i="12" s="1"/>
  <c r="O42" i="12"/>
  <c r="P42" i="12" s="1"/>
  <c r="O26" i="12"/>
  <c r="P26" i="12" s="1"/>
  <c r="O11" i="12"/>
  <c r="P11" i="12" s="1"/>
  <c r="O179" i="12"/>
  <c r="P179" i="12" s="1"/>
  <c r="O24" i="12"/>
  <c r="P24" i="12" s="1"/>
  <c r="O100" i="12"/>
  <c r="P100" i="12" s="1"/>
  <c r="O23" i="12"/>
  <c r="P23" i="12" s="1"/>
  <c r="O192" i="12"/>
  <c r="P192" i="12" s="1"/>
  <c r="O196" i="12"/>
  <c r="P196" i="12" s="1"/>
  <c r="O156" i="12"/>
  <c r="P156" i="12" s="1"/>
  <c r="O224" i="12"/>
  <c r="P224" i="12" s="1"/>
  <c r="O175" i="12"/>
  <c r="P175" i="12" s="1"/>
  <c r="O30" i="12"/>
  <c r="P30" i="12" s="1"/>
  <c r="O60" i="12"/>
  <c r="P60" i="12" s="1"/>
  <c r="O217" i="12"/>
  <c r="P217" i="12" s="1"/>
  <c r="O258" i="12"/>
  <c r="P258" i="12" s="1"/>
  <c r="O129" i="12"/>
  <c r="P129" i="12" s="1"/>
  <c r="O36" i="12"/>
  <c r="P36" i="12" s="1"/>
  <c r="O148" i="12"/>
  <c r="P148" i="12" s="1"/>
  <c r="O84" i="12"/>
  <c r="P84" i="12" s="1"/>
  <c r="O143" i="12"/>
  <c r="P143" i="12" s="1"/>
  <c r="O168" i="12"/>
  <c r="P168" i="12" s="1"/>
  <c r="O66" i="12"/>
  <c r="P66" i="12" s="1"/>
  <c r="O208" i="12"/>
  <c r="P208" i="12" s="1"/>
  <c r="O246" i="12"/>
  <c r="P246" i="12" s="1"/>
  <c r="O242" i="12"/>
  <c r="P242" i="12" s="1"/>
  <c r="O149" i="12"/>
  <c r="P149" i="12" s="1"/>
  <c r="O31" i="12"/>
  <c r="P31" i="12" s="1"/>
  <c r="O10" i="12"/>
  <c r="P10" i="12" s="1"/>
  <c r="O76" i="12"/>
  <c r="P76" i="12" s="1"/>
  <c r="O71" i="12"/>
  <c r="P71" i="12" s="1"/>
  <c r="O162" i="12"/>
  <c r="P162" i="12" s="1"/>
  <c r="O210" i="12"/>
  <c r="P210" i="12" s="1"/>
  <c r="O226" i="12"/>
  <c r="P226" i="12" s="1"/>
  <c r="O247" i="12"/>
  <c r="P247" i="12" s="1"/>
  <c r="O183" i="12"/>
  <c r="P183" i="12" s="1"/>
  <c r="O102" i="12"/>
  <c r="P102" i="12" s="1"/>
  <c r="O32" i="12"/>
  <c r="P32" i="12" s="1"/>
  <c r="O157" i="12"/>
  <c r="P157" i="12" s="1"/>
  <c r="O58" i="12"/>
  <c r="P58" i="12" s="1"/>
  <c r="O122" i="12"/>
  <c r="P122" i="12" s="1"/>
  <c r="O173" i="12"/>
  <c r="P173" i="12" s="1"/>
  <c r="O176" i="12"/>
  <c r="P176" i="12" s="1"/>
  <c r="O230" i="12"/>
  <c r="P230" i="12" s="1"/>
  <c r="O257" i="12"/>
  <c r="P257" i="12" s="1"/>
  <c r="O133" i="12"/>
  <c r="P133" i="12" s="1"/>
  <c r="O20" i="12"/>
  <c r="P20" i="12" s="1"/>
  <c r="O15" i="12"/>
  <c r="P15" i="12" s="1"/>
  <c r="O50" i="12"/>
  <c r="P50" i="12" s="1"/>
  <c r="O77" i="12"/>
  <c r="P77" i="12" s="1"/>
  <c r="O127" i="12"/>
  <c r="P127" i="12" s="1"/>
  <c r="O200" i="12"/>
  <c r="P200" i="12" s="1"/>
  <c r="O96" i="12"/>
  <c r="P96" i="12" s="1"/>
  <c r="O16" i="12"/>
  <c r="P16" i="12" s="1"/>
  <c r="O90" i="12"/>
  <c r="P90" i="12" s="1"/>
  <c r="O161" i="12"/>
  <c r="P161" i="12" s="1"/>
  <c r="O132" i="12"/>
  <c r="P132" i="12" s="1"/>
  <c r="O73" i="12"/>
  <c r="P73" i="12" s="1"/>
  <c r="O239" i="12"/>
  <c r="P239" i="12" s="1"/>
  <c r="O214" i="12"/>
  <c r="P214" i="12" s="1"/>
  <c r="O241" i="12"/>
  <c r="P241" i="12" s="1"/>
  <c r="O204" i="12"/>
  <c r="P204" i="12" s="1"/>
  <c r="O117" i="12"/>
  <c r="P117" i="12" s="1"/>
  <c r="O154" i="12"/>
  <c r="P154" i="12" s="1"/>
  <c r="O49" i="12"/>
  <c r="P49" i="12" s="1"/>
  <c r="O240" i="12"/>
  <c r="P240" i="12" s="1"/>
  <c r="O207" i="12"/>
  <c r="P207" i="12" s="1"/>
  <c r="O198" i="12"/>
  <c r="P198" i="12" s="1"/>
  <c r="O158" i="12"/>
  <c r="P158" i="12" s="1"/>
  <c r="O184" i="12"/>
  <c r="P184" i="12" s="1"/>
  <c r="O106" i="12"/>
  <c r="P106" i="12" s="1"/>
  <c r="O121" i="12"/>
  <c r="P121" i="12" s="1"/>
  <c r="O109" i="12"/>
  <c r="P109" i="12" s="1"/>
  <c r="O191" i="12"/>
  <c r="P191" i="12" s="1"/>
  <c r="O43" i="12"/>
  <c r="P43" i="12" s="1"/>
  <c r="O186" i="12"/>
  <c r="P186" i="12" s="1"/>
  <c r="O182" i="12"/>
  <c r="P182" i="12" s="1"/>
  <c r="O225" i="12"/>
  <c r="P225" i="12" s="1"/>
  <c r="O19" i="12"/>
  <c r="P19" i="12" s="1"/>
  <c r="O105" i="12"/>
  <c r="P105" i="12" s="1"/>
  <c r="O213" i="12"/>
  <c r="P213" i="12" s="1"/>
  <c r="O29" i="12"/>
  <c r="P29" i="12" s="1"/>
  <c r="O252" i="12"/>
  <c r="P252" i="12" s="1"/>
  <c r="O142" i="12"/>
  <c r="P142" i="12" s="1"/>
  <c r="O194" i="12"/>
  <c r="P194" i="12" s="1"/>
  <c r="O91" i="12"/>
  <c r="P91" i="12" s="1"/>
  <c r="O88" i="12"/>
  <c r="P88" i="12" s="1"/>
  <c r="O125" i="12"/>
  <c r="P125" i="12" s="1"/>
  <c r="O55" i="12"/>
  <c r="P55" i="12" s="1"/>
  <c r="O202" i="12"/>
  <c r="P202" i="12" s="1"/>
  <c r="O41" i="12"/>
  <c r="P41" i="12" s="1"/>
  <c r="O98" i="12"/>
  <c r="P98" i="12" s="1"/>
  <c r="O250" i="12"/>
  <c r="P250" i="12" s="1"/>
  <c r="O236" i="12"/>
  <c r="P236" i="12" s="1"/>
  <c r="O212" i="12"/>
  <c r="P212" i="12" s="1"/>
  <c r="O7" i="12"/>
  <c r="P7" i="12" s="1"/>
  <c r="O114" i="12"/>
  <c r="P114" i="12" s="1"/>
  <c r="O265" i="12"/>
  <c r="P265" i="12" s="1"/>
  <c r="O82" i="12"/>
  <c r="P82" i="12" s="1"/>
  <c r="O33" i="12"/>
  <c r="P33" i="12" s="1"/>
  <c r="O227" i="12"/>
  <c r="P227" i="12" s="1"/>
  <c r="O39" i="12"/>
  <c r="P39" i="12" s="1"/>
  <c r="O141" i="12"/>
  <c r="P141" i="12" s="1"/>
  <c r="O234" i="12"/>
  <c r="P234" i="12" s="1"/>
  <c r="X188" i="3"/>
  <c r="E191" i="12"/>
  <c r="X106" i="3"/>
  <c r="E109" i="12"/>
  <c r="X53" i="3"/>
  <c r="E56" i="12"/>
  <c r="X200" i="3"/>
  <c r="E203" i="12"/>
  <c r="D5" i="1"/>
  <c r="X115" i="3"/>
  <c r="E118" i="12"/>
  <c r="X251" i="3"/>
  <c r="E254" i="12"/>
  <c r="X108" i="3"/>
  <c r="X23" i="3"/>
  <c r="X211" i="3"/>
  <c r="E214" i="12"/>
  <c r="X50" i="3"/>
  <c r="E53" i="12"/>
  <c r="X250" i="3"/>
  <c r="E253" i="12"/>
  <c r="X138" i="3"/>
  <c r="E141" i="12"/>
  <c r="X252" i="3"/>
  <c r="E255" i="12"/>
  <c r="X223" i="3"/>
  <c r="E226" i="12"/>
  <c r="X38" i="3"/>
  <c r="E41" i="12"/>
  <c r="X107" i="3"/>
  <c r="E110" i="12"/>
  <c r="X160" i="3"/>
  <c r="E163" i="12"/>
  <c r="X113" i="3"/>
  <c r="E116" i="12"/>
  <c r="W207" i="3"/>
  <c r="X207" i="3" s="1"/>
  <c r="C156" i="13" l="1"/>
  <c r="C162" i="13"/>
  <c r="C154" i="13"/>
  <c r="C161" i="13"/>
  <c r="C157" i="13"/>
  <c r="C129" i="13"/>
  <c r="C128" i="13"/>
  <c r="AW13" i="2"/>
  <c r="E81" i="12"/>
  <c r="C138" i="13"/>
  <c r="C141" i="13"/>
  <c r="C130" i="13"/>
  <c r="C137" i="13"/>
  <c r="C120" i="13"/>
  <c r="C109" i="13"/>
  <c r="C110" i="13"/>
  <c r="C126" i="13"/>
  <c r="C44" i="13"/>
  <c r="C121" i="13"/>
  <c r="C56" i="13"/>
  <c r="C93" i="13"/>
  <c r="C70" i="13"/>
  <c r="C105" i="13"/>
  <c r="C59" i="13"/>
  <c r="C94" i="13"/>
  <c r="C41" i="13"/>
  <c r="C85" i="13"/>
  <c r="C65" i="13"/>
  <c r="C100" i="13"/>
  <c r="C66" i="13"/>
  <c r="C101" i="13"/>
  <c r="C53" i="13"/>
  <c r="C91" i="13"/>
  <c r="AW4" i="2"/>
  <c r="C84" i="13"/>
  <c r="C57" i="13"/>
  <c r="C58" i="13"/>
  <c r="C12" i="13"/>
  <c r="C13" i="13"/>
  <c r="AB25" i="2"/>
  <c r="C25" i="13"/>
  <c r="AB14" i="2"/>
  <c r="C14" i="13"/>
  <c r="AB11" i="2"/>
  <c r="C11" i="13"/>
  <c r="AB19" i="2"/>
  <c r="C19" i="13"/>
  <c r="AB4" i="2"/>
  <c r="C4" i="13"/>
  <c r="AB29" i="2"/>
  <c r="C29" i="13"/>
  <c r="AB20" i="2"/>
  <c r="C20" i="13"/>
  <c r="AB12" i="2"/>
  <c r="AB13" i="2"/>
  <c r="AW5" i="2"/>
  <c r="AQ13" i="2"/>
  <c r="AQ14" i="2"/>
  <c r="AW14" i="2"/>
  <c r="AQ20" i="2"/>
  <c r="AW20" i="2"/>
  <c r="AQ29" i="2"/>
  <c r="AW29" i="2"/>
  <c r="AQ30" i="2"/>
  <c r="AW30" i="2"/>
  <c r="AQ21" i="2"/>
  <c r="AW21" i="2"/>
  <c r="AQ11" i="2"/>
  <c r="AW11" i="2"/>
  <c r="AQ24" i="2"/>
  <c r="AW25" i="2"/>
  <c r="AQ4" i="2"/>
  <c r="AQ5" i="2"/>
  <c r="AQ25" i="2"/>
  <c r="E215" i="12"/>
  <c r="AK7" i="2"/>
  <c r="AK19" i="2"/>
  <c r="AK20" i="2"/>
  <c r="AK21" i="2"/>
  <c r="AK33" i="2"/>
  <c r="AK29" i="2"/>
  <c r="AK22" i="2"/>
  <c r="AK28" i="2"/>
  <c r="AK4" i="2"/>
  <c r="E46" i="12"/>
  <c r="AK37" i="2"/>
  <c r="E104" i="12"/>
  <c r="AK17" i="2"/>
  <c r="E117" i="12"/>
  <c r="AK16" i="2"/>
  <c r="E92" i="12"/>
  <c r="W35" i="2"/>
  <c r="W32" i="2"/>
  <c r="E31" i="12"/>
  <c r="W19" i="2"/>
  <c r="E50" i="12"/>
  <c r="E82" i="12"/>
  <c r="Y207" i="3"/>
  <c r="E210" i="12" s="1"/>
  <c r="E38" i="12"/>
  <c r="E15" i="12"/>
  <c r="W22" i="2"/>
  <c r="E57" i="12"/>
  <c r="W37" i="2"/>
  <c r="E26" i="12"/>
  <c r="W20" i="2"/>
  <c r="E48" i="12"/>
  <c r="W12" i="2"/>
  <c r="E91" i="12"/>
  <c r="W36" i="2"/>
  <c r="E6" i="12"/>
  <c r="W14" i="2"/>
  <c r="E111" i="12"/>
  <c r="W34" i="2"/>
  <c r="E83" i="12"/>
  <c r="E126" i="12"/>
  <c r="W30" i="2"/>
  <c r="E5" i="12"/>
  <c r="M5" i="1"/>
  <c r="J5" i="1" l="1"/>
  <c r="G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Duarte</author>
  </authors>
  <commentList>
    <comment ref="G12" authorId="0" shapeId="0" xr:uid="{00000000-0006-0000-0200-000001000000}">
      <text>
        <r>
          <rPr>
            <sz val="11"/>
            <color theme="1"/>
            <rFont val="Calibri"/>
            <family val="2"/>
            <scheme val="minor"/>
          </rPr>
          <t>Duarte:
2 instalações
126+32</t>
        </r>
      </text>
    </comment>
    <comment ref="G31" authorId="0" shapeId="0" xr:uid="{00000000-0006-0000-0200-000002000000}">
      <text>
        <r>
          <rPr>
            <sz val="11"/>
            <color theme="1"/>
            <rFont val="Calibri"/>
            <family val="2"/>
            <scheme val="minor"/>
          </rPr>
          <t>Duarte:
210+130</t>
        </r>
      </text>
    </comment>
    <comment ref="G35" authorId="0" shapeId="0" xr:uid="{00000000-0006-0000-0200-000003000000}">
      <text>
        <r>
          <rPr>
            <sz val="11"/>
            <color theme="1"/>
            <rFont val="Calibri"/>
            <family val="2"/>
            <scheme val="minor"/>
          </rPr>
          <t>Duarte:
2x912</t>
        </r>
      </text>
    </comment>
  </commentList>
</comments>
</file>

<file path=xl/sharedStrings.xml><?xml version="1.0" encoding="utf-8"?>
<sst xmlns="http://schemas.openxmlformats.org/spreadsheetml/2006/main" count="4546" uniqueCount="1475">
  <si>
    <t>Painel de manutenção periódica</t>
  </si>
  <si>
    <t>Total projetos</t>
  </si>
  <si>
    <t>Estado dos projetos</t>
  </si>
  <si>
    <t>Localizações com mais projetos</t>
  </si>
  <si>
    <t>Alertas rápidos</t>
  </si>
  <si>
    <t>Estado</t>
  </si>
  <si>
    <t>Localização</t>
  </si>
  <si>
    <t>ACTIVE</t>
  </si>
  <si>
    <t>EPC</t>
  </si>
  <si>
    <t>Lisboa</t>
  </si>
  <si>
    <t>ON HOLD</t>
  </si>
  <si>
    <t>ESCO</t>
  </si>
  <si>
    <t>Santarém</t>
  </si>
  <si>
    <t>Rodrigo</t>
  </si>
  <si>
    <t>CANCELLED</t>
  </si>
  <si>
    <t>ESCO BUYOUT</t>
  </si>
  <si>
    <t>Leiria</t>
  </si>
  <si>
    <t>Porto</t>
  </si>
  <si>
    <t>Faro</t>
  </si>
  <si>
    <t>Setúbal</t>
  </si>
  <si>
    <t>Aveiro</t>
  </si>
  <si>
    <t>Portalegre</t>
  </si>
  <si>
    <t>N°</t>
  </si>
  <si>
    <t>Status</t>
  </si>
  <si>
    <t>Project</t>
  </si>
  <si>
    <t>Company Name</t>
  </si>
  <si>
    <t>Nif</t>
  </si>
  <si>
    <t>Address</t>
  </si>
  <si>
    <t>Location</t>
  </si>
  <si>
    <t>Nº Panels</t>
  </si>
  <si>
    <t>Kwp</t>
  </si>
  <si>
    <t xml:space="preserve"> Type of Contract</t>
  </si>
  <si>
    <t>Sell To</t>
  </si>
  <si>
    <t>Duration</t>
  </si>
  <si>
    <t>Duration Month2</t>
  </si>
  <si>
    <t>Start Contract</t>
  </si>
  <si>
    <t>Maintenance</t>
  </si>
  <si>
    <t>Type of Coverage</t>
  </si>
  <si>
    <t>Access</t>
  </si>
  <si>
    <t>Maintenance comment</t>
  </si>
  <si>
    <t>Status Detail</t>
  </si>
  <si>
    <t>Nome da Pessoa</t>
  </si>
  <si>
    <t>Cargo</t>
  </si>
  <si>
    <t>Email</t>
  </si>
  <si>
    <t>Telefone</t>
  </si>
  <si>
    <t>End Contract</t>
  </si>
  <si>
    <t>Active Contract</t>
  </si>
  <si>
    <t>Notes</t>
  </si>
  <si>
    <t>A Colmeia do Minho</t>
  </si>
  <si>
    <t>A Colmeia do Minho, S.A.,</t>
  </si>
  <si>
    <t>Rua Jose Gregorio Almeida 14, Quinta da Cucena, 2840-582 Aldeia de Paio Pires Seixal</t>
  </si>
  <si>
    <t>Castelo Branco</t>
  </si>
  <si>
    <t>Solcorelios</t>
  </si>
  <si>
    <t>Sandwich</t>
  </si>
  <si>
    <t>Cobertura</t>
  </si>
  <si>
    <t>António Diogo Jacinto</t>
  </si>
  <si>
    <t>Presidente
do Conselho de Administragdo</t>
  </si>
  <si>
    <t>pjacinto@acolmeiadominho.com.pt / geral@acolmeiadominho.com .pt</t>
  </si>
  <si>
    <t>Florineve</t>
  </si>
  <si>
    <t>Florineve - Produção e Comércio de Flores de Corte</t>
  </si>
  <si>
    <t>Estr. do Seixalinho, 2870-491 Montijo</t>
  </si>
  <si>
    <t>Escada</t>
  </si>
  <si>
    <t>Victor Manuel de Amaral Araújo Abreu</t>
  </si>
  <si>
    <t>Sócio-gerente</t>
  </si>
  <si>
    <t>victor.araujo@florineve.pt / geral@florineve.pt</t>
  </si>
  <si>
    <t>Dialogos do Bosque</t>
  </si>
  <si>
    <t>Diálogos do Bosque, Unipessoal, LDA</t>
  </si>
  <si>
    <t>Herdade dos Catos - Gralheira CCI 1304, 7050-636 Cortiçadas de Lavre</t>
  </si>
  <si>
    <t>Évora</t>
  </si>
  <si>
    <t xml:space="preserve"> </t>
  </si>
  <si>
    <t>Gerente</t>
  </si>
  <si>
    <t>nuno.pires@dialogosdobosque.pt / info@dialogosdobosque.pt</t>
  </si>
  <si>
    <t>938654762 / 917285177</t>
  </si>
  <si>
    <t>Pires Lourenço 2</t>
  </si>
  <si>
    <t>A. Pires Lourenço &amp; Filhos S.A</t>
  </si>
  <si>
    <t>Rua do Outeiro 154, Cebolais de Cima, Castelo Branco, Portugal</t>
  </si>
  <si>
    <t>Cliente</t>
  </si>
  <si>
    <t>yes</t>
  </si>
  <si>
    <t>Escada Vertical</t>
  </si>
  <si>
    <t>To discuss with the client</t>
  </si>
  <si>
    <t>Vítor Manuel Rodrigues Lourenço</t>
  </si>
  <si>
    <t>apireslourenco@apireslourenco.pt / mario@apireslourenco.pt / victor@apireslourenco.pt</t>
  </si>
  <si>
    <t>Missing contract duration (EPC)</t>
  </si>
  <si>
    <t>Pires Lourenço 1</t>
  </si>
  <si>
    <t>Empresarial Rua I - Lote 129, Apartado 1142 6001-901 Castelo Branco</t>
  </si>
  <si>
    <t>Usinage</t>
  </si>
  <si>
    <t>Usinage - Maquinação e Porta Moldes, Lda</t>
  </si>
  <si>
    <t>Estrada Nacional 356, n.º 87, Maceirinha, 2405-026 Maceira LRA</t>
  </si>
  <si>
    <t>Pedro Miguel da Silva Rodrigues</t>
  </si>
  <si>
    <t>comercial@usinage.pt / geral@usinage.pt</t>
  </si>
  <si>
    <t>Museu Caramulo</t>
  </si>
  <si>
    <t>Fundação Abel e João de Lacerda</t>
  </si>
  <si>
    <t>Museu do Caramulo 3475-031 Caramulo</t>
  </si>
  <si>
    <t>Tondela</t>
  </si>
  <si>
    <t>Telha</t>
  </si>
  <si>
    <t>Tiago Patricio Lacerda pinto Basto Gouveia</t>
  </si>
  <si>
    <t>Vogal da Direção/Diretor Delegado</t>
  </si>
  <si>
    <t>tiago.gouveia@museu-caramulo.net / salvador.gouveia@museudocaramulo.pt</t>
  </si>
  <si>
    <t>Confrontar Sabores</t>
  </si>
  <si>
    <t>Confrontan Sabores, Lda</t>
  </si>
  <si>
    <t>Zona Industrial de Albergaria-A-Velha, Arruamento H, Lote 4 3850-184 Albergaria-A-Velha</t>
  </si>
  <si>
    <t>António da Rocha Martins</t>
  </si>
  <si>
    <t>Marmores da Granja</t>
  </si>
  <si>
    <t>Marmores da Granja Lda</t>
  </si>
  <si>
    <t>Av. da Aviação Portuguesa 82 - Lameiras 2715-776 Terrugem Snt</t>
  </si>
  <si>
    <t>Sintra</t>
  </si>
  <si>
    <t>Eugénia Maria Nunes Marcelino Firmino / Américo Manuel Ventura Firmino</t>
  </si>
  <si>
    <t>eugenia@marmoresgranja.pt / granja@marmoresgranja.pt</t>
  </si>
  <si>
    <t>968064212/966475439</t>
  </si>
  <si>
    <t>Landshause</t>
  </si>
  <si>
    <t>Ah Pinhal do Rei, Lda</t>
  </si>
  <si>
    <t>2445-045 Pataias</t>
  </si>
  <si>
    <t>Manuel Joaquim de Oliveira Brites</t>
  </si>
  <si>
    <t>mblello@hotmail.com</t>
  </si>
  <si>
    <t>Lusobatata</t>
  </si>
  <si>
    <t>Lusobatata- Produtos de lV Gama, LDA</t>
  </si>
  <si>
    <t>Av, Sra. Da Lapa, N84, Barreiralva, 2640416 Mafra</t>
  </si>
  <si>
    <t>Mafra</t>
  </si>
  <si>
    <t>Feliciano Ricardo Fernando</t>
  </si>
  <si>
    <t>geral@lusobatata.com / filipe.ricardo@lusobatata.com</t>
  </si>
  <si>
    <t>Solidus</t>
  </si>
  <si>
    <t>Solidus Soluções Para Ferramentas e Moldes, Lda.</t>
  </si>
  <si>
    <t>Avenida D. João V, Nº. 35, 1º., Dtº. 2610-087 Amadora</t>
  </si>
  <si>
    <t>Paulo Alexandre dos Santos Lourenço</t>
  </si>
  <si>
    <t xml:space="preserve">solidus@sapo.pt </t>
  </si>
  <si>
    <t>NC Logistica</t>
  </si>
  <si>
    <t>Natureza Em Congelados, Armazenagem e Comercialização de Produtos Alimentares Lda</t>
  </si>
  <si>
    <t>Estrada Nacional 10, Alverca Park, Corpo E, Fracção Ao 2619-501 Alverca do Ribatejo</t>
  </si>
  <si>
    <t>Eurico do Carmo Cid</t>
  </si>
  <si>
    <t>euricocid@nclogistica.pt / filipacid@nclogistica.pt / fabianarodrigues@nclogistica.pt</t>
  </si>
  <si>
    <t>Marmo J</t>
  </si>
  <si>
    <t>Marmo J - Exportação, Importação, Mármores Unipessoal Lda</t>
  </si>
  <si>
    <t>Avenida da Aviação Portuguesa, Nº 55, Fação 2715-140 Pêro Pinheiro</t>
  </si>
  <si>
    <t>Jorge Manuel Dos Santos Bernardes</t>
  </si>
  <si>
    <t xml:space="preserve">mara.cruz@marmoj.pt </t>
  </si>
  <si>
    <t>Roufimar</t>
  </si>
  <si>
    <t>Roufimar Industria de Marmores, S.A</t>
  </si>
  <si>
    <t>Rua das Piçarras, 37, Maceira 2715-646 Maceira</t>
  </si>
  <si>
    <t>Arnaldo José Bordalo Roussado
Ricardo</t>
  </si>
  <si>
    <t xml:space="preserve">Presidente </t>
  </si>
  <si>
    <t>info@roufinar.com</t>
  </si>
  <si>
    <t>969056490
963685277</t>
  </si>
  <si>
    <t>Viarco</t>
  </si>
  <si>
    <t>Viarco-Industria de Lapis Lda</t>
  </si>
  <si>
    <t>R Jaime Afreixo 533 3700-144 Sao Joao Madeira Codex</t>
  </si>
  <si>
    <t>José Miguel Vieira Araújo Riobom dos Santos</t>
  </si>
  <si>
    <t>geral@viarco.pt / anacosta@viarco.pt</t>
  </si>
  <si>
    <t>O Zé Pacheco</t>
  </si>
  <si>
    <t>Gadelho de Castro, S.A</t>
  </si>
  <si>
    <t>Rua D. António Castro Meireles, 907 4435-666 Baguim do Monte</t>
  </si>
  <si>
    <t>Cobertura + Telha</t>
  </si>
  <si>
    <t>António Castro de Jesus Gadelho
Diogo Gadelho</t>
  </si>
  <si>
    <t>Administrador Único</t>
  </si>
  <si>
    <t>geral@ozepacheco.pt</t>
  </si>
  <si>
    <t>Amadois</t>
  </si>
  <si>
    <t>Amadois-Calçado Lda</t>
  </si>
  <si>
    <t>Avenida Juventude Desportiva Carregosense, Nº 202 3720-018 Carregosa Oaz</t>
  </si>
  <si>
    <t>Arouca</t>
  </si>
  <si>
    <t>Simples Energia</t>
  </si>
  <si>
    <t>Paulo André Aguiar de Melo Almeida
Miguel Melo</t>
  </si>
  <si>
    <t xml:space="preserve">mmelo@cruzeiro.pt </t>
  </si>
  <si>
    <t>Transportes Rapido</t>
  </si>
  <si>
    <t>Sociedade de Transportes Poiarense Lda</t>
  </si>
  <si>
    <t>Zona Industrial de São Miguel Lts 33 e 34 3350-214 São Miguel de Poiares</t>
  </si>
  <si>
    <t>Coimbra</t>
  </si>
  <si>
    <t>Luisa Maria Henriques Simões / Jose Eduardo Henriques Simões / Vitor Fernando Cardoso De Carvalho</t>
  </si>
  <si>
    <t>Gerentes</t>
  </si>
  <si>
    <t>luisa.simoes@transportesrapido.com / mario.almeida@transportesrapido.com</t>
  </si>
  <si>
    <t>Granetos</t>
  </si>
  <si>
    <t>Granetos-Mármores e Granitos, S.A</t>
  </si>
  <si>
    <t>Covão do Coelho 2395-001 Minde</t>
  </si>
  <si>
    <t>Madalena Da Conceição Castanheira Neto Cerejeira</t>
  </si>
  <si>
    <t>Administrador</t>
  </si>
  <si>
    <t>miguelcerejeira@granetos.pt</t>
  </si>
  <si>
    <t>249 840 579</t>
  </si>
  <si>
    <t>Queijaria Inacio Corvelo</t>
  </si>
  <si>
    <t>Inácio José Vinhas Corvelo</t>
  </si>
  <si>
    <t>Rua Estacão 9168, Rio De Moinhos Borba, 7150-368 Borba</t>
  </si>
  <si>
    <t>-</t>
  </si>
  <si>
    <t>To discuss with Oscar</t>
  </si>
  <si>
    <t>Topeca</t>
  </si>
  <si>
    <t>Topeca-Produtos de Construção Civil Lda</t>
  </si>
  <si>
    <t>Cercal 2490-115 Cercal</t>
  </si>
  <si>
    <t>Maintenance discussed yearly with the client</t>
  </si>
  <si>
    <t>Francisco Ferreira Nunes
César Nunes</t>
  </si>
  <si>
    <t xml:space="preserve">cesar.nunes@topeca.pt </t>
  </si>
  <si>
    <t>Sem certeza na quantidade de anos, imagino que seja 1</t>
  </si>
  <si>
    <t>Mindtrooper</t>
  </si>
  <si>
    <t>Mindtrooper, Unipessoal, Limitada</t>
  </si>
  <si>
    <t>Rua Antonio Bravo, N.0 140</t>
  </si>
  <si>
    <t>Heden</t>
  </si>
  <si>
    <t>Liveworks, Lda</t>
  </si>
  <si>
    <t>Doca Jardim do Tabaco, Terminal de Cruzeiros de Lisboa, Edifício Ne, 1º Piso 1100-651 Lisboa</t>
  </si>
  <si>
    <t>Manuel Bastos</t>
  </si>
  <si>
    <t>manuel@heden.co</t>
  </si>
  <si>
    <t>Horizontes Renovados Lda</t>
  </si>
  <si>
    <t>Rua Vicente Vaz das Vacas, Nº 22 8500-746 Portimão</t>
  </si>
  <si>
    <t>Paulo Pedrosa</t>
  </si>
  <si>
    <t>Betafiel</t>
  </si>
  <si>
    <t>Betafiel-Artefactos de Betão de Penafiel S.A</t>
  </si>
  <si>
    <t>Tapadinho 4560-162 Guilhufe</t>
  </si>
  <si>
    <t>Carlos Manuel Paquim da Costa</t>
  </si>
  <si>
    <t>Presidente do conselho de administração</t>
  </si>
  <si>
    <t>administracao@betafiel.pt</t>
  </si>
  <si>
    <t>Multiaves</t>
  </si>
  <si>
    <t>Multiaves-Avicola Internacional Lda</t>
  </si>
  <si>
    <t>Caramulo 3475-031 Caramulo</t>
  </si>
  <si>
    <t>Solo</t>
  </si>
  <si>
    <t>Não é necessário</t>
  </si>
  <si>
    <t>Gonçalo José Sousa Ornellas de Avillez Pereira / João Maria Lopes de Figueiredo de Lacerda</t>
  </si>
  <si>
    <t>g.avillez.pereira@multiaves.pt / joao.lacerda@ovoscaramulo.com</t>
  </si>
  <si>
    <t>232.860.030</t>
  </si>
  <si>
    <t>ITM Moita</t>
  </si>
  <si>
    <t>Intervedros - Supermercados, Lda</t>
  </si>
  <si>
    <t>Quinta de Santa Rosa 2860-050 Alhos Vedros</t>
  </si>
  <si>
    <t>Setubal</t>
  </si>
  <si>
    <t>Hugo Almeida</t>
  </si>
  <si>
    <t>interuedrcs@gmail.com</t>
  </si>
  <si>
    <t>Serralharia Vieira</t>
  </si>
  <si>
    <t>Serralharia Vieira Lda</t>
  </si>
  <si>
    <t>Av. Estrada Real, N.º 1167-A 4620-787 Torno</t>
  </si>
  <si>
    <t>Vitor Hugo Moreira Vieira</t>
  </si>
  <si>
    <t>Vítorserralhariavieira@hotmail.com</t>
  </si>
  <si>
    <t>Colégio Nossa Senhora da Apresentação</t>
  </si>
  <si>
    <t>Colégio Diocesano de Nossa Senhora da Apresentação</t>
  </si>
  <si>
    <t>Aveiro - Vagos -</t>
  </si>
  <si>
    <t>Luís Fernando Oliveira
David Malta/Ricardo Silva</t>
  </si>
  <si>
    <t>Diretor</t>
  </si>
  <si>
    <t>luísolíveira@colegiocalcao.org</t>
  </si>
  <si>
    <t>931731853/925094080</t>
  </si>
  <si>
    <t>Absorvalor</t>
  </si>
  <si>
    <t>Absorvalor Lda</t>
  </si>
  <si>
    <t>Rua da Ferraria, Chãs 2415-178 Regueira de Pontes</t>
  </si>
  <si>
    <t>Muhammad Abdul Satar / Bernardino Manuel Amaro dos Santos
Carla</t>
  </si>
  <si>
    <t>MC Rios</t>
  </si>
  <si>
    <t>M.C. Rios, S.A</t>
  </si>
  <si>
    <t>Lugar do Areeiro 3850-200 Albergaria-A-Velha</t>
  </si>
  <si>
    <t>Maria Leonor Duarte Rios Pires / Carlos Alberto Rodrigues Duarte Rios</t>
  </si>
  <si>
    <t xml:space="preserve">Vogal </t>
  </si>
  <si>
    <t>VCP</t>
  </si>
  <si>
    <t>Vidraria Central do Porto, S.A</t>
  </si>
  <si>
    <t>Avenida D. Miguel, 340, Pavilhão E, Zona Industrial Baguim do Monte 4435-678 Baguim do Monte - Gondomar</t>
  </si>
  <si>
    <t>Nuno Amilcar Fragoso / Vítor Manuel da Fonseca Pereira</t>
  </si>
  <si>
    <t>Presidente / Vogal</t>
  </si>
  <si>
    <t>Sicobrita</t>
  </si>
  <si>
    <t>Sicobrita - Extracção e Britagem de Pedra S.A</t>
  </si>
  <si>
    <t>R de Santa Luzia Nº 22 - Sala 32 3100-483 Pombal</t>
  </si>
  <si>
    <t>Pombal</t>
  </si>
  <si>
    <t>Armando
Jose Manuel Bugalhão Carrilho
Patricio
Artur</t>
  </si>
  <si>
    <t>Presidente do Conselho de Administração</t>
  </si>
  <si>
    <t xml:space="preserve">armando.vieira@sicobrita.pt </t>
  </si>
  <si>
    <t>969507300
916036244
963063582
963642561</t>
  </si>
  <si>
    <t>Mirandesa</t>
  </si>
  <si>
    <t>Cooperativa Agro-Pecuária Mirandesa Crl</t>
  </si>
  <si>
    <t>Zona Industrial de Vimioso - Lote 42/45 5230-284 Vimioso</t>
  </si>
  <si>
    <t>Bragança - Vimioso</t>
  </si>
  <si>
    <t>Nuno Paulo
António Manuel Luís / José Abílio João</t>
  </si>
  <si>
    <t>Presidente / Tesoureiro</t>
  </si>
  <si>
    <t>nunorpaulo@mirandesa.pt</t>
  </si>
  <si>
    <t>Jovi-Sola</t>
  </si>
  <si>
    <t>Jovi-Sola – Pré fabricados para calçado, Lda</t>
  </si>
  <si>
    <t>Rua Dom Dinis, N.º 110 3700-466 Arrifana Vfr</t>
  </si>
  <si>
    <t>Vítor Manuel Francisco</t>
  </si>
  <si>
    <t>jovi-sola@sapo.pt</t>
  </si>
  <si>
    <t>Joaquim Pinheiro Santos</t>
  </si>
  <si>
    <t>JOAQUIM PINHEIRO SANTOS,SUCESSORES LDA</t>
  </si>
  <si>
    <t>Vila Moreira (39.471324, -8.675141)</t>
  </si>
  <si>
    <t>Nuno Santos</t>
  </si>
  <si>
    <t>curtir@sapo.pt</t>
  </si>
  <si>
    <t>Não ha registo de contrato estar renovado</t>
  </si>
  <si>
    <t>Ferraz &amp; Ferreira</t>
  </si>
  <si>
    <t>Ferraz &amp; Ferreira, Lda.</t>
  </si>
  <si>
    <t>Rua do Padrão, 140 4760-743 Vilarinho das Cambas</t>
  </si>
  <si>
    <t>Vila Nova de Famalicão</t>
  </si>
  <si>
    <t>Cobertura + Sandwich</t>
  </si>
  <si>
    <t>Paula Ana Maria Fluckiger Ferraz Coutinho</t>
  </si>
  <si>
    <t>paulaferrazferreira.com.pt</t>
  </si>
  <si>
    <t>252301350
252301351
914981896
914933459</t>
  </si>
  <si>
    <t xml:space="preserve">LIDL </t>
  </si>
  <si>
    <t>Lidl &amp; Companhia</t>
  </si>
  <si>
    <t>316(bragança)+332(lousã)+33(moução)+316(porto)+333(tomar)+333(covilhã)+333(viana do castelo)</t>
  </si>
  <si>
    <t>ELS Sede</t>
  </si>
  <si>
    <t>Estevão Luis Salvador Lda</t>
  </si>
  <si>
    <t>R. José Salvador 90, 2715-311</t>
  </si>
  <si>
    <t>Oscar Vale</t>
  </si>
  <si>
    <t>oscar.vale@partilhextrema.pt</t>
  </si>
  <si>
    <t>ELS Bolo do Caco</t>
  </si>
  <si>
    <t>Pinhal dos Frades, Ericeira (38.971454, -9.385205)</t>
  </si>
  <si>
    <t>150.12</t>
  </si>
  <si>
    <t>Mármores Galrão</t>
  </si>
  <si>
    <t>Marmores Galrão-Eduardo Galrão Jorge &amp; Filhos S.A.</t>
  </si>
  <si>
    <t>Av. Da Liberdade 153, 2765-004, Pêro Pinheiro</t>
  </si>
  <si>
    <t>José Manuel Rodrigues Galrão Jorge / Augusto Manuel de Oliveira Diniz / Paulo Hortensio Jorge Diniz/ Ricardo Diniz</t>
  </si>
  <si>
    <t>Presidente do conselho de administração / Vogal do conselho de administração</t>
  </si>
  <si>
    <t>jroseiro@galrao.com / jgalraoj@galrao.com</t>
  </si>
  <si>
    <t>Granitos Galrão do Norte</t>
  </si>
  <si>
    <t>Granitos Galrão, Norte, Limitada</t>
  </si>
  <si>
    <t>Rua da Gandra, nº 20, 4950-850 Mazedo e Cortes</t>
  </si>
  <si>
    <t>Monção</t>
  </si>
  <si>
    <t>José Manuel Rodrigues Galrão Jorge / Augusto Manuel de Oliveira Diniz / Paulo Hortensio Jorge Diniz</t>
  </si>
  <si>
    <t>918705411
966826769</t>
  </si>
  <si>
    <t>Ardavi</t>
  </si>
  <si>
    <t>Ardavi-Maquinação E Comercialização De Artefactos Metal...</t>
  </si>
  <si>
    <t>Rua Das Cavadas, S/n, Pedrulheira, 243O-4O2 Marinha Grande</t>
  </si>
  <si>
    <t>Hugo David Gonçalves Simões / Aldina Alves Gonçalves Simões</t>
  </si>
  <si>
    <t>joao.mendes@ardavi.pt</t>
  </si>
  <si>
    <t>Textil do Marco</t>
  </si>
  <si>
    <t>Textil Do Marco S.A.</t>
  </si>
  <si>
    <t>Zona lndustrial -Tuias 4630-489 Marco de Canaveses</t>
  </si>
  <si>
    <t>Oskar Andreas Falley</t>
  </si>
  <si>
    <t>Presidente</t>
  </si>
  <si>
    <t>Diaco Fábrica 1</t>
  </si>
  <si>
    <t>Diamantino Coelho &amp; Filho S.A.</t>
  </si>
  <si>
    <t>Rua Zona Industrial - C/C 20 Bajo Santa Cita Santarém</t>
  </si>
  <si>
    <t>Tomar</t>
  </si>
  <si>
    <t>Carlos Manuel Vicente Coelho</t>
  </si>
  <si>
    <t>ccoelho@diaco.pt</t>
  </si>
  <si>
    <t>932255257
916597424</t>
  </si>
  <si>
    <t>Diaco - Agriloja Tomar</t>
  </si>
  <si>
    <t>Marmelais de Baixo Nº43, 2300-4O1 Tomar</t>
  </si>
  <si>
    <t>Chapa ou Sandwich</t>
  </si>
  <si>
    <t>Carlos Manuel Vicente Coelho/Luis</t>
  </si>
  <si>
    <t>Presidente/responsável agriloja</t>
  </si>
  <si>
    <t>932255257/933800521</t>
  </si>
  <si>
    <t>Diaco - Casa</t>
  </si>
  <si>
    <t>Pinhão &amp; Irmão</t>
  </si>
  <si>
    <t>Pinhão &amp; Irmão Lda</t>
  </si>
  <si>
    <t>R. 10 Zona Industrial 397, Rio Meão</t>
  </si>
  <si>
    <t>2 years - Complete O&amp;M</t>
  </si>
  <si>
    <t>Rui Pinhão</t>
  </si>
  <si>
    <t>rui.pinhao@pinhao.pt</t>
  </si>
  <si>
    <t>Jetesetecar</t>
  </si>
  <si>
    <t>Jetesetecar - Equipamentos Auto Lda</t>
  </si>
  <si>
    <t>Rua Manuel da Costa Correia Júnior, Zona Industrial Oaz 3720-517 Santiago de Riba-Ul</t>
  </si>
  <si>
    <t>Oliveira de Azemeis</t>
  </si>
  <si>
    <t>Adelino da Costa Sá
Pedro Santos</t>
  </si>
  <si>
    <t>pedro.santos@jetesetecar.com</t>
  </si>
  <si>
    <t>ELS Laundos</t>
  </si>
  <si>
    <t>Braga</t>
  </si>
  <si>
    <t>Vatel</t>
  </si>
  <si>
    <t>Vatel-Companhia De Produtos Alimentares S.A.</t>
  </si>
  <si>
    <t>Av. dos Operários Conserveiros, Olhão</t>
  </si>
  <si>
    <t>Maintenance contract</t>
  </si>
  <si>
    <t>Rui Branco</t>
  </si>
  <si>
    <t>rui.branco@k-plus-s.com</t>
  </si>
  <si>
    <t>Tecnisata</t>
  </si>
  <si>
    <t>Tecnisata - Indústria Metalomecânica S.A.</t>
  </si>
  <si>
    <t>Rua dos seteais nº1 Algueirão, 2725-658 Nem Martins</t>
  </si>
  <si>
    <t>Maria Helena Pereira Filipe / Pedro Miguel Ribeiro Teixeira</t>
  </si>
  <si>
    <t>Vogal do Conselho de Administração</t>
  </si>
  <si>
    <t>tecnisata@tecnisata.pt</t>
  </si>
  <si>
    <t>Moviportas 1 - Sede</t>
  </si>
  <si>
    <t>Moviportas-Fábrica De Móveis E Portas De Rio De Couros Lda</t>
  </si>
  <si>
    <t>Rio de Couros 2435 – 530 Rio de Couros</t>
  </si>
  <si>
    <t>Joaquim Marques Gomes</t>
  </si>
  <si>
    <t>moviportas@gmail.com</t>
  </si>
  <si>
    <t>Moviportas 2</t>
  </si>
  <si>
    <t>Zona Industrial Do Camprez, Chão De Couce, 3240-509 Ansião</t>
  </si>
  <si>
    <t>Moviportas 3 - casa</t>
  </si>
  <si>
    <t>Homeupdate</t>
  </si>
  <si>
    <t>Homeupdate, Lda</t>
  </si>
  <si>
    <t>Rua da Citela 10, Terrugem</t>
  </si>
  <si>
    <t>sandra.ferreira@homeupdate.pt</t>
  </si>
  <si>
    <t>ELS Guia</t>
  </si>
  <si>
    <t>Zona Industrial de Laundos 39, 4570-311 Laundos / Estufas agrícolas, Estrada de Valverde – Baiãs, 8200-429 Guia, Albufeira</t>
  </si>
  <si>
    <t>Algarve</t>
  </si>
  <si>
    <t>Dayton Progress</t>
  </si>
  <si>
    <t>Dayton Progress - Perfuradores, Lda</t>
  </si>
  <si>
    <t>Zona Industrial do Casal da Areia, Lote 17, Casal da Areia 2460-392 Alcobaça</t>
  </si>
  <si>
    <t>João Miguel Correia Pascoal</t>
  </si>
  <si>
    <t>JPascoal@daytonprogress.pt / Carolino@daytonprogress.pt</t>
  </si>
  <si>
    <t>.</t>
  </si>
  <si>
    <t>RAP Industrial</t>
  </si>
  <si>
    <t>Rap - Industrial Lda</t>
  </si>
  <si>
    <t>Avenida do Brasil, 231 – São João da Madeira – Aveiro – 3700-070</t>
  </si>
  <si>
    <t>São João da Madeira</t>
  </si>
  <si>
    <t>Manuel Augusto Silva Tavares</t>
  </si>
  <si>
    <t>manueltavares@arautorap.com / pedrotavares@arautorap.com</t>
  </si>
  <si>
    <t>DRA Detergentes</t>
  </si>
  <si>
    <t>Corkplas Armazém 21</t>
  </si>
  <si>
    <t>Corkplas - Indústria De Transformação E Comércio De Plásticos E Derivados De Cortiça Lda</t>
  </si>
  <si>
    <t>Estrada de Manique, Alcabideche, 2645-999 Cascais</t>
  </si>
  <si>
    <t>Nuno Miguel Laginha Catarino dos Santos</t>
  </si>
  <si>
    <t>Corkplas Armazém 13</t>
  </si>
  <si>
    <t>Jeteprodesing</t>
  </si>
  <si>
    <t>Jeteprodesign, Lda</t>
  </si>
  <si>
    <t>Rua Eduardo Paul, nº 520, Lugar de Lações de Baixo</t>
  </si>
  <si>
    <t>Gabriel Fernando da Costa Fortuna /Adelino da Costa Sá</t>
  </si>
  <si>
    <t>geral@jeteprodesign.com / gabriel.fortuna@jeteprodesign.com</t>
  </si>
  <si>
    <t>BV Arruda dos Vinhos</t>
  </si>
  <si>
    <t>Associação Dos Bombeiros Voluntarios De Arruda Dos Vinhos</t>
  </si>
  <si>
    <t>Rua Luís Camões s/n, 2630-253 Arruda dos Vinhos, Portugal</t>
  </si>
  <si>
    <t>Arruda dos Vinhos</t>
  </si>
  <si>
    <t>Plataforma Elevatória dos Bombeiros</t>
  </si>
  <si>
    <t>Rui José dos santos silva / Carla José Granja Lima e sílva</t>
  </si>
  <si>
    <t>Presidenye da direção / Tesoureiro da direção</t>
  </si>
  <si>
    <t>secretaria@bv-arruda.pt</t>
  </si>
  <si>
    <t>263975114
917601545</t>
  </si>
  <si>
    <t>Encontrus</t>
  </si>
  <si>
    <t>Encontrus-Sociedade Hoteleira Lda</t>
  </si>
  <si>
    <t>Rua Afonso Marques, Nº 4 3430-004 Carregal do Sal</t>
  </si>
  <si>
    <t>Carregal do Sal</t>
  </si>
  <si>
    <t>João Carlos de Figueiredo Alves</t>
  </si>
  <si>
    <t>financeiro@encontrus.com / nunoalves@encontrus.com</t>
  </si>
  <si>
    <t>Licofrutos</t>
  </si>
  <si>
    <t>Licofrutos, Unipessoal Lda</t>
  </si>
  <si>
    <t>Rua da Vitória, 18, lj 1, Boavista - Bombarral – Leiria – 2540-575</t>
  </si>
  <si>
    <t>Óbidos - Leiria</t>
  </si>
  <si>
    <t>João Manuel Correia Rodrigues</t>
  </si>
  <si>
    <t>licofrutos@gmail.com</t>
  </si>
  <si>
    <t>Pancrisp</t>
  </si>
  <si>
    <t>Pancrisp-Industria De Panificação Lda</t>
  </si>
  <si>
    <t>Rua Casais de S. Gião, N.º 21, Torres Vedras 2560-249 Torres Vedras</t>
  </si>
  <si>
    <t>Carport e Sandwich</t>
  </si>
  <si>
    <t>Fernando Crispim / Ângela (secretaria)</t>
  </si>
  <si>
    <t>Gerente / secretaria</t>
  </si>
  <si>
    <t>fjfcrispim@sapo.pt</t>
  </si>
  <si>
    <t>Barbotina</t>
  </si>
  <si>
    <t>Barbotina-Fábrica de Artigos Cerâmicos S.A</t>
  </si>
  <si>
    <t>Rua Indústria, 16, Freguesia de Oliveira do Bairro, Distrito de Aveiro</t>
  </si>
  <si>
    <t>António José Santiago dos Reis Moita</t>
  </si>
  <si>
    <t>Administrador único</t>
  </si>
  <si>
    <t>antonio@barbotina.com</t>
  </si>
  <si>
    <t>ITECMO</t>
  </si>
  <si>
    <t>Itecmo - Indústria De Fabricação De Moldes Lda</t>
  </si>
  <si>
    <t>Rua da Figueirinha nº6, Telheiro</t>
  </si>
  <si>
    <t>Miguel da Silva Ascenso / Paulo Cristóvão da Silva Pinto</t>
  </si>
  <si>
    <t>m.ascenso@itecmo.pt / itecmo@itecmo.pt</t>
  </si>
  <si>
    <t>Real Sport Clube</t>
  </si>
  <si>
    <t>Rua Cidade Desportiva, S/N Monte Abraão 2745-012</t>
  </si>
  <si>
    <t>Massamá</t>
  </si>
  <si>
    <t>Cobertura Plana</t>
  </si>
  <si>
    <t>Acesso pela cobertura</t>
  </si>
  <si>
    <t>José Adelino Marques Ramos / Francisco José Ferreira de Lima Freire</t>
  </si>
  <si>
    <t>Presidente / Vice-Presidente Financeiro</t>
  </si>
  <si>
    <t>departamentofinanceiro@realsportclube.com</t>
  </si>
  <si>
    <t>969011518
926656720
919778199</t>
  </si>
  <si>
    <t>Agrovácuo</t>
  </si>
  <si>
    <t>Agrovácuo Preparação E Embalagem De Produtos Horticolas Lda</t>
  </si>
  <si>
    <t>R. Jornal de Sintra, 2710-450 Sintra</t>
  </si>
  <si>
    <t>Gonçalo Manuel Duarte Simões</t>
  </si>
  <si>
    <t xml:space="preserve">Maryasa </t>
  </si>
  <si>
    <t>Maryasa - Importação E Exportação, Unipessoal Lda</t>
  </si>
  <si>
    <t>Rua 1º de Maio, 409 Fracção A e B 3700-541 Arrifana Vfr</t>
  </si>
  <si>
    <t>Manuel Andrade Ferreira da Silva</t>
  </si>
  <si>
    <t>geral@maryasa.com / producao@maryasa.com</t>
  </si>
  <si>
    <t>Diaco Agriloja Expanção</t>
  </si>
  <si>
    <t>Predidente</t>
  </si>
  <si>
    <t>Diaco Expansão</t>
  </si>
  <si>
    <t>Diaco Fabrica 2</t>
  </si>
  <si>
    <t>Rua Principal – Lt 16 Santarém</t>
  </si>
  <si>
    <t>316.8</t>
  </si>
  <si>
    <t>Casa da Divina Providência e Maria Auxiliadora</t>
  </si>
  <si>
    <t>Casa Da Divina Providencia E De Maria Auxiliadora(Centro Paroquial De Safara)</t>
  </si>
  <si>
    <t>Rua da Divina Providência 7875-054 Safara</t>
  </si>
  <si>
    <t>Safara</t>
  </si>
  <si>
    <t>Solcorelios II</t>
  </si>
  <si>
    <t>Rui Luís Ferreira Sousa / Maria Almeida dos Santos Pereira Rodrigues / Florência Fonseca Valente</t>
  </si>
  <si>
    <t>Presidente / Secretária / Tesoureira</t>
  </si>
  <si>
    <t>geral@larsafara.pt</t>
  </si>
  <si>
    <t>Santa Casa da Misericordia Alpedrinha</t>
  </si>
  <si>
    <t>Santa Casa Da Misericordia De Alpedrinha</t>
  </si>
  <si>
    <t>Rua Deao Boavida 9639</t>
  </si>
  <si>
    <t>Maria do Carmo Sanches de Oliveira / Luís dos Santos de Aguiar</t>
  </si>
  <si>
    <t>Provedora / Tesoureiro</t>
  </si>
  <si>
    <t>scmalpedrinha@sapo.pt</t>
  </si>
  <si>
    <t>ASCRECC - Lar da Cumieira</t>
  </si>
  <si>
    <t>Associação Sócio-Cultural Recreativa Educativa Da Cumieira E Circunvizinhas</t>
  </si>
  <si>
    <t>Rua Principal, Nº 3, 3100-334 Pombal</t>
  </si>
  <si>
    <t>Joaquim da Silva / António Vítor da Silva Lopes</t>
  </si>
  <si>
    <t>geral@acumieira.com</t>
  </si>
  <si>
    <t>Colégio São José de Bairros (EPC)</t>
  </si>
  <si>
    <t>Ângulos E Argumentos Lda</t>
  </si>
  <si>
    <t>R. de Minas 132, 4620-219</t>
  </si>
  <si>
    <t>To discuss with Rui Nunes</t>
  </si>
  <si>
    <t>Rui Bessa</t>
  </si>
  <si>
    <t>SCM Entroncamento - Hospital S. Joao Batista (EPC)</t>
  </si>
  <si>
    <t>Santa Casa Da Misericordia Do Entroncamento</t>
  </si>
  <si>
    <t>R. da Misericórdia, 2334-909 Entroncamento</t>
  </si>
  <si>
    <t>Telha/ Cobertura Plana</t>
  </si>
  <si>
    <t>Vitor Bertelo / José Paulino Manutenção</t>
  </si>
  <si>
    <t>939900147 / 913576424</t>
  </si>
  <si>
    <t>SCM Entroncamento - Lar (EPC)</t>
  </si>
  <si>
    <t>Rua Maria Serrana 13, Entroncamento</t>
  </si>
  <si>
    <t>SCM Entroncamento UCCI</t>
  </si>
  <si>
    <t>Rua da Barroca 60 2330-108 Entroncamento</t>
  </si>
  <si>
    <t>Bárbara</t>
  </si>
  <si>
    <t>931123964/249729240</t>
  </si>
  <si>
    <t>ARIPSI</t>
  </si>
  <si>
    <t>Aripsi-Associação De Reformados E Idosos Da Póvoa De Santa Iria</t>
  </si>
  <si>
    <t>Rua Morgado da Povoa, 3, 2625-229 Pova de Santa Iria</t>
  </si>
  <si>
    <t>Luís Vieira / Maria Fernanda Joaquina António</t>
  </si>
  <si>
    <t>Presidente da Direcção / Tesoureira</t>
  </si>
  <si>
    <t>geral@aripsi.pt</t>
  </si>
  <si>
    <t>Centro de dia de Alferrarede - Jardim de Infância</t>
  </si>
  <si>
    <t>Centro Social De Alferrarede</t>
  </si>
  <si>
    <t>Rua de Diu Alferrarede, 2200-045 Abrantes</t>
  </si>
  <si>
    <t>Alferrarede - Abrantes</t>
  </si>
  <si>
    <t>José Cruz Bartolomeu / Fátima Gonçalves dos Santos</t>
  </si>
  <si>
    <t>centrosocialalferrarede@gmail.com</t>
  </si>
  <si>
    <t>Centro de dia de Alferrarede - Lar</t>
  </si>
  <si>
    <t>Rua de Goa, Alferrarede 2200-023 Abrantes</t>
  </si>
  <si>
    <t>Bombeiros Rio Maior</t>
  </si>
  <si>
    <t>Associação Humanitária De Bombeiros Voluntários De Rio Maior</t>
  </si>
  <si>
    <t>Avenida Dr. João Afonso Calado da Maia 2040-333 Rio Maior</t>
  </si>
  <si>
    <t>António Manuel de Carvalho Quevedo / José Carlos Abadesso dos Santos</t>
  </si>
  <si>
    <t>geral@bvrm.pt</t>
  </si>
  <si>
    <t>Lar ASESM</t>
  </si>
  <si>
    <t>Asesm - Associação De Solidariedade E Educação De Salir De Matos</t>
  </si>
  <si>
    <t>Rua Principal, Nº. 4 2500-637 Salir de Matos</t>
  </si>
  <si>
    <t>Salir de Matos - Leiria</t>
  </si>
  <si>
    <t>Pedro Miguel Paulo Rebelo / Maria José Canas de Oliveira</t>
  </si>
  <si>
    <t xml:space="preserve">asesm-geral@sapo.pt </t>
  </si>
  <si>
    <t>918 268 963/
262 839 550</t>
  </si>
  <si>
    <t>Vidigal Wines (EPC)</t>
  </si>
  <si>
    <t>Vidigal Wines, S.A.</t>
  </si>
  <si>
    <t>Rua da Ribeira 230, Cortes Leiria, 2410 - 502</t>
  </si>
  <si>
    <t>Telha e Sandwich</t>
  </si>
  <si>
    <t>Manuel Martinho Franco Lavaredas Bio / Ana Maria Figueira Godinho Bio</t>
  </si>
  <si>
    <t xml:space="preserve">Presidente / Vice-Presidente </t>
  </si>
  <si>
    <t>927605949
930682070</t>
  </si>
  <si>
    <t>EBI Boa Água</t>
  </si>
  <si>
    <t>Agrupamento De Escolas Da Boa Água</t>
  </si>
  <si>
    <t>Rua Serra de Monchique Escola, 2975-174 Quinta do Conde</t>
  </si>
  <si>
    <t>Quinta do Conde</t>
  </si>
  <si>
    <t>Marco</t>
  </si>
  <si>
    <t>Nuno Manuel Polido Mantas</t>
  </si>
  <si>
    <t>direcao@aeboaagua.org</t>
  </si>
  <si>
    <t>SCM Galizes (EPC)</t>
  </si>
  <si>
    <t>Santa Casa Da Misericordia De Galizes</t>
  </si>
  <si>
    <t>R. Misericórdia 60, 3400-443 Nogueira do Cravo</t>
  </si>
  <si>
    <t>Carlos</t>
  </si>
  <si>
    <t>Gestão</t>
  </si>
  <si>
    <t>gestao@scmgalizes.com</t>
  </si>
  <si>
    <t>Coopérnico - SCM Benavente (EPC)</t>
  </si>
  <si>
    <t>Coopérnico - Cooperativa De Desenvolvimento Sustentável Crl</t>
  </si>
  <si>
    <t>Av. Dona, Av. Dom Francisca Montanha Apartado 54 2130, Benavente</t>
  </si>
  <si>
    <t>Nuno (Manutenção) / João Santos (Coopérnico)</t>
  </si>
  <si>
    <t>producao@coopernico.org</t>
  </si>
  <si>
    <t>926995319 / 967189750</t>
  </si>
  <si>
    <t>APPACDM Lisboa - Lar das Pedralvas</t>
  </si>
  <si>
    <t>Appacdm De Lisboa - Associação Portuguesa De Pais E Amigos Do Cidadão Deficiente Mental</t>
  </si>
  <si>
    <t>Rua Ary Dos Santos, 3, 1500-062 Lisboa</t>
  </si>
  <si>
    <t>Mário José Santos de Matos / Luís Fernando Pintão Cascais Xavier</t>
  </si>
  <si>
    <t>dir.pedralvas@appacdm-lisboa.pt</t>
  </si>
  <si>
    <t>217621180 / 919203686</t>
  </si>
  <si>
    <t>APPACDM Lisboa - Centro Júlia Moreira</t>
  </si>
  <si>
    <t>Rua Adolfo Coelho, 9, Lisboa, 1900-028 Lisboa</t>
  </si>
  <si>
    <t>atrimonio@appacdm-lisboa.pt</t>
  </si>
  <si>
    <t>APPACDM Lisboa - Flor da Quinta</t>
  </si>
  <si>
    <t>Quinta Inglesinhas Pera, S/N, Caparica, 2825-000 Almada</t>
  </si>
  <si>
    <t>APPACDM Lisboa - Lar Alapraia 2</t>
  </si>
  <si>
    <t>Travessa Doutor Felix Pereira, 190 RC LT2</t>
  </si>
  <si>
    <t>CERCILEI - Leiria (EPC)</t>
  </si>
  <si>
    <t>Cercilei - Cooperativa De Ensino E Reabilitação De Cidadãos Inadaptados De Leiria Crl</t>
  </si>
  <si>
    <t>Estrada das Moitas Altas nº 279, Pinheiros 2415-799 Leiria</t>
  </si>
  <si>
    <t>Ricardo Alexandre</t>
  </si>
  <si>
    <t>ricardo.alexandre@cerlicei.pt</t>
  </si>
  <si>
    <t>CERCILEI - Porto de Mós (EPC)</t>
  </si>
  <si>
    <t>Estr. das Moitas Altas 279, Leiria</t>
  </si>
  <si>
    <t>244482590/914495464</t>
  </si>
  <si>
    <t>Proteco (Cancelado)</t>
  </si>
  <si>
    <t>O Casarão</t>
  </si>
  <si>
    <t>O Casarão - Hotelaria E Turismo Lda</t>
  </si>
  <si>
    <t>Estrada da Maceira, 10, Azoia 2400-823 Leiria</t>
  </si>
  <si>
    <t>Dinis de Almeida Leitão Rodrigues</t>
  </si>
  <si>
    <t>dinis.rodrigues@ocasarao.pt</t>
  </si>
  <si>
    <t>Cercibeja (EPC)</t>
  </si>
  <si>
    <t>FC Alverca - Pavilhão</t>
  </si>
  <si>
    <t>Futebol Clube De Alverca</t>
  </si>
  <si>
    <t>R. César Augusto Gonçalves Ferreira 2615, 2615-391 Alverca do Ribatejo</t>
  </si>
  <si>
    <t>Alverca</t>
  </si>
  <si>
    <t>Fernando Sérgio Nunes Orge / Eduardo Manuel Gomes Mota</t>
  </si>
  <si>
    <t>Presidente da Direção / Presidente da Direção</t>
  </si>
  <si>
    <t>direcao@fcalverca.pt / secretaria@fcalverca.pt</t>
  </si>
  <si>
    <t>FC Alverca - Centro de Formação</t>
  </si>
  <si>
    <t>Futebol Clube De Alverca - Futebol, Sad</t>
  </si>
  <si>
    <t>Av. Infante Dom Pedro 58, 2615-149 Alverca do Ribatejo</t>
  </si>
  <si>
    <t>Textil do Marco (expansão)</t>
  </si>
  <si>
    <t>Andreas Falley</t>
  </si>
  <si>
    <t>afalley@temasa.pt</t>
  </si>
  <si>
    <t>Motassis (EPC)</t>
  </si>
  <si>
    <t>Motassis - Plásticos S.A.</t>
  </si>
  <si>
    <t>IC 2, N1 Nº 212, 3105-253</t>
  </si>
  <si>
    <t>1 ano de O&amp;M (2025)</t>
  </si>
  <si>
    <t>Adelino da Mota Assis / Dina Maria de Assis Mota</t>
  </si>
  <si>
    <t>Fábricas Lusitana (EPC)</t>
  </si>
  <si>
    <t>Fabricas Lusitana-Produtos Alimentares S.A.</t>
  </si>
  <si>
    <t>Largo Santo Antonio 1, 6005-015 Alcains</t>
  </si>
  <si>
    <t>1 ano O&amp;M vendido</t>
  </si>
  <si>
    <t>António Infante da Câmara Trigueiros de Aragão / Diogo de Portugal Trigueiros de Aragão</t>
  </si>
  <si>
    <t>Administrador / Presidente do Conselho de Administração</t>
  </si>
  <si>
    <t>ata@taglobal.pt</t>
  </si>
  <si>
    <t>Pinkplate</t>
  </si>
  <si>
    <t>Pinkplate Impressão, S.A.</t>
  </si>
  <si>
    <t>Pq. Empresarial Primóvel Ed. D1, 2635-595 Rio de Mouro</t>
  </si>
  <si>
    <t>Chapa</t>
  </si>
  <si>
    <t>2 years - Complete O&amp;M (como descrito no contrato)</t>
  </si>
  <si>
    <t>João Faden / António Craveiro</t>
  </si>
  <si>
    <t>p.martins@pinkplate.pt</t>
  </si>
  <si>
    <t>AGA (EPC)</t>
  </si>
  <si>
    <t>AGA - Álcool E Géneros Alimentares S.A.</t>
  </si>
  <si>
    <t>Professor Henrique de Barros, nº8 e 8ª, 2685 – 338 Prior Velho</t>
  </si>
  <si>
    <t>Leonor Maria Neves Fernandes Carvalho</t>
  </si>
  <si>
    <t>Procuradora com poderes para o ato</t>
  </si>
  <si>
    <t>Fravizel (EPC)</t>
  </si>
  <si>
    <t>Fravizel - Equipamentos Metalomecânicos, S.A.</t>
  </si>
  <si>
    <t>FRAVIZEL – Rua 5 de outubro SN 2025-161 Alcanede</t>
  </si>
  <si>
    <t>APPACDM da Maia</t>
  </si>
  <si>
    <t>Appacdm Da Maia - Associação Portuguesa De Pais E Amigos Do Cidadão Deficiente Mental</t>
  </si>
  <si>
    <t>R. da Prosela 88, 4470-808 Vila Nova da Telha</t>
  </si>
  <si>
    <t>Vitor Oliveira</t>
  </si>
  <si>
    <t>vitor.oliveira@appacdmmaia.org</t>
  </si>
  <si>
    <t>229613180 / 969275445</t>
  </si>
  <si>
    <t>Fundação Irene Rolo</t>
  </si>
  <si>
    <t>Rua Feixinho de Vides, 41, 8800-365 Tavira</t>
  </si>
  <si>
    <t>Tavira</t>
  </si>
  <si>
    <t>Carla Maria Amaro Pires / Frederico Carreira do Carmo / Abílio José Matias Lopes</t>
  </si>
  <si>
    <t>Presidente do Concelho de Administração / Tesoureiro / Secretário</t>
  </si>
  <si>
    <t>geral@fir.pt</t>
  </si>
  <si>
    <t>Pontual (EPC)</t>
  </si>
  <si>
    <t>José Oliveira Moura Costa &amp; Ca Lda</t>
  </si>
  <si>
    <t>Praceta Fontiela 90, 4430-832 Avintes</t>
  </si>
  <si>
    <t>4 anos de O&amp;M que so deve começar a partir do 2º ano depois de concluida a instalação</t>
  </si>
  <si>
    <t>Nuno do Amaral Correia Ricardo Romão</t>
  </si>
  <si>
    <t>rromao@pontual.eu</t>
  </si>
  <si>
    <t>Sem registo de manuntenção contratual</t>
  </si>
  <si>
    <t>Neutripuro</t>
  </si>
  <si>
    <t>Neutripuro - Lavagens Industriais , Lda</t>
  </si>
  <si>
    <t>Rua Pedro Nunes, Nº.101, Zona Industrial 2500-303 Caldas da Rainha</t>
  </si>
  <si>
    <t>Caldas da Rainha</t>
  </si>
  <si>
    <t>João Carlos Correia Gameiro Silva</t>
  </si>
  <si>
    <t>pedro.rebelo@neutripuro.com</t>
  </si>
  <si>
    <t>Urb. Alto Moinhos (EPC)</t>
  </si>
  <si>
    <t>Condomínio Do Prédio Sito Na Rua Cidade Rabat Nº 54-A, 54, 54-B, 56-A, 56, 56-B 56-C</t>
  </si>
  <si>
    <t>Rua Cidade de Rabat</t>
  </si>
  <si>
    <t xml:space="preserve">1 ano de O&amp;M </t>
  </si>
  <si>
    <t>Joaquim</t>
  </si>
  <si>
    <t>Responsável pela Urbanização</t>
  </si>
  <si>
    <t>pedro.antunes@urbicare.pt</t>
  </si>
  <si>
    <t>Registo de fatura (1 de abril de 25 ate 31 de março de 26)</t>
  </si>
  <si>
    <t>CascavelSecar (EPC subcontratado)</t>
  </si>
  <si>
    <t>Sociedade Agrícola Do Cascavel, Lda</t>
  </si>
  <si>
    <t>Coordenadas: 38.95925421849145, -8.621633359034018</t>
  </si>
  <si>
    <t>Hélio Roberto Sá Torres Lima</t>
  </si>
  <si>
    <t>932343809
939501296</t>
  </si>
  <si>
    <t>Justino Alexandre Sardinha (EPC)</t>
  </si>
  <si>
    <t>Atlantic House - Compra, Venda E Arrendamento De Imóveis, Lda</t>
  </si>
  <si>
    <t>Rua do Casalinho 10, Encarnação 2640 – 232 Encarnação</t>
  </si>
  <si>
    <t>Carlos Pedro Coelho Sardinha / Custódio Rodrigues Alves</t>
  </si>
  <si>
    <t>SCM Abrantes (EPC)</t>
  </si>
  <si>
    <t>Santa Casa Da Misericordia De Abrantes</t>
  </si>
  <si>
    <t>R. Dr. José Joaquim de Oliveira 24, 2200-365 Abrantes</t>
  </si>
  <si>
    <t>C.S.P. de Santo António de Lavre (EPC)</t>
  </si>
  <si>
    <t>Centro Social Paroquial De Santo Antonio De Lavre</t>
  </si>
  <si>
    <t>Unnamed Road, 7050-467</t>
  </si>
  <si>
    <t>Daniel Lisboa</t>
  </si>
  <si>
    <t>cspsa.lavre@gmail.com</t>
  </si>
  <si>
    <t>CRIA Abrantes</t>
  </si>
  <si>
    <t>Cria-Centro De Recuperação E Integração De Abrantes</t>
  </si>
  <si>
    <t>Quinta das Pinheiras, 2204-906 Alferrarede, Abrantes</t>
  </si>
  <si>
    <t>geral@cria.com.pt / CSolar.cria@proton.me</t>
  </si>
  <si>
    <t>Herdade Fonte Paredes (EPC)</t>
  </si>
  <si>
    <t>Herdade Fonte Paredes - Sag, Lda</t>
  </si>
  <si>
    <t>Herdade Fonte Paredes 7480-320 Ervedal, Avis</t>
  </si>
  <si>
    <t>Rui Manuel Almeida Cerejo</t>
  </si>
  <si>
    <t>Centro de Saúde de Pêro Pinheiro (EPC)</t>
  </si>
  <si>
    <t>Centro Social De Pero Pinheiro</t>
  </si>
  <si>
    <t>R. do Alto Pina 37, 2715-311 Pêro Pinheiro</t>
  </si>
  <si>
    <t>Fernando Alberto Cardoso Vieira</t>
  </si>
  <si>
    <t>BV Alcoentre</t>
  </si>
  <si>
    <t>Associação Humanitária De Bombeiros Voluntários De Alcoentre</t>
  </si>
  <si>
    <t>Largo Doutor Afonso Oliveira Guimarães 2, Alcoentre, Lisboa</t>
  </si>
  <si>
    <t>António Manuel da ConceiçãoLoureiro / André Filipe Nascimento Silva</t>
  </si>
  <si>
    <t>Presidente da direção / Vice-Presidente da direção</t>
  </si>
  <si>
    <t>secretaria.bvalcoentre@gmail.com</t>
  </si>
  <si>
    <t>Iber-Oleff Marinha Grande (EPC)</t>
  </si>
  <si>
    <t>Iber-Oleff - Componentes Técnicos Em Plástico S.A.</t>
  </si>
  <si>
    <t>R. de França, 2430-028 Marinha Grande</t>
  </si>
  <si>
    <t>Vitor</t>
  </si>
  <si>
    <t>Responsável</t>
  </si>
  <si>
    <t>vitor.lopes@iber-oleff.pt</t>
  </si>
  <si>
    <t>BV Montelavar</t>
  </si>
  <si>
    <t>Associação Humanitária De Bombeiros Voluntários De Montelavar</t>
  </si>
  <si>
    <t>Rua Maestro Alferes Álvaro Augusto Souza, 2715-666 Montelavar</t>
  </si>
  <si>
    <t>Manuel Fernando das Candeias Filipe  / José Manuel da Silva</t>
  </si>
  <si>
    <t>Presidente da direção / Tesoureiro</t>
  </si>
  <si>
    <t>secretaria.comando@bv-montelavar.pt</t>
  </si>
  <si>
    <t>Zé Pacheco - Expansão</t>
  </si>
  <si>
    <t>Gadelho De Castro, S.A.</t>
  </si>
  <si>
    <t>Carport</t>
  </si>
  <si>
    <t>Diogo Gadelho</t>
  </si>
  <si>
    <t>Mabe (EPC Itália)</t>
  </si>
  <si>
    <t>Mabe S.R.L.</t>
  </si>
  <si>
    <t>45.76032, 9.05648) (GMT 1.0)</t>
  </si>
  <si>
    <t>Itália</t>
  </si>
  <si>
    <t>Turati Davide</t>
  </si>
  <si>
    <t>Sócio-Administrador</t>
  </si>
  <si>
    <t>Bassani Batista</t>
  </si>
  <si>
    <t>Bassani Battista S.N.C.</t>
  </si>
  <si>
    <t>(45.5599079134, 9.74945039359) (GMT 1.0)</t>
  </si>
  <si>
    <t>Battista Bassani</t>
  </si>
  <si>
    <t>San Camillo Torino (EPC Itália)</t>
  </si>
  <si>
    <t>Fondazione Opera San Camillo</t>
  </si>
  <si>
    <t>Virginio Bebber</t>
  </si>
  <si>
    <t>Representante Legal</t>
  </si>
  <si>
    <t xml:space="preserve">Centro Paroquial Nossa Senhora da Anunciada </t>
  </si>
  <si>
    <t>Centro Social Paroquial De Nossa Senhora Da Anunciada</t>
  </si>
  <si>
    <t>R. Nossa Sra. Carmo 4, 2900-268 Setúbal</t>
  </si>
  <si>
    <t>Agrovarandas (EPC)</t>
  </si>
  <si>
    <t>Agrovarandas, Lda</t>
  </si>
  <si>
    <t>Agrovácuo - Armazém (EPC)</t>
  </si>
  <si>
    <t>Rua das Tomadas – Sintra – Código Postal 2715-240</t>
  </si>
  <si>
    <t>Contrato - 6 anos manutençao</t>
  </si>
  <si>
    <t>Videtra</t>
  </si>
  <si>
    <t>Videtra - Vidreira De Sintra Lda</t>
  </si>
  <si>
    <t>R. da da Répulica da Coreia 9 , Ranholas - S. Pedro e Penaferrim</t>
  </si>
  <si>
    <t>Carlos Manuel Martinho Gaspar Miranda</t>
  </si>
  <si>
    <t>Alvarsol</t>
  </si>
  <si>
    <t>Alvarsol-Sociedade de Lavandarias do Algarve Lda</t>
  </si>
  <si>
    <t>Centro de Empresas e Serviços, R. dos Almocreves Lote 31-C, 8125-493 Quarteira</t>
  </si>
  <si>
    <t>110.6</t>
  </si>
  <si>
    <t>Reinaldo Manuel Bernardo Teixeira
Orlando</t>
  </si>
  <si>
    <t>DIRECAO@ALVARSOL.PT</t>
  </si>
  <si>
    <t>962010660/961375395</t>
  </si>
  <si>
    <t>Américo Duarte Paixão - SERP</t>
  </si>
  <si>
    <t>Américo Duarte Paixão, Lda</t>
  </si>
  <si>
    <t>Coordenadas: 39.44769776092395, -8.788605020121715</t>
  </si>
  <si>
    <t>Ignoramus - Herdade da Adema</t>
  </si>
  <si>
    <t>Ignoramus-Produtos Naturais, Limitada</t>
  </si>
  <si>
    <t>Coordenadas: 38.870945984551184, -8.870839291172386</t>
  </si>
  <si>
    <t xml:space="preserve"> José João Pinheiro Barata - Fábrica</t>
  </si>
  <si>
    <t>Casal Quinta, nº 9001 2070-503 Valada</t>
  </si>
  <si>
    <t>Banco BIG</t>
  </si>
  <si>
    <t>Banco de Investimento Global S.A</t>
  </si>
  <si>
    <t>Av. 24 de Julho, 74-76 1200-869 Lisboa</t>
  </si>
  <si>
    <t xml:space="preserve">Eles adjudicarão plano de manutenção para 1 ano </t>
  </si>
  <si>
    <t>Vitor Manuel Carvalho Luis /Ana Rita da Costa Gil Simões</t>
  </si>
  <si>
    <t>Administrador Executivo</t>
  </si>
  <si>
    <t>luis.farias@big.pt / jorge.correia@big.pt</t>
  </si>
  <si>
    <t>Agromania</t>
  </si>
  <si>
    <t>Agromania, Unipessoal lda</t>
  </si>
  <si>
    <t>Casl Gavião 9501 – 2140 – 209 Casal Gaviãozinho Chamusca</t>
  </si>
  <si>
    <t>Roberto Rafael Dias Martins</t>
  </si>
  <si>
    <t>Agroarrão</t>
  </si>
  <si>
    <t>Agroarrão, Unipessoal lda</t>
  </si>
  <si>
    <t>Estrada de Montargil 9016 7425-202 Foros de Arrão</t>
  </si>
  <si>
    <t>Jorge Manuel Costa Espadinha</t>
  </si>
  <si>
    <t>Junta de Freguesia Quinta do Conde</t>
  </si>
  <si>
    <t>Junta de Freguesia da Quinta do Conde</t>
  </si>
  <si>
    <t>Rotunda, Av. Cova dos Vidros 58, 2975-333 Q.ta do Conde</t>
  </si>
  <si>
    <t>Carlos Alberto Pólvora dos Anjos Cruz</t>
  </si>
  <si>
    <t>Presidente da Junta de Freguesia</t>
  </si>
  <si>
    <t>Miniplas</t>
  </si>
  <si>
    <t>Miniplás, Unipessoal Lda</t>
  </si>
  <si>
    <t>Coordenadas: 40.87666547909539, -8.457455646217362</t>
  </si>
  <si>
    <t>Vitor Leonel de Almeida</t>
  </si>
  <si>
    <t>Colvi - Chouto</t>
  </si>
  <si>
    <t>Colvi, Sociedade Agrícula, Limitada</t>
  </si>
  <si>
    <t>Casal do Gavião Rega 9500 – 2140 – 209 – Casal Gaviãozinho - Chamusca</t>
  </si>
  <si>
    <t>Maria Odete Oliveira da Rosa Alves da Silva</t>
  </si>
  <si>
    <t>Lisbon Cruise Port</t>
  </si>
  <si>
    <t>Lcp - Lisbon Cruise Port, Lda</t>
  </si>
  <si>
    <t>Doca Jardim do Tabaco Terminal de Cruzeiros de Lisboa, Av. Infante Dom Henrique, 1100-651 Lisboa</t>
  </si>
  <si>
    <t xml:space="preserve">CSP São João das Lampas </t>
  </si>
  <si>
    <t>Centro Social Paroquial de S.joão das Lampas</t>
  </si>
  <si>
    <t>Ac. Particular 128, 2705 São João das Lampas</t>
  </si>
  <si>
    <t>José Parente</t>
  </si>
  <si>
    <t>jose.parente@cspsaojoaodaslampas.com</t>
  </si>
  <si>
    <t>Centro Paroquial de Mafra</t>
  </si>
  <si>
    <t>Centro Social Paroquial de Mafra</t>
  </si>
  <si>
    <t>R. Lar e Centro de Dia 3, 2640-578 Mafra</t>
  </si>
  <si>
    <t xml:space="preserve">Mapadi </t>
  </si>
  <si>
    <t>Movimento de Apoio de Pais e Amigos Ao Diminuído Intelectual</t>
  </si>
  <si>
    <t>R. de José Régio 614, 4490-648 Póvoa de Varzim</t>
  </si>
  <si>
    <t>ABC Santa Maria de Sedielos</t>
  </si>
  <si>
    <t>Associação Cultural e Beneficiente Santa Maria de Sedielos</t>
  </si>
  <si>
    <t>Lugar da Igreja, Peso da Régua 5040-523 Sedielos</t>
  </si>
  <si>
    <t>Vila Real</t>
  </si>
  <si>
    <t>Solo e Telha</t>
  </si>
  <si>
    <t>Presidente Sedielos</t>
  </si>
  <si>
    <t xml:space="preserve">Lagar São Vicente - CER Telheiras </t>
  </si>
  <si>
    <t>Freguesia do Lumiar</t>
  </si>
  <si>
    <t>R. Prof. Francisco Gentil 33, 1600-769 Lisboa</t>
  </si>
  <si>
    <t>Marmocan</t>
  </si>
  <si>
    <t>Marmocan-Mármores dos Candeeiros LDA</t>
  </si>
  <si>
    <t>39.467125117777414, -8.94347248046</t>
  </si>
  <si>
    <t>Alcobaça</t>
  </si>
  <si>
    <t>Hélder Ribeiro dos Santos Costa</t>
  </si>
  <si>
    <t>Condomínio Expo</t>
  </si>
  <si>
    <t>Condomínio Avenida da Peregrinação 4</t>
  </si>
  <si>
    <t>38.78163612327737, -9.097925558362107</t>
  </si>
  <si>
    <t>João António Igreja de Azevedo /Maria de Jesus Gaspar Pereira / João Miguel Pereira de Lacerda Matos</t>
  </si>
  <si>
    <t>Administrador de condomínio</t>
  </si>
  <si>
    <t>Agro-Pecuária do Porto Alto</t>
  </si>
  <si>
    <t>Agro-Pecuaria do Porto-Alto, Sociedade de Agricultura de Grupo Limitada</t>
  </si>
  <si>
    <t>Quinta de Vila Longa, 2125-000 Muge</t>
  </si>
  <si>
    <t>916896268
917641554</t>
  </si>
  <si>
    <t>BV Sintra</t>
  </si>
  <si>
    <t>Associação Humanitária dos Bombeiros Voluntarios de Sintra</t>
  </si>
  <si>
    <t>Avenida da Aviação Portuguesa 2710-538 Sintra</t>
  </si>
  <si>
    <t>José António Bento Marques / António José Pires Encarnação</t>
  </si>
  <si>
    <t>Presidente / Vice-Presidente</t>
  </si>
  <si>
    <t>sgeral@abvsintra.pt</t>
  </si>
  <si>
    <t>Queijaria Lourenço &amp; Filhos (EPC)</t>
  </si>
  <si>
    <t>Lourenço &amp; Filhos LDA</t>
  </si>
  <si>
    <t>39.656175074478405, -7.662481449989533</t>
  </si>
  <si>
    <t>Fatima Alexandra Dias Lourenço / Pedro Manuel Pires Fernandes</t>
  </si>
  <si>
    <t>António Evaristo Gonçalves - Projeto 1</t>
  </si>
  <si>
    <t>António Evaristo Gonçalves - Sociedade Agrícola, Unipessoal Lda</t>
  </si>
  <si>
    <t>Valada, Santarém</t>
  </si>
  <si>
    <t>Luís Feijoca</t>
  </si>
  <si>
    <t>luisfeijoca@hotmail.com</t>
  </si>
  <si>
    <t>António Evaristo Gonçalves - Projeto 3</t>
  </si>
  <si>
    <t xml:space="preserve">Modelvision </t>
  </si>
  <si>
    <t>Modelvision, Unipessoal, Lda</t>
  </si>
  <si>
    <t>Zona Industrial Casal da Areia, Rua D, Lote 46</t>
  </si>
  <si>
    <t>Nélia Luísa Faria Ascenso</t>
  </si>
  <si>
    <t>modelvision.modelvision@gmail.com</t>
  </si>
  <si>
    <t>Residência São Nuno de Santa Maria - Liga dos Combatentes</t>
  </si>
  <si>
    <t>Liga dos Combatentes</t>
  </si>
  <si>
    <t>IP2, 7100 Estremoz</t>
  </si>
  <si>
    <t>António Evaristo Gonçalves - Projeto 2</t>
  </si>
  <si>
    <t>Monterosa</t>
  </si>
  <si>
    <t>Viveiros Monterosa, LDA</t>
  </si>
  <si>
    <t>Quinta da Cabeça Apartado 26 Olhão, 8701-906 Moncarapacho</t>
  </si>
  <si>
    <t>Car Park</t>
  </si>
  <si>
    <t>2 anos de O&amp;M (primeira limpeza em 2025)</t>
  </si>
  <si>
    <t>Carlos Águas Rodrigues/Antonio cruz (tecnico manutenção)</t>
  </si>
  <si>
    <t>carlos@monterosa.pt</t>
  </si>
  <si>
    <t xml:space="preserve">914923249/966646334 </t>
  </si>
  <si>
    <t>Centro Infantil - Centro Comunitário da Quinta do Conde</t>
  </si>
  <si>
    <t>Centro Comunitário Da Quinta Da Conde</t>
  </si>
  <si>
    <t>Rua do Rio Minho 310, 2975-113 Quinta do Conde</t>
  </si>
  <si>
    <t>Rita Gaspar</t>
  </si>
  <si>
    <t>geral@ccqc.pt</t>
  </si>
  <si>
    <t>Sede - Centro Comunitário da Quinta do Conde</t>
  </si>
  <si>
    <t>Rua José Relvas 640, 2975-325, Quinta do Conde</t>
  </si>
  <si>
    <t>Lareiras Sousa</t>
  </si>
  <si>
    <t>Lareiras Sousa Lda.</t>
  </si>
  <si>
    <t>Estrada Nacional km 98, 1, 2460-713 Aljubarrota (São Vincente)</t>
  </si>
  <si>
    <t>Daniela</t>
  </si>
  <si>
    <t>lareiras.sousa@sapo.pt</t>
  </si>
  <si>
    <t>912903824/912531672 (ligar para monitorização)</t>
  </si>
  <si>
    <t>Protecnil</t>
  </si>
  <si>
    <t>Protecnil - Sociedade Técnica Construções, S.A</t>
  </si>
  <si>
    <t>Rua Sacadura Cabral, Nº11, Porto Alto 2135-299 Samora Correia</t>
  </si>
  <si>
    <t>Bruno</t>
  </si>
  <si>
    <t>bruno@protecnil.pt</t>
  </si>
  <si>
    <t>939 089 005</t>
  </si>
  <si>
    <t>Descut</t>
  </si>
  <si>
    <t>DESCUT - Design, Lda.</t>
  </si>
  <si>
    <t>Zona Industrial de Oiã 28 Lote A27, 3770-059 Oliveira do Bairro</t>
  </si>
  <si>
    <t>Esboços &amp; Esquadrias</t>
  </si>
  <si>
    <t>Esboços e Esquadrias, Unipessoal Lda.</t>
  </si>
  <si>
    <t>Praceta da Juventude, 14, 2975-339 Quinta do Conde</t>
  </si>
  <si>
    <t>Fernando
Rui Timóteo</t>
  </si>
  <si>
    <t>Fernando.Jorge@energyco.pt</t>
  </si>
  <si>
    <t>910125910
916981963</t>
  </si>
  <si>
    <t>Alojamento Estudantil Benfica</t>
  </si>
  <si>
    <t>Estrada do Calhariz de Benfica, 1500-620 Lisboa</t>
  </si>
  <si>
    <t>Fábio Santos</t>
  </si>
  <si>
    <t>fabiosantos@visabeiraglobal.com</t>
  </si>
  <si>
    <t>Sociedade Agricola da Perna Molhada</t>
  </si>
  <si>
    <t>Sociedade Agrícola da Perna Molhada, S.A.</t>
  </si>
  <si>
    <t>Estrada da Cumeada, Alpiarça</t>
  </si>
  <si>
    <t>Inês Chaves</t>
  </si>
  <si>
    <t>ineschaves@lagoalva.pt</t>
  </si>
  <si>
    <t>919 099 323</t>
  </si>
  <si>
    <t>Sociedade Agricola Barracão do Duque</t>
  </si>
  <si>
    <t>Sociedade Agrícola do Barracão do Duque, S.A.</t>
  </si>
  <si>
    <t>STIO Barracão Duque 9002, 2150-000 Golegâ</t>
  </si>
  <si>
    <t>920 099 323</t>
  </si>
  <si>
    <t>Sociedade Agricola Lagoalva de Cima</t>
  </si>
  <si>
    <t>Sociedade Agrícola da Quinta da Lagoalva de Cima, S.A.</t>
  </si>
  <si>
    <t>Quinta da Lagoalva de Cima, 2090-222 Alpiarça</t>
  </si>
  <si>
    <t>921 099 323</t>
  </si>
  <si>
    <t>Hotel Pombalense</t>
  </si>
  <si>
    <t>Hotel Pombalense, S.A</t>
  </si>
  <si>
    <t>Rua Alexandre Herculano 26, 3100-494 Pombal</t>
  </si>
  <si>
    <t>Zelinda</t>
  </si>
  <si>
    <t>backoffice@hotelpombalense.pt</t>
  </si>
  <si>
    <t>Freskus World</t>
  </si>
  <si>
    <t>Hortofinal - Produção e Comércio de Produtos Hortícolas, Lda</t>
  </si>
  <si>
    <t>Rua Principal, 9 Casal da Brejoeira 2560-406</t>
  </si>
  <si>
    <t>Nuno Filipe</t>
  </si>
  <si>
    <t>nuno.filipe@freskus.pt</t>
  </si>
  <si>
    <t>910 644 080</t>
  </si>
  <si>
    <t>Fundação Maria Luísa Ruas</t>
  </si>
  <si>
    <t>Rua 8 de Dezembro, 3130-062 Gesteira, Soure</t>
  </si>
  <si>
    <t>geral@fmlruas.com</t>
  </si>
  <si>
    <t>SCM Fronteira</t>
  </si>
  <si>
    <t>Santa Casa da Misericórdia de Fronteira</t>
  </si>
  <si>
    <t>Rua Nossa Senhora da Vila Velha, 7460-113 Fronteira</t>
  </si>
  <si>
    <t>Anabela Brandão</t>
  </si>
  <si>
    <t>scmfronteira.tss-anabelabrandao@sapo.pt</t>
  </si>
  <si>
    <t>Centro de dia - Vale de Maceiras</t>
  </si>
  <si>
    <t>Rua de Veiros, 7460-203 Aldeia de Vale Maceiras</t>
  </si>
  <si>
    <t>Santos Júlios - Metal Distendido</t>
  </si>
  <si>
    <t>Santos Júlios - Metal Distendido, Lda</t>
  </si>
  <si>
    <t>Rua Amadeu Melim, 2785-114 São Domingos de Rana</t>
  </si>
  <si>
    <t>--</t>
  </si>
  <si>
    <t>José</t>
  </si>
  <si>
    <t>comercialsul@metaldistendido.com</t>
  </si>
  <si>
    <t>21 4440320</t>
  </si>
  <si>
    <t>CPS RONFE</t>
  </si>
  <si>
    <t>Centro Paroquial de Ronfe</t>
  </si>
  <si>
    <t>Avenida Monsenhor Horácio de Araújo, Ronfe</t>
  </si>
  <si>
    <t>cspr.coordenacao.geral@gmail.com</t>
  </si>
  <si>
    <t>J. Ferreira &amp; Oliveira - Empresa</t>
  </si>
  <si>
    <t>J. Ferreira &amp; Oliveira Lda.</t>
  </si>
  <si>
    <t>Rua Leira d’Água, 231, 4480-484 Árvore – Vila do Conde</t>
  </si>
  <si>
    <t>Ricardo Ferreira</t>
  </si>
  <si>
    <t>J. Ferreira &amp; Oliveira - Casa Andrea</t>
  </si>
  <si>
    <t>RUA MONTE , 519 TOUGUES</t>
  </si>
  <si>
    <t>Paulo Ferreira</t>
  </si>
  <si>
    <t>J. Ferreira &amp; Oliveira - Casa Eliana</t>
  </si>
  <si>
    <t>Entre Vinhas e Mar</t>
  </si>
  <si>
    <t>Estrada de Vau 71, 2510-434 Amoreira Óbidos</t>
  </si>
  <si>
    <t xml:space="preserve">Paula Monteiro </t>
  </si>
  <si>
    <t>Proprietária</t>
  </si>
  <si>
    <t>paula.monteiro@entrevinhasemar.com</t>
  </si>
  <si>
    <t>Parabólica</t>
  </si>
  <si>
    <t>Parabólica - Reparações e Manutenções de Veiculos, Lda</t>
  </si>
  <si>
    <t>Estrada Vila Amélia 107, 2950-805 Q.ta do Anjo</t>
  </si>
  <si>
    <t>Vanessa Ramos</t>
  </si>
  <si>
    <t>vanessa.ramos@parabolica.com.pt</t>
  </si>
  <si>
    <t>Alegrivárias</t>
  </si>
  <si>
    <t>Alegrivárias, Lda.</t>
  </si>
  <si>
    <t>514 814 730</t>
  </si>
  <si>
    <t>Avenida 21 de Junho 7, 2565-007 Campelos</t>
  </si>
  <si>
    <t>João Tomé</t>
  </si>
  <si>
    <t>geral@alegrivarias.pt</t>
  </si>
  <si>
    <t>Herdade da Maia</t>
  </si>
  <si>
    <t>Sociedade Industrial da Herdade da Maia</t>
  </si>
  <si>
    <t xml:space="preserve">Tapada de Santo António, 7430-287 Gáfete </t>
  </si>
  <si>
    <t>Ruben
Eng. Inês
João Capelão</t>
  </si>
  <si>
    <t>918136668
963227480
963556429</t>
  </si>
  <si>
    <t>António Evaristo Gonçalves - Quinta Galvoa</t>
  </si>
  <si>
    <t>Quinta Galvoa, nº9117, 2070-503 Valada</t>
  </si>
  <si>
    <t>Luís Baptista Gonçalves</t>
  </si>
  <si>
    <t>Luís Batista Gonçalves</t>
  </si>
  <si>
    <t>Santos &amp; Ferreira</t>
  </si>
  <si>
    <t>Santos &amp; Ferreira, Lda.</t>
  </si>
  <si>
    <t>Estrada N10, 2615-142 Alverca do Ribatejo</t>
  </si>
  <si>
    <t xml:space="preserve">David Santos </t>
  </si>
  <si>
    <t>geral@santos-ferreira.mail.pt</t>
  </si>
  <si>
    <t>Intermarche Sesimbra</t>
  </si>
  <si>
    <t>Av. Sérgio Vieira de Mello, 2970-187 Setúbal</t>
  </si>
  <si>
    <t xml:space="preserve"> LATI Setubal (EPC)</t>
  </si>
  <si>
    <t>LATI Setúbal</t>
  </si>
  <si>
    <t>Rua dos Salgueiros, 2910-493 Setúbal</t>
  </si>
  <si>
    <t xml:space="preserve"> APPACDM Portalegre (EPC)</t>
  </si>
  <si>
    <t>APPACDM de Portalegre</t>
  </si>
  <si>
    <t>Bairro Outeiros, 2330-254 Santo António das Areias, Portalegre</t>
  </si>
  <si>
    <t>Emilia</t>
  </si>
  <si>
    <t xml:space="preserve"> Casa Agrofeliz (EPC)</t>
  </si>
  <si>
    <t>Sociedade Agricola Casa Agrofeliz</t>
  </si>
  <si>
    <t xml:space="preserve">R. do Escaroupim, Marinhais, 2120-013 Escaroupim, Portugal </t>
  </si>
  <si>
    <t>Manuel Felizardo</t>
  </si>
  <si>
    <t>Engenheirofelizardo@gmail.com</t>
  </si>
  <si>
    <t xml:space="preserve"> SCM Alenquer (EPC)</t>
  </si>
  <si>
    <t>Santa Casa da Mesericórdia de Alenquer</t>
  </si>
  <si>
    <t>Rua Renato Leitão Lourenço, 31, 2580-335 Alenquer</t>
  </si>
  <si>
    <t xml:space="preserve"> CSP Santo Aleixo (EPC)</t>
  </si>
  <si>
    <t>Centro Social Paroquial de Santo Aleixo</t>
  </si>
  <si>
    <t>Rua das Piçarras, 7450-228 Santo Aleixo</t>
  </si>
  <si>
    <t>Ana Margarida</t>
  </si>
  <si>
    <t xml:space="preserve"> Obra Social Jean mile Anizan (EPC)</t>
  </si>
  <si>
    <t>Fundação Jean Émilie Anizan</t>
  </si>
  <si>
    <t>591 000 601</t>
  </si>
  <si>
    <t>Rua dos Ribeiros, 2950-051 Palmela</t>
  </si>
  <si>
    <t>Palmira
Luis</t>
  </si>
  <si>
    <t>918681288
962307074</t>
  </si>
  <si>
    <t xml:space="preserve"> Projeto Estacado Reguengo (Valada) (EPC)</t>
  </si>
  <si>
    <t>Marco António Braulino Nunes</t>
  </si>
  <si>
    <t>215 130 545</t>
  </si>
  <si>
    <t>N3-3, Santarém</t>
  </si>
  <si>
    <t>Santarem</t>
  </si>
  <si>
    <t xml:space="preserve"> Projeto Estacado Xilau (EPC)</t>
  </si>
  <si>
    <t>506 207 684</t>
  </si>
  <si>
    <t>N3-3, Valada, Santarém</t>
  </si>
  <si>
    <t>solo</t>
  </si>
  <si>
    <t xml:space="preserve"> BV Cabo Ruivo (EPC)</t>
  </si>
  <si>
    <t>Associação Humanitária Cabo Ruivo</t>
  </si>
  <si>
    <t xml:space="preserve">R. Montepuez 1, 1800-275 </t>
  </si>
  <si>
    <t xml:space="preserve"> SCM Resende (EPC)</t>
  </si>
  <si>
    <t>Irmandade Santa Casa da Misericórdia de Resende</t>
  </si>
  <si>
    <t>Av. Afonso Henriques 248, 4660-211 Resende</t>
  </si>
  <si>
    <t>Viseu</t>
  </si>
  <si>
    <t>51.3</t>
  </si>
  <si>
    <t>Lastre</t>
  </si>
  <si>
    <t>Raquel</t>
  </si>
  <si>
    <t>968079093
926610777</t>
  </si>
  <si>
    <t xml:space="preserve"> Manuel Barbosa &amp; Filhos (EPC)</t>
  </si>
  <si>
    <t>Manuel Barbosa &amp; Filho Lda.</t>
  </si>
  <si>
    <t>Zona Industrial de Salemas Fracção, 2670-741 Loures</t>
  </si>
  <si>
    <t>Carmen</t>
  </si>
  <si>
    <t>carmenbarbosa01@gmail.com</t>
  </si>
  <si>
    <t xml:space="preserve"> ITM Oliveira do Douro (EPC)</t>
  </si>
  <si>
    <t>Intermarché de Oliveira do Douro</t>
  </si>
  <si>
    <t>510 045 162</t>
  </si>
  <si>
    <t>R. José Bonaparte 609, 4430-438 Oliveira do Douro</t>
  </si>
  <si>
    <t>3 anos de O&amp;M incluido com a venda</t>
  </si>
  <si>
    <t xml:space="preserve">João Lourenço </t>
  </si>
  <si>
    <t>Proprietário</t>
  </si>
  <si>
    <t>lourenco-777@hotmail.com</t>
  </si>
  <si>
    <t xml:space="preserve"> APDP Lisboa (EPC)</t>
  </si>
  <si>
    <t>Associação Protectora dos Diabéticos de Portugal</t>
  </si>
  <si>
    <t>Rua do Salitre 118/120 Lisboa, 1250-203</t>
  </si>
  <si>
    <t>33.1</t>
  </si>
  <si>
    <t>João Pereira</t>
  </si>
  <si>
    <t>joao.pereira@apdp.pt</t>
  </si>
  <si>
    <t xml:space="preserve"> Lar Sol &amp; Mar (EPC)</t>
  </si>
  <si>
    <t>Lar Sol &amp; Mar</t>
  </si>
  <si>
    <t>508 543 959</t>
  </si>
  <si>
    <t>Tavira 8800-054 Carapeto, Faro</t>
  </si>
  <si>
    <t>Helder Faria</t>
  </si>
  <si>
    <t>Helder.Faria@energyco.pt</t>
  </si>
  <si>
    <t xml:space="preserve"> Barros CNC </t>
  </si>
  <si>
    <t>Barros CNC - Ântimo &amp; Barros</t>
  </si>
  <si>
    <t>Edificio Stadium Park, Zona Indústrial da Taboeira, 3800-055 Aveiro</t>
  </si>
  <si>
    <t>Rui Santos</t>
  </si>
  <si>
    <t>rui.santos@barroscnc.pt</t>
  </si>
  <si>
    <t xml:space="preserve"> APCDI Pessegueiro do Vouga 1 (EPC)</t>
  </si>
  <si>
    <t>Associação Pró Cidadão Deficiente Integrado - Pessegueiro do Vouga</t>
  </si>
  <si>
    <t>Rua do Outeiro, 3740-070</t>
  </si>
  <si>
    <t>Anabela   Martins</t>
  </si>
  <si>
    <t>anabela.martins@apcdi.pt</t>
  </si>
  <si>
    <t>964753177/234 590 280</t>
  </si>
  <si>
    <t>APCDI Pessegueiro do Vouga 2 (EPC)</t>
  </si>
  <si>
    <t>Da 317, R. Associação Pró-Cidadão Deficiente Integrado, 3740-133</t>
  </si>
  <si>
    <t>Lastre/Zinco</t>
  </si>
  <si>
    <t>234 590 280</t>
  </si>
  <si>
    <t>Colvi 3 (EPC)</t>
  </si>
  <si>
    <t>Colvi - Sociedade Agrícola LDA</t>
  </si>
  <si>
    <t>506 769 291</t>
  </si>
  <si>
    <t>Estrada do Gavião, 2140-224</t>
  </si>
  <si>
    <t>josemanuelrosa123@hotmal.com</t>
  </si>
  <si>
    <t>BV Camarate</t>
  </si>
  <si>
    <t>Associação Humanitária dos Bombeiros Voluntários de Camarate</t>
  </si>
  <si>
    <t>Rua Adriano José de Oliveira, 10 2680-026 Camarate</t>
  </si>
  <si>
    <t>22.8</t>
  </si>
  <si>
    <t>geral@ahbvcamarate.com</t>
  </si>
  <si>
    <t>IberOleff Pombal</t>
  </si>
  <si>
    <t>Iber-Oleff - Componentes Tecnicos Em Plástico, S.A.</t>
  </si>
  <si>
    <t>Avenida Inf. Dom Henrique 4, Pombal</t>
  </si>
  <si>
    <t>Doceleia (EPC)</t>
  </si>
  <si>
    <t>Doceleia Doçaria Tradicional, Lda</t>
  </si>
  <si>
    <t>Rua do Norte 43 Fracção C, 2460-481, Alcobaça</t>
  </si>
  <si>
    <t>Sara Oliveira</t>
  </si>
  <si>
    <t>Gestora</t>
  </si>
  <si>
    <t>saraoliveira@atrian.pt</t>
  </si>
  <si>
    <t>911 709 490</t>
  </si>
  <si>
    <t>AHBV Pinhal Novo</t>
  </si>
  <si>
    <t>Associação Humanitária dos Bombeiros Voluntários de Pinhal Novo</t>
  </si>
  <si>
    <t>Av. da Liberdade 3, 2955-114 Pinhal Novo</t>
  </si>
  <si>
    <t>28.91</t>
  </si>
  <si>
    <t>Fernando das Dores António</t>
  </si>
  <si>
    <t>Presidente da Direção</t>
  </si>
  <si>
    <t>direcao@bvpinhalnovo.pt</t>
  </si>
  <si>
    <t>Foi se buscar duração do contrato</t>
  </si>
  <si>
    <t>AHBV Lagos (EPC)</t>
  </si>
  <si>
    <t>Associação Humanitária dos Bombeiros Voluntários de Lagos</t>
  </si>
  <si>
    <t>Rua dos Bombeiros Voluntários de Lagos 112, 8600-548</t>
  </si>
  <si>
    <t>42.48</t>
  </si>
  <si>
    <t>4 anos de O&amp;M incluido com a venda</t>
  </si>
  <si>
    <t>Vera Gonçalves</t>
  </si>
  <si>
    <t>Administrativo</t>
  </si>
  <si>
    <t>secretaria@bvlagos.pt</t>
  </si>
  <si>
    <t>Centro Social Padre José Filipe Rodrigues</t>
  </si>
  <si>
    <t>Centro Social Padre Jose Filipe Rodrigues</t>
  </si>
  <si>
    <t xml:space="preserve">Rua do Mato Picão, n.º 3 – 2350-852 Zibreira </t>
  </si>
  <si>
    <t>David</t>
  </si>
  <si>
    <t>financeiro@centrosocialzibreira.com</t>
  </si>
  <si>
    <t>911148290
915323615</t>
  </si>
  <si>
    <t>Biocaracol Paulo &amp; Isabel Fragoso lda (EPC)</t>
  </si>
  <si>
    <t>Biocaracol</t>
  </si>
  <si>
    <t>Travessa Fonte Mangas, 16, 2405-028</t>
  </si>
  <si>
    <t>Paulo</t>
  </si>
  <si>
    <t>infobiocaracol@gmail.com</t>
  </si>
  <si>
    <t>Regency Salgados Hotel &amp; SPA (EPC)</t>
  </si>
  <si>
    <t>Hotel Praia Dos Salgados - Invest. E Explorações Turísticas, S.A</t>
  </si>
  <si>
    <t>Rua Rosa dos Ventos, 9, 8200-428 Albufeira</t>
  </si>
  <si>
    <t>Ruben</t>
  </si>
  <si>
    <t>ruben.vieiira@regencysalgados.com</t>
  </si>
  <si>
    <t xml:space="preserve"> VCMC Industrias de Cozinha</t>
  </si>
  <si>
    <t>VCMC - Indústria de Cozinhas Lda.</t>
  </si>
  <si>
    <t>R. do Miradouro 1455, 4585-917</t>
  </si>
  <si>
    <t>Vitor Coelho</t>
  </si>
  <si>
    <t>vi-coelho@hotmail.com</t>
  </si>
  <si>
    <t>+41 76 398 47 48</t>
  </si>
  <si>
    <t xml:space="preserve"> Lourinha e Filhos (EPC)</t>
  </si>
  <si>
    <t>Lourinha &amp; Filhos, Lda</t>
  </si>
  <si>
    <t>Vale Romeiras, 9001 Alcácer do Sal, 7595-029 Torrão</t>
  </si>
  <si>
    <t>José Lourinha</t>
  </si>
  <si>
    <t>lourinha-marques@hotmail.com</t>
  </si>
  <si>
    <t>Mitromol</t>
  </si>
  <si>
    <t>Mitromol - Metalomecânica, Lda</t>
  </si>
  <si>
    <t>503 441 880</t>
  </si>
  <si>
    <t xml:space="preserve">Rua Abel Salazar, 69, 2º Esqº 2910-372 </t>
  </si>
  <si>
    <t xml:space="preserve">Patrícia Alexandra Campos Morgado </t>
  </si>
  <si>
    <t xml:space="preserve"> mitromol@gmail.com</t>
  </si>
  <si>
    <t>Alirações</t>
  </si>
  <si>
    <t>Alirações - Rações para Animais, Sa</t>
  </si>
  <si>
    <t>Quinta do Passil - Vale do Passil, N118, 2890-182 Alcochete</t>
  </si>
  <si>
    <t>Hugo</t>
  </si>
  <si>
    <t>hsf@grupoali.pt</t>
  </si>
  <si>
    <t>ELS Expansão</t>
  </si>
  <si>
    <t>Estevão Luís Salvado</t>
  </si>
  <si>
    <t>Rua José Salvador 90, 2715-311 Almargem do Bispo</t>
  </si>
  <si>
    <t>Midalpa</t>
  </si>
  <si>
    <t>Midalpa - Mobiliário e Decoração, Lda.</t>
  </si>
  <si>
    <t>Amares, 4720-608</t>
  </si>
  <si>
    <t>Escada fixa</t>
  </si>
  <si>
    <t>1 ano de O&amp;M incluido com a venda</t>
  </si>
  <si>
    <t>Patricia Gaspar</t>
  </si>
  <si>
    <t>Engenheira</t>
  </si>
  <si>
    <t>contact@midalpa.com</t>
  </si>
  <si>
    <t>não sei data de inicio de contrato</t>
  </si>
  <si>
    <t>Douropão</t>
  </si>
  <si>
    <t>Douropão - Agrup. Pan. Paivense</t>
  </si>
  <si>
    <t xml:space="preserve">Rua Ferreira De Castro 29 Castelo De Paiva  4550-128 Castelo De Paiva </t>
  </si>
  <si>
    <t>Sandwich + carport</t>
  </si>
  <si>
    <t xml:space="preserve">Rui </t>
  </si>
  <si>
    <t>douropao@gmail.com</t>
  </si>
  <si>
    <t>Vida Maior</t>
  </si>
  <si>
    <t>Centro Social e Recreativo e Cultural da Maceira</t>
  </si>
  <si>
    <t>R. da Ribeira 1, 2560-084 Maceira</t>
  </si>
  <si>
    <t>Juvenal</t>
  </si>
  <si>
    <t>geral@vidamaior.pt</t>
  </si>
  <si>
    <t>8ª Avenida</t>
  </si>
  <si>
    <t>8ª Avenida - Centro Comercial - Sic Imobiliária Fechada, S.A</t>
  </si>
  <si>
    <t>Av. Dr. Renato Araújo 1625, 3700-346 São João da Madeira</t>
  </si>
  <si>
    <t>2 anos de Manutenção preventiva e limpeza (2026 e 2027). Sem monitorização</t>
  </si>
  <si>
    <t>Marta Gebelli (Sunbird)</t>
  </si>
  <si>
    <t>Project developer</t>
  </si>
  <si>
    <t>marta@sunbird.eu</t>
  </si>
  <si>
    <t>+34 689276460</t>
  </si>
  <si>
    <t>Farmácia Santana</t>
  </si>
  <si>
    <t>R. Dr. José Inácio de Castelo Branco 70, 3090-803 Santana</t>
  </si>
  <si>
    <t>Bernardo Loureiro</t>
  </si>
  <si>
    <t>geral@farmaciasantana.com.pt</t>
  </si>
  <si>
    <t>Use and Reuse</t>
  </si>
  <si>
    <t>Use and Reuse, Lda</t>
  </si>
  <si>
    <t>Rua Frei Pedro de Perelhal N 2754 Pav. D, 4750-620 Perelhal</t>
  </si>
  <si>
    <t>Luis Ramos</t>
  </si>
  <si>
    <t>luis.ramos@useandreuse.pt</t>
  </si>
  <si>
    <t>Quinta da Formiga</t>
  </si>
  <si>
    <t>Quinta da Formiga - condomínio</t>
  </si>
  <si>
    <t>39.1766534, -7.7836161</t>
  </si>
  <si>
    <t>Nuno Ramalho</t>
  </si>
  <si>
    <t>quintadaformiga@gmail.com</t>
  </si>
  <si>
    <t xml:space="preserve">VCP expansão </t>
  </si>
  <si>
    <t>Joaquim Pinheiro Santos Expansão</t>
  </si>
  <si>
    <t>Helear</t>
  </si>
  <si>
    <t>Helear Investimentos Hoteleiros Sa</t>
  </si>
  <si>
    <t>Vila Regina - Alto da Orada, lote nº1, Albufeira</t>
  </si>
  <si>
    <t>Roger van Poyer</t>
  </si>
  <si>
    <t>roger@vanpoyer.pt</t>
  </si>
  <si>
    <t>969 011 049</t>
  </si>
  <si>
    <t>Pavilhão Alto da Faia - CER Telheiras</t>
  </si>
  <si>
    <t>Associação Viver Telheiras - Centro de Convergência de Telheiras</t>
  </si>
  <si>
    <t>Rua Prof. Mário Chicó - Edifício 1 - 1 F, 1600-643 Lisboa, Portugal</t>
  </si>
  <si>
    <t>Miguel</t>
  </si>
  <si>
    <t>m.sequeira@campus.fct.unl.pt</t>
  </si>
  <si>
    <t>Lopal</t>
  </si>
  <si>
    <t>Lopal Agricultura e Pecuária SA</t>
  </si>
  <si>
    <t xml:space="preserve">Monte da Tourega 7040-610 Vimieiro Arl. Arraiolos. Évora </t>
  </si>
  <si>
    <t>António</t>
  </si>
  <si>
    <t>lopal.tourega@gmail.com</t>
  </si>
  <si>
    <t>91 935 03 45</t>
  </si>
  <si>
    <t>Centro Bem Estar Social Minde</t>
  </si>
  <si>
    <t>Centro de Bem Estar Social de Minde</t>
  </si>
  <si>
    <t>501 186 077</t>
  </si>
  <si>
    <t>R. Padre Martins 222, 2395-202 Minde</t>
  </si>
  <si>
    <t>Antonio</t>
  </si>
  <si>
    <t>centro.social.minde@gmail.com/antonio.branco65@gmail.com</t>
  </si>
  <si>
    <t>Bruno Miguel Rodrigues Carvalho</t>
  </si>
  <si>
    <t xml:space="preserve">Rua Principal, 18, Casal Galharda 2540-685 S. Bartolomeu dos Galegos </t>
  </si>
  <si>
    <t>Nao é necessário</t>
  </si>
  <si>
    <t>brunomr88.carvalho@gmail.com</t>
  </si>
  <si>
    <t>Moviportas 1 expansão</t>
  </si>
  <si>
    <t>Moviportas 2 expansão</t>
  </si>
  <si>
    <t>AHBV Vila Meã</t>
  </si>
  <si>
    <t>Avenida dos Bombeiros, nº 649, Amarante</t>
  </si>
  <si>
    <t>David Monteiro</t>
  </si>
  <si>
    <t>2.º Comandante</t>
  </si>
  <si>
    <t>secretariacomando@bombeirosvilamea.pt</t>
  </si>
  <si>
    <t xml:space="preserve">255732222 / 255733222 </t>
  </si>
  <si>
    <t>Bomfelx</t>
  </si>
  <si>
    <t>Bomflex - Sociedade Industrial De Fabrico De Colchões, S.A</t>
  </si>
  <si>
    <t>Rua Av 5 de Outubro, Torres Vedras 2565-710 Runa</t>
  </si>
  <si>
    <t>geral@bomflex.pt</t>
  </si>
  <si>
    <t> 261 321 041</t>
  </si>
  <si>
    <t>Luxflor</t>
  </si>
  <si>
    <t>Luxflor importação e exportação de flores, lda</t>
  </si>
  <si>
    <t>Quinta Luxflor - CCI 1107, Estr. de Malpique, 2870-508 Sarilhos Grandes</t>
  </si>
  <si>
    <t>Autoportante</t>
  </si>
  <si>
    <t>Hugo Ferrão</t>
  </si>
  <si>
    <t>info@luxflor.pt</t>
  </si>
  <si>
    <t>Oasis Elastomers</t>
  </si>
  <si>
    <t>Oasis Elastomers Industrial Lda</t>
  </si>
  <si>
    <t>Av. da Liberdade, 2715-311 Pêro Pinheiro</t>
  </si>
  <si>
    <t>Ana Pereira</t>
  </si>
  <si>
    <t>ana.pereira@oasiselastomers.com</t>
  </si>
  <si>
    <t>935074882/219671327</t>
  </si>
  <si>
    <t>Casa da Democracia</t>
  </si>
  <si>
    <t>Azora Store</t>
  </si>
  <si>
    <t>R. das Fisgas 442, 2645-001 Alcabideche</t>
  </si>
  <si>
    <t>Lucas Oliveira/Oleksandr</t>
  </si>
  <si>
    <t>lucas.oliveira@azora.pt/mishenkyn@gmail.com</t>
  </si>
  <si>
    <t>964 067 643 / 918 888 812</t>
  </si>
  <si>
    <t>Kyotec</t>
  </si>
  <si>
    <t>lote p -3B zona industrial, R. G, 6000-459 Castelo Branco</t>
  </si>
  <si>
    <t>Madeiras Importadas</t>
  </si>
  <si>
    <t xml:space="preserve">M.I. - Madeiras Importadas, Unipessoal, Lda </t>
  </si>
  <si>
    <t>Rua António Basto Leitão, Nº 16 7430-226 Flor da Rosa</t>
  </si>
  <si>
    <t>Susanne Anreiter</t>
  </si>
  <si>
    <t>geral@madeirasimportadas.com</t>
  </si>
  <si>
    <t>966 927 812</t>
  </si>
  <si>
    <t>Colégio da Paz</t>
  </si>
  <si>
    <t xml:space="preserve">PROVÍNCIA PORTUGUESA DO INSTITUTO DAS IRMÃS DE SANTA DOROTEIA </t>
  </si>
  <si>
    <t>rua da Artilharia Um, nº 101, Colégio D. Estefânia, 1070-170 Lisboa</t>
  </si>
  <si>
    <t>Pedro Maria Magalhães/Maria Teresa Magalhaes Ferreira</t>
  </si>
  <si>
    <t>pedromagalhaes@colegiodapaz.org / economato.ssd@sapo.pt</t>
  </si>
  <si>
    <t xml:space="preserve"> 965 022 509</t>
  </si>
  <si>
    <t>Quinta da Feteira</t>
  </si>
  <si>
    <t>Quinta da Feteira - Restauração e Organização de festas e eventos Lda</t>
  </si>
  <si>
    <t>Rua do Florim nº113, 2080-620 Almeirim</t>
  </si>
  <si>
    <t>Ricardo Oliveira</t>
  </si>
  <si>
    <t>geral@quintadafeteira.pt</t>
  </si>
  <si>
    <t>967901440 / 243241015</t>
  </si>
  <si>
    <t>Legado Caixeiro Alentejano Associação Mutualista</t>
  </si>
  <si>
    <t>Legado do Caixeiro Alentejano - Associação Mutualista</t>
  </si>
  <si>
    <t>Rua Nova nº10 1º , 7000-536</t>
  </si>
  <si>
    <t>Hugo Casco</t>
  </si>
  <si>
    <t xml:space="preserve">legado@mail.telepac.pt </t>
  </si>
  <si>
    <t>Pérgula Centro de Bem Estar Social de Minde</t>
  </si>
  <si>
    <t>BV Palmela</t>
  </si>
  <si>
    <t>Associação Humanitária de Bombeiros de Palmela</t>
  </si>
  <si>
    <t>Av. Dos Bombeiros Voluntários, 2950-212 Palmela</t>
  </si>
  <si>
    <t>Carlos Valente / Miguel Pereira</t>
  </si>
  <si>
    <t>carlos.valente@bombeirospalmela.pt / miguel.pereira@bombeirospalmela.pt</t>
  </si>
  <si>
    <t xml:space="preserve">919190820 / 962618225 </t>
  </si>
  <si>
    <t>Granisul</t>
  </si>
  <si>
    <t>extra</t>
  </si>
  <si>
    <t>El Faro Yelmo</t>
  </si>
  <si>
    <t>Badajoz</t>
  </si>
  <si>
    <t>cobertura plana</t>
  </si>
  <si>
    <t>No final de 2025: realização do onbording da instalação (Verificações AC -&gt; tensões, DC -&gt; tensões, isolamento e continuidade; termografia; filmagens de drone; fixação da estrutura)
2026: será feita a limpeza.
2027: Limpeza e manutenção preventiva
Sem monitorização</t>
  </si>
  <si>
    <t>El Faro Cactus</t>
  </si>
  <si>
    <t>El Faro Revamp</t>
  </si>
  <si>
    <t>Jetesetecar Expansão</t>
  </si>
  <si>
    <t>Loureshopping</t>
  </si>
  <si>
    <t>Expertcom</t>
  </si>
  <si>
    <t>RUA GODINHO DE FARIA Nº492, RCº</t>
  </si>
  <si>
    <t>Carlos Correia
Sérgio Costa</t>
  </si>
  <si>
    <t>geral@expertcom.pt</t>
  </si>
  <si>
    <t>917 625 500
916 384 141</t>
  </si>
  <si>
    <t>Agrocate</t>
  </si>
  <si>
    <t>Agrocate LDA</t>
  </si>
  <si>
    <t>ESTR SENHORA DA SAÚDE, SN 8005-148 FARO</t>
  </si>
  <si>
    <t>Nuvem Maravilha</t>
  </si>
  <si>
    <t>Nuvem Maravilha Lda</t>
  </si>
  <si>
    <t>SRA SAUDE, STIO ALMARGENS S/N 8005-148 FARO FARO</t>
  </si>
  <si>
    <t>Hotel Falésia</t>
  </si>
  <si>
    <t>Hotel Falésia SGPS Lda</t>
  </si>
  <si>
    <t>Praceta Dos Gaios, Praia De Falésia Albufeira 8200-380 Albufeira</t>
  </si>
  <si>
    <t>Sandwich + Carpark</t>
  </si>
  <si>
    <t>Miguel Silva</t>
  </si>
  <si>
    <t>Operacional</t>
  </si>
  <si>
    <t>miguel.silva@falesia.com</t>
  </si>
  <si>
    <t>966 526 543</t>
  </si>
  <si>
    <t>Residência Azeitão Number 2</t>
  </si>
  <si>
    <t>Number two Lda</t>
  </si>
  <si>
    <t>Rua Papoila das Praias, 2925-759 Azeitão</t>
  </si>
  <si>
    <t>Vitor Marques</t>
  </si>
  <si>
    <t>vmarques@ntwo.pt</t>
  </si>
  <si>
    <t xml:space="preserve">918 100 255 </t>
  </si>
  <si>
    <t>Casa Hotel falésia</t>
  </si>
  <si>
    <t>Casa Cascais (hotel falésia)</t>
  </si>
  <si>
    <t>RUA DOS SOBREIROS DA MARINHA , 289 QUINTA DA MARINHA 2750-008 CASCAIS</t>
  </si>
  <si>
    <t>BV Amadora</t>
  </si>
  <si>
    <t>Associação Humanitária de Bombeiros Voluntários da Amadora</t>
  </si>
  <si>
    <t>Rua Elias Garcia, N.º 131 2700-316 Amadora</t>
  </si>
  <si>
    <t>N Vending</t>
  </si>
  <si>
    <t>N Vending- Operador de Vending, Unipessoal Lda</t>
  </si>
  <si>
    <t>Avenida Augusto Ferreira Moutinho Ramos 1010, Folgosa, 4425 307 Maia</t>
  </si>
  <si>
    <t>Jorge Fernandes</t>
  </si>
  <si>
    <t>jorge.fernandes@nvending.net</t>
  </si>
  <si>
    <t>Comercializador</t>
  </si>
  <si>
    <t>Tipo de Contrato</t>
  </si>
  <si>
    <t>Envio de Proposta</t>
  </si>
  <si>
    <t>Envio do Contrato</t>
  </si>
  <si>
    <t>Ass. do Contrato (Recebido do cliente)</t>
  </si>
  <si>
    <t>Envio p/ Comercializador</t>
  </si>
  <si>
    <t>Situação</t>
  </si>
  <si>
    <t>Duração (Mês)</t>
  </si>
  <si>
    <t>Data Inicio</t>
  </si>
  <si>
    <t>Data Final</t>
  </si>
  <si>
    <t>Observação</t>
  </si>
  <si>
    <t>Ativo</t>
  </si>
  <si>
    <t>Não Tratar</t>
  </si>
  <si>
    <t>Nunca enviou os documentos</t>
  </si>
  <si>
    <t>Simples Energia Espanha</t>
  </si>
  <si>
    <t>Indexado</t>
  </si>
  <si>
    <t>Foi solicitado novamento por email no dia 07.06.2021. Dia 22/06/2021. Liguei dia 01/07/2021. Contrato enviado 14/07/2021 e Procuração dia 09/07/2021.</t>
  </si>
  <si>
    <t>Contrato?</t>
  </si>
  <si>
    <t>Vincent pediu para aguardar, não fazer nada até ele falar</t>
  </si>
  <si>
    <t>LuzBoa</t>
  </si>
  <si>
    <t>EZU Energia</t>
  </si>
  <si>
    <t>Fixo</t>
  </si>
  <si>
    <t>A Sicobrita 2 a única diferença é a data de inicio que é 19/07/2023</t>
  </si>
  <si>
    <t>Pendencias</t>
  </si>
  <si>
    <t>Falta certificado para envio do contrato</t>
  </si>
  <si>
    <t>Trocou para Ezu em 30/10/2023</t>
  </si>
  <si>
    <t>Enviado dia 08/07/21 p/ Fabio e Certficado enviado 04/08/2021.</t>
  </si>
  <si>
    <t>Tem certificado -  Oscar resolver em Janeiro</t>
  </si>
  <si>
    <t>Aguardando entrada na OMIE</t>
  </si>
  <si>
    <t>Foi enviado diretamente pela Vatel</t>
  </si>
  <si>
    <t>Carolina está tratando da modificação do certificado</t>
  </si>
  <si>
    <t>Contrato enviado para EZU 22/08/2023</t>
  </si>
  <si>
    <t xml:space="preserve">Proposta enviada novamente 13/12/23                  23/05/2023 - Nunca respondeu </t>
  </si>
  <si>
    <t xml:space="preserve">Estão Avaliando 14/12/23    Não devolveram assinado, perguntado Novamente 13/12/23           Proposta enviada dia 09/08/23 pelo Vincent </t>
  </si>
  <si>
    <t>Proposta enviada novamente 13/12/23           27/06/2023</t>
  </si>
  <si>
    <t>Aguardar Kétsia falar com Vincent                   Proposta enviada 04/08/2023 Pelo Vincent</t>
  </si>
  <si>
    <t xml:space="preserve">Ativo as duas instalações no mesmo dia </t>
  </si>
  <si>
    <t>Falta o comercializador receber os documentos originais</t>
  </si>
  <si>
    <t>Contrato enviado de novo 23/01/24      Perguntado se pretendem realizar a venda do excedente 13/12/23 - Não perguntar mais nada     Proposta enviada dia 29/06 - Falo c/ Vincent para esperar</t>
  </si>
  <si>
    <t>Enviado proposta - 20/12/23</t>
  </si>
  <si>
    <t>Enviado proposta - 10/01/24</t>
  </si>
  <si>
    <t xml:space="preserve">Mandou so o Nib, pedi os restantes documentos e qual opção 16/1/24                   Enviado novamente proposta 13/12/23                25.08.23 </t>
  </si>
  <si>
    <t>Aguardando</t>
  </si>
  <si>
    <t xml:space="preserve"> Falar com Vincent sobre procuração        Contrato enviado para o cliente 29/06 - falta enviar documento autenticado (04/09/2023)</t>
  </si>
  <si>
    <t>Enviado proposta de novo 19/12/23       Email enviado a reforçar que não recebemos as cópias 13/12/23</t>
  </si>
  <si>
    <t>Enviado proposta de novo 19/12/23 Email enviado a reforçar que não recebemos as cópias 13/12/23      Contrato enviado para o cliente 30/06 - nunca respondeu e dia 22/08 perguntado novamente</t>
  </si>
  <si>
    <t>Proposta enviada novamente 13/12/23                  22/08/2023</t>
  </si>
  <si>
    <t>Enviada proposta novamente 10/1/24      Proposta enviada 23/05/2023 - Nunca respondeu</t>
  </si>
  <si>
    <t>Luzboa iria alterar o tamanho - solicitado dia 24/07/2023</t>
  </si>
  <si>
    <t xml:space="preserve">Enviado contrato 4/1/24 (Falta eles enviarem dp CC; IBAN; Cert. Perm)        Vincent vai enviar mail com a proposta </t>
  </si>
  <si>
    <t>Enviado proposta - 11/12/23</t>
  </si>
  <si>
    <t>Com Manuntenção Prev</t>
  </si>
  <si>
    <t>Contratos de Man Prev Expirados</t>
  </si>
  <si>
    <t>Contratos que acabam nos proximos 6 meses</t>
  </si>
  <si>
    <t>Row Labels</t>
  </si>
  <si>
    <t>Count of Location</t>
  </si>
  <si>
    <t>Grand Total</t>
  </si>
  <si>
    <t>no</t>
  </si>
  <si>
    <t>(All)</t>
  </si>
  <si>
    <t>Finalização de Contratos</t>
  </si>
  <si>
    <t>Com Contrato Ativo</t>
  </si>
  <si>
    <t>Count of Year</t>
  </si>
  <si>
    <t>Year of End Contract</t>
  </si>
  <si>
    <t>Contagem</t>
  </si>
  <si>
    <t>Ano Conclusão</t>
  </si>
  <si>
    <t>Principais Localizações</t>
  </si>
  <si>
    <t>Localização / Projeto</t>
  </si>
  <si>
    <t>Total</t>
  </si>
  <si>
    <t>Resumo Localizações Manuntenção Preventiva</t>
  </si>
  <si>
    <t>Localizações Manuntenção Preventiva</t>
  </si>
  <si>
    <t>Acesso</t>
  </si>
  <si>
    <t>Tipo de Telhado</t>
  </si>
  <si>
    <t>Validação do Project Overview</t>
  </si>
  <si>
    <t>Esta folha mostra linhas com dados em falta. Estado = REVER quando existe pelo menos uma falha.</t>
  </si>
  <si>
    <t>Falta projeto</t>
  </si>
  <si>
    <t>Falta empresa</t>
  </si>
  <si>
    <t>Falta NIF</t>
  </si>
  <si>
    <t>Falta localização</t>
  </si>
  <si>
    <t>Falta duração</t>
  </si>
  <si>
    <t>Falta start</t>
  </si>
  <si>
    <t>Falta email</t>
  </si>
  <si>
    <t>Total falhas</t>
  </si>
  <si>
    <t>Legenda</t>
  </si>
  <si>
    <t>OK</t>
  </si>
  <si>
    <t>Sem falhas</t>
  </si>
  <si>
    <t>REVER</t>
  </si>
  <si>
    <t>Faltam dados</t>
  </si>
  <si>
    <t>Avda. de Elvas, s/n, 06006 Badajoz, Espanha</t>
  </si>
  <si>
    <t>H-06622419</t>
  </si>
  <si>
    <t>Centro Comercial El Faro</t>
  </si>
  <si>
    <t>Estado de Contrato</t>
  </si>
  <si>
    <t>Falta Det Acesso</t>
  </si>
  <si>
    <t>Falta Det Cobertura</t>
  </si>
  <si>
    <t>Onda Grafe</t>
  </si>
  <si>
    <t>Loures</t>
  </si>
  <si>
    <t>?</t>
  </si>
  <si>
    <t>73,7</t>
  </si>
  <si>
    <t>Carla Alcântara</t>
  </si>
  <si>
    <t>carla.alcantara@ondagrafe.pt</t>
  </si>
  <si>
    <t>(blank)</t>
  </si>
  <si>
    <t>Desconectada</t>
  </si>
  <si>
    <t>Erro</t>
  </si>
  <si>
    <t>Column1</t>
  </si>
  <si>
    <t>Column2</t>
  </si>
  <si>
    <t>Column3</t>
  </si>
  <si>
    <t>Column4</t>
  </si>
  <si>
    <t>LandsHause</t>
  </si>
  <si>
    <t>Recorrente?</t>
  </si>
  <si>
    <t>Tipo de contrato</t>
  </si>
  <si>
    <t>Contrato de O&amp;M</t>
  </si>
  <si>
    <t>Tipo de Erros</t>
  </si>
  <si>
    <t>Nome</t>
  </si>
  <si>
    <t>1</t>
  </si>
  <si>
    <t>€€</t>
  </si>
  <si>
    <t>Contrato</t>
  </si>
  <si>
    <t>Tarifa</t>
  </si>
  <si>
    <t>Tipo</t>
  </si>
  <si>
    <t>O&amp;M</t>
  </si>
  <si>
    <t>Fixa</t>
  </si>
  <si>
    <t>1752,35</t>
  </si>
  <si>
    <t>Cobrar a mesma a quem é para incluir contrato</t>
  </si>
  <si>
    <t>Eliseu Manuel Vicente Frazão / Valter Durão</t>
  </si>
  <si>
    <t>918680303 / 9186800037</t>
  </si>
  <si>
    <t>Instalação</t>
  </si>
  <si>
    <t>Alto dos Moinhos Lote 11</t>
  </si>
  <si>
    <t>CSP - São João das Lampas</t>
  </si>
  <si>
    <t>Doceleia PROD</t>
  </si>
  <si>
    <t>Iber-Oleff Marinha Grande</t>
  </si>
  <si>
    <t>Lands Hause - Pataias</t>
  </si>
  <si>
    <t>Pessegueiro do Vouga 1</t>
  </si>
  <si>
    <t>S.C.M. Alpedrinha</t>
  </si>
  <si>
    <t>Vidigal Wines</t>
  </si>
  <si>
    <t>Cercilei - Leiria</t>
  </si>
  <si>
    <t>Farmácia Santana 1</t>
  </si>
  <si>
    <t>Presuntos Lourenço 2</t>
  </si>
  <si>
    <t>Projeto 2 - António Evaristo Goncalves</t>
  </si>
  <si>
    <t>Queijaria Inácio Corvelo</t>
  </si>
  <si>
    <t>San Camillo Torino</t>
  </si>
  <si>
    <t>Fábricas Lusitana</t>
  </si>
  <si>
    <t>not found</t>
  </si>
  <si>
    <t>not found2</t>
  </si>
  <si>
    <t>Data</t>
  </si>
  <si>
    <t>CS Padre José Filipe Rodrigues</t>
  </si>
  <si>
    <t>Sicobrita (PT1)</t>
  </si>
  <si>
    <t>Notas</t>
  </si>
  <si>
    <t>Tempestade Kristin</t>
  </si>
  <si>
    <t>Dongle ON, os 3 inversores dão Grid Loss, se não me engano é uma situação complicada (verificar)</t>
  </si>
  <si>
    <t>Dongle ON, inversor dá grid loss
Barbara - já se enviou email o ano passado a dizer que não é possivel instalar um contactor e que para diminuir os disparos temos que tirar a bobine de minima tensão, mas que ficam eles os responsaveis caso ocorra algum dano no gerador deles. ao que eles nunca responderam. portanto, que eu saiba continuamos com esta situação.</t>
  </si>
  <si>
    <t>Inversor 1 esta com grid loss, Dongle 2 esta com network connection, acredito que seja corte mas não tenho a certeza
Barbara - acho que deve ter sido só alguma falha hoje. tem que se ligar para ver se algum disjuntor está para rearmar.
Ter a certeza disso porque ja é um erro com algum tempo</t>
  </si>
  <si>
    <t>Dongle ON, o inversor da Grid Loss
Barbara - temos este problema já há algum tempo, acho que se tem que ir lá novamente. podemos tentar ligar para pedir para rearmar algum disjuntor, mas tem que se agendar para ir lá.</t>
  </si>
  <si>
    <t>No dia anterior, o sicobrita 1 teve produção em todos os inversores, hoje esta a dar erro Abnormal Grounding
Barbara - estamos com este problema há muitos meses, o Duarte e o ricardo já foram lá trocar o disjuntor e achámos que estava ok mas parece que voltou. tem que ser voltar a ver a situação.</t>
  </si>
  <si>
    <t>Dongle On durante o dia, Inversores com Grid Loss
Barbara informou que esta em insolvencia</t>
  </si>
  <si>
    <t xml:space="preserve">Tudo off, não tem cartão SIM para reset
Barbara - temos isto offline há bastante tempo, acho que já se foi lá trocar o dongle por um wifi e não resolveu. </t>
  </si>
  <si>
    <t>Tudo off, SIM esta on
Barbara - está offline há algum tempo, mas está a produzir.</t>
  </si>
  <si>
    <t>O Bolo do Caco</t>
  </si>
  <si>
    <t>Farmácia Santana 1 1</t>
  </si>
  <si>
    <t>Alarme de Abnormal Grounding mas produção normal</t>
  </si>
  <si>
    <t>Durante o dia de hoje foi abaixo 5 vezes, ficar atento</t>
  </si>
  <si>
    <t>Desconectou a meio do dia, ja dei reset no SIM mas ainda não ligou</t>
  </si>
  <si>
    <t>Ja resolvido</t>
  </si>
  <si>
    <t>ok</t>
  </si>
  <si>
    <t>Hoje parece estar bom (não desligou vez nenhum), continuar a monotorizar</t>
  </si>
  <si>
    <t>Cravamentos mal feitos, cravamos de novo e em principio não ha mais problema</t>
  </si>
  <si>
    <t>2 (apenas 1 inversor)</t>
  </si>
  <si>
    <t>Faulty</t>
  </si>
  <si>
    <t>Resistencia de isolamento baixa, um inversor não produz (foi me imformado que é da instalação existente)</t>
  </si>
  <si>
    <t>Ação a fazer</t>
  </si>
  <si>
    <t>Mandar equipa para rencrevamento</t>
  </si>
  <si>
    <t>Mandar equipa para corrigir problema no cabo DC</t>
  </si>
  <si>
    <t>Off</t>
  </si>
  <si>
    <t>On</t>
  </si>
  <si>
    <t>Erro de abnormal grounding em todos os inversores</t>
  </si>
  <si>
    <t>nem sei</t>
  </si>
  <si>
    <t>Erro de conexão
Ja dei reset mais que uma vez, não percebo</t>
  </si>
  <si>
    <t>não sei</t>
  </si>
  <si>
    <t>E-mail enviado a informar que desligaram para instalar um gerador, Ricardo informou o cliente que vai o quanto antes</t>
  </si>
  <si>
    <t>Resolver tambem limitação do inversor
Cabo desde quadro parcial ate QGBT faz QDT, ao compensar aumentamos demasiado tensão no parcial, ou metemos estabilizador de tensão nas cargas, ou trocamos cabo (se que dimensionamento não é ma ideia)</t>
  </si>
  <si>
    <t>Visita dia 4/22/2026</t>
  </si>
  <si>
    <t>Erro de conexão, barbara diz que esta a produzir
SIM esta on, não entendo onde esta o erro de conexão
Duarte - Comunicação por router -&gt; repetidor -&gt; para cabo</t>
  </si>
  <si>
    <t>Visita dia 4/21/2026
Meter router novo
perguntar huawei que parametros temos de meter (onenote)</t>
  </si>
  <si>
    <t>Assim desde fevereiro
Tudo off, não tem cartão SIM para reset
Barbara - temos isto offline há bastante tempo, acho que já se foi lá trocar o dongle por um wifi e não resolveu. 
Falar com Marco se vendemos contrato de manuntenção</t>
  </si>
  <si>
    <t>Trocar Disjuntor 63A proxima semana</t>
  </si>
  <si>
    <t>Tentar comunicar com eles e arranjar uma solução que agrade os dois (se calhar fazer orçamentação do cabo e mostar o quão rapido se paga???)
Fazer Orçamento e depois vemos</t>
  </si>
  <si>
    <t>Falar primeiro com huawei para ver exatamente o que temos de medir la
duarte vai mandar o contacto do gajo
ANTES DA VISITA!!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</si>
</sst>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yyyy"/>
    <numFmt numFmtId="166" formatCode="[$€-2]\ #,##0.00"/>
    <numFmt numFmtId="167" formatCode="_([$€-2]\ * #,##0.00_);_([$€-2]\ * \(#,##0.00\);_([$€-2]\ * &quot;-&quot;??_);_(@_)"/>
  </numFmts>
  <fonts count="35" x14ac:knownFonts="1">
    <font>
      <sz val="11"/>
      <color theme="1"/>
      <name val="Calibri"/>
      <family val="2"/>
      <scheme val="minor"/>
    </font>
    <font>
      <sz val="10"/>
      <color theme="0"/>
      <name val="Calibri Light"/>
      <family val="2"/>
      <scheme val="major"/>
    </font>
    <font>
      <sz val="10"/>
      <color theme="1"/>
      <name val="Calibri Light"/>
      <family val="2"/>
      <scheme val="major"/>
    </font>
    <font>
      <sz val="10"/>
      <name val="Calibri Light"/>
      <family val="2"/>
      <scheme val="major"/>
    </font>
    <font>
      <b/>
      <sz val="10"/>
      <color theme="0"/>
      <name val="Calibri Light"/>
      <family val="2"/>
      <scheme val="major"/>
    </font>
    <font>
      <sz val="10"/>
      <color theme="1"/>
      <name val="Calibri"/>
      <family val="2"/>
      <scheme val="minor"/>
    </font>
    <font>
      <sz val="10"/>
      <name val="Calibri"/>
      <family val="2"/>
      <scheme val="minor"/>
    </font>
    <font>
      <u/>
      <sz val="11"/>
      <color theme="10"/>
      <name val="Calibri"/>
      <family val="2"/>
      <scheme val="minor"/>
    </font>
    <font>
      <u/>
      <sz val="10"/>
      <name val="Calibri Light"/>
      <family val="2"/>
      <scheme val="major"/>
    </font>
    <font>
      <sz val="10"/>
      <color rgb="FF000000"/>
      <name val="Calibri Light"/>
      <family val="2"/>
      <scheme val="major"/>
    </font>
    <font>
      <sz val="12"/>
      <color theme="1"/>
      <name val="Aptos"/>
      <family val="2"/>
    </font>
    <font>
      <sz val="10"/>
      <name val="Calibri Light"/>
      <family val="2"/>
    </font>
    <font>
      <sz val="11"/>
      <color rgb="FF000000"/>
      <name val="Calibri"/>
      <family val="2"/>
    </font>
    <font>
      <sz val="10"/>
      <color rgb="FF000000"/>
      <name val="Calibri Light"/>
      <family val="2"/>
      <scheme val="major"/>
    </font>
    <font>
      <b/>
      <sz val="18"/>
      <color rgb="FFFFFFFF"/>
      <name val="Calibri"/>
      <family val="2"/>
    </font>
    <font>
      <i/>
      <sz val="10"/>
      <color rgb="FF1F2937"/>
      <name val="Calibri"/>
      <family val="2"/>
    </font>
    <font>
      <b/>
      <sz val="10"/>
      <color rgb="FFFFFFFF"/>
      <name val="Calibri"/>
      <family val="2"/>
    </font>
    <font>
      <b/>
      <sz val="16"/>
      <color rgb="FF1F2937"/>
      <name val="Calibri"/>
      <family val="2"/>
    </font>
    <font>
      <b/>
      <sz val="12"/>
      <color rgb="FFFFFFFF"/>
      <name val="Calibri"/>
      <family val="2"/>
    </font>
    <font>
      <sz val="10"/>
      <color rgb="FF1F2937"/>
      <name val="Calibri"/>
      <family val="2"/>
    </font>
    <font>
      <b/>
      <sz val="10"/>
      <color rgb="FF1F2937"/>
      <name val="Calibri"/>
      <family val="2"/>
    </font>
    <font>
      <b/>
      <sz val="11"/>
      <color theme="1"/>
      <name val="Calibri"/>
      <family val="2"/>
      <scheme val="minor"/>
    </font>
    <font>
      <b/>
      <sz val="14"/>
      <color theme="1"/>
      <name val="Calibri"/>
      <family val="2"/>
      <scheme val="minor"/>
    </font>
    <font>
      <b/>
      <sz val="15"/>
      <color rgb="FFFFFFFF"/>
      <name val="Calibri"/>
    </font>
    <font>
      <sz val="11"/>
      <color rgb="FF1F1F1F"/>
      <name val="Calibri"/>
    </font>
    <font>
      <b/>
      <sz val="11"/>
      <color rgb="FFFFFFFF"/>
      <name val="Calibri"/>
    </font>
    <font>
      <b/>
      <sz val="11"/>
      <color rgb="FF1F4E78"/>
      <name val="Calibri"/>
    </font>
    <font>
      <b/>
      <sz val="11"/>
      <color rgb="FF006100"/>
      <name val="Calibri"/>
    </font>
    <font>
      <b/>
      <sz val="11"/>
      <color rgb="FF9C0006"/>
      <name val="Calibri"/>
    </font>
    <font>
      <b/>
      <sz val="8"/>
      <color rgb="FFFFFFFF"/>
      <name val="Calibri"/>
      <family val="2"/>
    </font>
    <font>
      <b/>
      <sz val="11"/>
      <color rgb="FFFFFFFF"/>
      <name val="Calibri"/>
      <family val="2"/>
    </font>
    <font>
      <sz val="12"/>
      <color rgb="FF000000"/>
      <name val="Aptos"/>
      <family val="2"/>
    </font>
    <font>
      <b/>
      <sz val="11"/>
      <color theme="0"/>
      <name val="Calibri"/>
      <family val="2"/>
      <scheme val="minor"/>
    </font>
    <font>
      <sz val="8"/>
      <name val="Calibri"/>
      <family val="2"/>
      <scheme val="minor"/>
    </font>
    <font>
      <sz val="11"/>
      <color rgb="FF9C5700"/>
      <name val="Calibri"/>
      <family val="2"/>
      <scheme val="minor"/>
    </font>
  </fonts>
  <fills count="35">
    <fill>
      <patternFill patternType="none"/>
    </fill>
    <fill>
      <patternFill patternType="gray125"/>
    </fill>
    <fill>
      <patternFill patternType="solid">
        <fgColor theme="9" tint="-0.249977111117893"/>
        <bgColor rgb="FF385623"/>
      </patternFill>
    </fill>
    <fill>
      <patternFill patternType="solid">
        <fgColor theme="9" tint="0.79998168889431442"/>
        <bgColor indexed="64"/>
      </patternFill>
    </fill>
    <fill>
      <patternFill patternType="solid">
        <fgColor theme="9" tint="0.79998168889431442"/>
        <bgColor theme="9" tint="0.79998168889431442"/>
      </patternFill>
    </fill>
    <fill>
      <patternFill patternType="solid">
        <fgColor theme="0"/>
        <bgColor rgb="FFE2EFD9"/>
      </patternFill>
    </fill>
    <fill>
      <patternFill patternType="solid">
        <fgColor theme="0"/>
        <bgColor theme="0"/>
      </patternFill>
    </fill>
    <fill>
      <patternFill patternType="solid">
        <fgColor theme="0"/>
        <bgColor indexed="64"/>
      </patternFill>
    </fill>
    <fill>
      <patternFill patternType="solid">
        <fgColor theme="9" tint="0.79998168889431442"/>
        <bgColor rgb="FFE2EFD9"/>
      </patternFill>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9" tint="0.79998168889431442"/>
        <bgColor theme="0"/>
      </patternFill>
    </fill>
    <fill>
      <patternFill patternType="solid">
        <fgColor rgb="FFFF7C80"/>
        <bgColor indexed="64"/>
      </patternFill>
    </fill>
    <fill>
      <patternFill patternType="solid">
        <fgColor theme="4" tint="0.59999389629810485"/>
        <bgColor indexed="64"/>
      </patternFill>
    </fill>
    <fill>
      <patternFill patternType="solid">
        <fgColor rgb="FFE2EFDA"/>
        <bgColor rgb="FF000000"/>
      </patternFill>
    </fill>
    <fill>
      <patternFill patternType="solid">
        <fgColor rgb="FF5A8C2A"/>
      </patternFill>
    </fill>
    <fill>
      <patternFill patternType="solid">
        <fgColor rgb="FFE9F0E2"/>
      </patternFill>
    </fill>
    <fill>
      <patternFill patternType="solid">
        <fgColor rgb="FFE07B39"/>
      </patternFill>
    </fill>
    <fill>
      <patternFill patternType="solid">
        <fgColor rgb="FFF8E2D3"/>
      </patternFill>
    </fill>
    <fill>
      <patternFill patternType="solid">
        <fgColor rgb="FFC95A5A"/>
      </patternFill>
    </fill>
    <fill>
      <patternFill patternType="solid">
        <fgColor rgb="FFF8D6D6"/>
      </patternFill>
    </fill>
    <fill>
      <patternFill patternType="solid">
        <fgColor rgb="FFDDE9D2"/>
      </patternFill>
    </fill>
    <fill>
      <patternFill patternType="solid">
        <fgColor theme="3" tint="-0.249977111117893"/>
        <bgColor indexed="64"/>
      </patternFill>
    </fill>
    <fill>
      <patternFill patternType="solid">
        <fgColor theme="3"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rgb="FFE2F0D9"/>
      </patternFill>
    </fill>
    <fill>
      <patternFill patternType="solid">
        <fgColor rgb="FFFDE9E7"/>
      </patternFill>
    </fill>
    <fill>
      <patternFill patternType="solid">
        <fgColor theme="9" tint="0.59999389629810485"/>
        <bgColor indexed="64"/>
      </patternFill>
    </fill>
    <fill>
      <patternFill patternType="solid">
        <fgColor theme="9" tint="0.59999389629810485"/>
        <bgColor theme="9" tint="0.79998168889431442"/>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EB9C"/>
      </patternFill>
    </fill>
  </fills>
  <borders count="46">
    <border>
      <left/>
      <right/>
      <top/>
      <bottom/>
      <diagonal/>
    </border>
    <border>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theme="9" tint="0.39997558519241921"/>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A9D08E"/>
      </bottom>
      <diagonal/>
    </border>
    <border>
      <left style="thin">
        <color rgb="FFB7C4A8"/>
      </left>
      <right style="thin">
        <color rgb="FFB7C4A8"/>
      </right>
      <top style="thin">
        <color rgb="FFB7C4A8"/>
      </top>
      <bottom style="thin">
        <color rgb="FFB7C4A8"/>
      </bottom>
      <diagonal/>
    </border>
    <border>
      <left style="thin">
        <color rgb="FFB7C4A8"/>
      </left>
      <right/>
      <top style="thin">
        <color rgb="FFB7C4A8"/>
      </top>
      <bottom/>
      <diagonal/>
    </border>
    <border>
      <left/>
      <right style="thin">
        <color rgb="FFB7C4A8"/>
      </right>
      <top style="thin">
        <color rgb="FFB7C4A8"/>
      </top>
      <bottom/>
      <diagonal/>
    </border>
    <border>
      <left style="thin">
        <color rgb="FFB7C4A8"/>
      </left>
      <right/>
      <top/>
      <bottom/>
      <diagonal/>
    </border>
    <border>
      <left/>
      <right style="thin">
        <color rgb="FFB7C4A8"/>
      </right>
      <top/>
      <bottom/>
      <diagonal/>
    </border>
    <border>
      <left style="thin">
        <color rgb="FFB7C4A8"/>
      </left>
      <right/>
      <top/>
      <bottom style="thin">
        <color rgb="FFB7C4A8"/>
      </bottom>
      <diagonal/>
    </border>
    <border>
      <left/>
      <right style="thin">
        <color rgb="FFB7C4A8"/>
      </right>
      <top/>
      <bottom style="thin">
        <color rgb="FFB7C4A8"/>
      </bottom>
      <diagonal/>
    </border>
    <border>
      <left style="thin">
        <color rgb="FFD9E1F2"/>
      </left>
      <right style="thin">
        <color rgb="FFD9E1F2"/>
      </right>
      <top style="thin">
        <color rgb="FFD9E1F2"/>
      </top>
      <bottom style="thin">
        <color rgb="FFD9E1F2"/>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bottom style="thin">
        <color theme="4" tint="0.39997558519241921"/>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rgb="FFABABAB"/>
      </right>
      <top style="thin">
        <color indexed="64"/>
      </top>
      <bottom style="thin">
        <color indexed="64"/>
      </bottom>
      <diagonal/>
    </border>
    <border>
      <left style="thin">
        <color rgb="FFABABAB"/>
      </left>
      <right style="thin">
        <color indexed="64"/>
      </right>
      <top style="thin">
        <color indexed="64"/>
      </top>
      <bottom style="thin">
        <color indexed="64"/>
      </bottom>
      <diagonal/>
    </border>
    <border>
      <left style="thin">
        <color indexed="64"/>
      </left>
      <right style="thin">
        <color indexed="64"/>
      </right>
      <top style="thin">
        <color indexed="65"/>
      </top>
      <bottom/>
      <diagonal/>
    </border>
    <border>
      <left style="thin">
        <color indexed="64"/>
      </left>
      <right style="thin">
        <color indexed="64"/>
      </right>
      <top style="thin">
        <color rgb="FFABABAB"/>
      </top>
      <bottom style="thin">
        <color indexed="64"/>
      </bottom>
      <diagonal/>
    </border>
    <border>
      <left/>
      <right style="thin">
        <color indexed="64"/>
      </right>
      <top style="thin">
        <color theme="9" tint="0.39997558519241921"/>
      </top>
      <bottom style="thin">
        <color indexed="64"/>
      </bottom>
      <diagonal/>
    </border>
    <border>
      <left style="thin">
        <color theme="4" tint="0.39997558519241921"/>
      </left>
      <right style="thin">
        <color indexed="64"/>
      </right>
      <top style="thin">
        <color indexed="64"/>
      </top>
      <bottom style="thin">
        <color indexed="64"/>
      </bottom>
      <diagonal/>
    </border>
    <border>
      <left style="thin">
        <color theme="4" tint="0.39997558519241921"/>
      </left>
      <right style="thin">
        <color indexed="64"/>
      </right>
      <top style="thin">
        <color theme="9" tint="0.39997558519241921"/>
      </top>
      <bottom style="thin">
        <color indexed="64"/>
      </bottom>
      <diagonal/>
    </border>
    <border>
      <left/>
      <right/>
      <top/>
      <bottom style="medium">
        <color indexed="64"/>
      </bottom>
      <diagonal/>
    </border>
    <border>
      <left/>
      <right/>
      <top/>
      <bottom style="medium">
        <color rgb="FF92D050"/>
      </bottom>
      <diagonal/>
    </border>
    <border>
      <left style="thin">
        <color theme="4" tint="0.39997558519241921"/>
      </left>
      <right/>
      <top style="thin">
        <color theme="4" tint="0.39997558519241921"/>
      </top>
      <bottom/>
      <diagonal/>
    </border>
  </borders>
  <cellStyleXfs count="3">
    <xf numFmtId="0" fontId="0" fillId="0" borderId="0"/>
    <xf numFmtId="0" fontId="7" fillId="0" borderId="0"/>
    <xf numFmtId="0" fontId="34" fillId="34" borderId="0" applyNumberFormat="0" applyBorder="0" applyAlignment="0" applyProtection="0"/>
  </cellStyleXfs>
  <cellXfs count="32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14" fontId="1" fillId="2" borderId="3" xfId="0" applyNumberFormat="1" applyFont="1" applyFill="1" applyBorder="1" applyAlignment="1">
      <alignment horizontal="center" vertical="center" wrapText="1"/>
    </xf>
    <xf numFmtId="14" fontId="1" fillId="2" borderId="0" xfId="0" applyNumberFormat="1"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left"/>
    </xf>
    <xf numFmtId="0" fontId="0" fillId="7" borderId="9" xfId="0" applyFill="1" applyBorder="1"/>
    <xf numFmtId="0" fontId="0" fillId="7" borderId="0" xfId="0" applyFill="1"/>
    <xf numFmtId="0" fontId="5" fillId="0" borderId="0" xfId="0" applyFont="1"/>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5" fillId="3" borderId="7" xfId="0" applyFont="1" applyFill="1" applyBorder="1" applyAlignment="1">
      <alignment horizontal="center" vertical="center"/>
    </xf>
    <xf numFmtId="0" fontId="6" fillId="3" borderId="7" xfId="0" applyFont="1" applyFill="1" applyBorder="1"/>
    <xf numFmtId="0" fontId="5" fillId="0" borderId="7" xfId="0" applyFont="1" applyBorder="1"/>
    <xf numFmtId="0" fontId="5" fillId="3" borderId="7" xfId="0" applyFont="1" applyFill="1" applyBorder="1"/>
    <xf numFmtId="0" fontId="5" fillId="3" borderId="8" xfId="0" applyFont="1" applyFill="1" applyBorder="1" applyAlignment="1">
      <alignment horizontal="center" vertical="center"/>
    </xf>
    <xf numFmtId="0" fontId="5" fillId="3" borderId="7" xfId="0" applyFont="1" applyFill="1" applyBorder="1" applyAlignment="1">
      <alignment horizontal="center"/>
    </xf>
    <xf numFmtId="14" fontId="5" fillId="3" borderId="7" xfId="0" applyNumberFormat="1" applyFont="1" applyFill="1" applyBorder="1" applyAlignment="1">
      <alignment horizontal="center"/>
    </xf>
    <xf numFmtId="0" fontId="5" fillId="3" borderId="7" xfId="0" applyFont="1" applyFill="1" applyBorder="1" applyAlignment="1">
      <alignment horizontal="left"/>
    </xf>
    <xf numFmtId="0" fontId="5" fillId="3" borderId="0" xfId="0" applyFont="1" applyFill="1"/>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7" xfId="0" applyFont="1" applyBorder="1" applyAlignment="1">
      <alignment horizontal="center"/>
    </xf>
    <xf numFmtId="14" fontId="5" fillId="0" borderId="7" xfId="0" applyNumberFormat="1" applyFont="1" applyBorder="1" applyAlignment="1">
      <alignment horizontal="center"/>
    </xf>
    <xf numFmtId="0" fontId="5" fillId="0" borderId="7" xfId="0" applyFont="1" applyBorder="1" applyAlignment="1">
      <alignment horizontal="left"/>
    </xf>
    <xf numFmtId="0" fontId="5" fillId="3" borderId="8" xfId="0" applyFont="1" applyFill="1" applyBorder="1" applyAlignment="1">
      <alignment horizontal="left" vertical="center"/>
    </xf>
    <xf numFmtId="0" fontId="5" fillId="10" borderId="8" xfId="0" applyFont="1" applyFill="1" applyBorder="1" applyAlignment="1">
      <alignment horizontal="center" vertical="center"/>
    </xf>
    <xf numFmtId="14" fontId="5" fillId="3" borderId="7" xfId="0" applyNumberFormat="1" applyFont="1" applyFill="1" applyBorder="1" applyAlignment="1">
      <alignment horizontal="left"/>
    </xf>
    <xf numFmtId="14" fontId="5" fillId="9" borderId="7" xfId="0" applyNumberFormat="1" applyFont="1" applyFill="1" applyBorder="1" applyAlignment="1">
      <alignment horizontal="left"/>
    </xf>
    <xf numFmtId="0" fontId="5" fillId="0" borderId="0" xfId="0" applyFont="1" applyAlignment="1">
      <alignment horizontal="center" vertical="center"/>
    </xf>
    <xf numFmtId="0" fontId="5" fillId="0" borderId="11" xfId="0" applyFont="1" applyBorder="1"/>
    <xf numFmtId="0" fontId="5" fillId="0" borderId="0" xfId="0" applyFont="1" applyAlignment="1">
      <alignment horizontal="center"/>
    </xf>
    <xf numFmtId="0" fontId="5" fillId="0" borderId="0" xfId="0" applyFont="1" applyAlignment="1">
      <alignment horizontal="left"/>
    </xf>
    <xf numFmtId="0" fontId="5" fillId="7" borderId="0" xfId="0" applyFont="1" applyFill="1"/>
    <xf numFmtId="0" fontId="5" fillId="7" borderId="7" xfId="0" applyFont="1" applyFill="1" applyBorder="1" applyAlignment="1">
      <alignment horizontal="center" vertical="center"/>
    </xf>
    <xf numFmtId="0" fontId="5" fillId="7" borderId="7" xfId="0" applyFont="1" applyFill="1" applyBorder="1"/>
    <xf numFmtId="0" fontId="5" fillId="7" borderId="8" xfId="0" applyFont="1" applyFill="1" applyBorder="1" applyAlignment="1">
      <alignment horizontal="center" vertical="center"/>
    </xf>
    <xf numFmtId="0" fontId="5" fillId="7" borderId="7" xfId="0" applyFont="1" applyFill="1" applyBorder="1" applyAlignment="1">
      <alignment horizontal="center"/>
    </xf>
    <xf numFmtId="14" fontId="5" fillId="7" borderId="7" xfId="0" applyNumberFormat="1" applyFont="1" applyFill="1" applyBorder="1" applyAlignment="1">
      <alignment horizontal="center"/>
    </xf>
    <xf numFmtId="0" fontId="5" fillId="7" borderId="7" xfId="0" applyFont="1" applyFill="1" applyBorder="1" applyAlignment="1">
      <alignment horizontal="left"/>
    </xf>
    <xf numFmtId="14" fontId="5" fillId="7" borderId="7" xfId="0" applyNumberFormat="1" applyFont="1" applyFill="1" applyBorder="1" applyAlignment="1">
      <alignment horizontal="left"/>
    </xf>
    <xf numFmtId="0" fontId="5" fillId="11" borderId="7" xfId="0" applyFont="1" applyFill="1" applyBorder="1" applyAlignment="1">
      <alignment horizontal="left"/>
    </xf>
    <xf numFmtId="14" fontId="5" fillId="11" borderId="7" xfId="0" applyNumberFormat="1" applyFont="1" applyFill="1" applyBorder="1" applyAlignment="1">
      <alignment horizontal="left"/>
    </xf>
    <xf numFmtId="14" fontId="5" fillId="3" borderId="7" xfId="0" applyNumberFormat="1" applyFont="1" applyFill="1" applyBorder="1" applyAlignment="1">
      <alignment horizontal="center" vertical="center"/>
    </xf>
    <xf numFmtId="14" fontId="3" fillId="0" borderId="5" xfId="0" applyNumberFormat="1" applyFont="1" applyBorder="1" applyAlignment="1">
      <alignment horizontal="left"/>
    </xf>
    <xf numFmtId="1" fontId="7" fillId="0" borderId="10" xfId="1" applyNumberFormat="1" applyBorder="1" applyAlignment="1">
      <alignment horizontal="left" vertical="center"/>
    </xf>
    <xf numFmtId="0" fontId="3" fillId="0" borderId="4" xfId="0" applyFont="1" applyBorder="1" applyAlignment="1">
      <alignment horizontal="left" vertical="center"/>
    </xf>
    <xf numFmtId="1" fontId="3" fillId="0" borderId="7" xfId="0" applyNumberFormat="1" applyFont="1" applyBorder="1" applyAlignment="1">
      <alignment horizontal="left" vertical="center"/>
    </xf>
    <xf numFmtId="0" fontId="3" fillId="0" borderId="8" xfId="0" applyFont="1" applyBorder="1" applyAlignment="1">
      <alignment horizontal="left" vertical="center"/>
    </xf>
    <xf numFmtId="0" fontId="3" fillId="13" borderId="4" xfId="0" applyFont="1" applyFill="1" applyBorder="1" applyAlignment="1">
      <alignment horizontal="left" vertical="center"/>
    </xf>
    <xf numFmtId="1" fontId="3" fillId="13" borderId="7" xfId="0" applyNumberFormat="1" applyFont="1" applyFill="1" applyBorder="1" applyAlignment="1">
      <alignment horizontal="left" vertical="center"/>
    </xf>
    <xf numFmtId="1" fontId="3" fillId="0" borderId="7" xfId="0" applyNumberFormat="1" applyFont="1" applyBorder="1" applyAlignment="1">
      <alignment horizontal="left" vertical="center" wrapText="1"/>
    </xf>
    <xf numFmtId="1" fontId="3" fillId="0" borderId="10" xfId="0" applyNumberFormat="1" applyFont="1" applyBorder="1" applyAlignment="1">
      <alignment horizontal="left" vertical="center"/>
    </xf>
    <xf numFmtId="1" fontId="3" fillId="14" borderId="7" xfId="0" applyNumberFormat="1" applyFont="1" applyFill="1" applyBorder="1" applyAlignment="1">
      <alignment horizontal="left" vertical="center"/>
    </xf>
    <xf numFmtId="0" fontId="3" fillId="5" borderId="13" xfId="0" applyFont="1" applyFill="1" applyBorder="1" applyAlignment="1">
      <alignment horizontal="left" vertical="center"/>
    </xf>
    <xf numFmtId="0" fontId="3" fillId="6" borderId="13" xfId="0" applyFont="1" applyFill="1" applyBorder="1" applyAlignment="1">
      <alignment horizontal="left" vertical="center"/>
    </xf>
    <xf numFmtId="0" fontId="3" fillId="8" borderId="8" xfId="0" applyFont="1" applyFill="1" applyBorder="1" applyAlignment="1">
      <alignment horizontal="left" vertical="center"/>
    </xf>
    <xf numFmtId="0" fontId="3" fillId="8" borderId="7" xfId="0" applyFont="1" applyFill="1" applyBorder="1" applyAlignment="1">
      <alignment horizontal="left" vertical="center"/>
    </xf>
    <xf numFmtId="0" fontId="3" fillId="5" borderId="4" xfId="0" applyFont="1" applyFill="1" applyBorder="1" applyAlignment="1">
      <alignment horizontal="left" vertical="center"/>
    </xf>
    <xf numFmtId="0" fontId="3" fillId="6" borderId="7" xfId="0" applyFont="1" applyFill="1" applyBorder="1" applyAlignment="1">
      <alignment horizontal="left" vertical="center"/>
    </xf>
    <xf numFmtId="1" fontId="3" fillId="7" borderId="7" xfId="0" applyNumberFormat="1" applyFont="1" applyFill="1" applyBorder="1" applyAlignment="1">
      <alignment horizontal="left" vertical="center"/>
    </xf>
    <xf numFmtId="0" fontId="3" fillId="5" borderId="8" xfId="0" applyFont="1" applyFill="1" applyBorder="1" applyAlignment="1">
      <alignment horizontal="left" vertical="center"/>
    </xf>
    <xf numFmtId="0" fontId="3" fillId="6" borderId="8" xfId="0" applyFont="1" applyFill="1" applyBorder="1" applyAlignment="1">
      <alignment horizontal="left" vertical="center"/>
    </xf>
    <xf numFmtId="1" fontId="3" fillId="7" borderId="10" xfId="0" applyNumberFormat="1" applyFont="1" applyFill="1" applyBorder="1" applyAlignment="1">
      <alignment horizontal="left" vertical="center"/>
    </xf>
    <xf numFmtId="1" fontId="3" fillId="3" borderId="7" xfId="0" applyNumberFormat="1" applyFont="1" applyFill="1" applyBorder="1" applyAlignment="1">
      <alignment horizontal="left" vertical="center"/>
    </xf>
    <xf numFmtId="0" fontId="3" fillId="8" borderId="4" xfId="0" applyFont="1" applyFill="1" applyBorder="1" applyAlignment="1">
      <alignment horizontal="left" vertical="center"/>
    </xf>
    <xf numFmtId="0" fontId="3" fillId="12" borderId="5" xfId="0" applyFont="1" applyFill="1" applyBorder="1" applyAlignment="1">
      <alignment horizontal="left" vertical="center"/>
    </xf>
    <xf numFmtId="1" fontId="3" fillId="3" borderId="5" xfId="0" applyNumberFormat="1" applyFont="1" applyFill="1" applyBorder="1" applyAlignment="1">
      <alignment horizontal="left" vertical="center"/>
    </xf>
    <xf numFmtId="0" fontId="3" fillId="12" borderId="7" xfId="0" applyFont="1" applyFill="1" applyBorder="1" applyAlignment="1">
      <alignment horizontal="left" vertical="center"/>
    </xf>
    <xf numFmtId="0" fontId="3" fillId="8" borderId="11" xfId="0" applyFont="1" applyFill="1" applyBorder="1" applyAlignment="1">
      <alignment horizontal="left" vertical="center"/>
    </xf>
    <xf numFmtId="0" fontId="3" fillId="6" borderId="12" xfId="0" applyFont="1" applyFill="1" applyBorder="1" applyAlignment="1">
      <alignment horizontal="left" vertical="center"/>
    </xf>
    <xf numFmtId="1" fontId="3" fillId="0" borderId="10" xfId="0" applyNumberFormat="1" applyFont="1" applyBorder="1" applyAlignment="1">
      <alignment horizontal="left" vertical="center" wrapText="1"/>
    </xf>
    <xf numFmtId="0" fontId="3" fillId="8" borderId="0" xfId="0" applyFont="1" applyFill="1" applyAlignment="1">
      <alignment horizontal="left" vertical="center"/>
    </xf>
    <xf numFmtId="0" fontId="3" fillId="0" borderId="5" xfId="0" applyFont="1" applyBorder="1" applyAlignment="1">
      <alignment horizontal="left" vertical="center"/>
    </xf>
    <xf numFmtId="14" fontId="3" fillId="0" borderId="5" xfId="0" applyNumberFormat="1" applyFont="1" applyBorder="1" applyAlignment="1">
      <alignment horizontal="left" vertical="center"/>
    </xf>
    <xf numFmtId="14" fontId="3" fillId="4" borderId="6" xfId="0" applyNumberFormat="1" applyFont="1" applyFill="1" applyBorder="1" applyAlignment="1">
      <alignment horizontal="left" vertical="center"/>
    </xf>
    <xf numFmtId="14" fontId="3" fillId="4" borderId="5" xfId="0" applyNumberFormat="1" applyFont="1" applyFill="1" applyBorder="1" applyAlignment="1">
      <alignment horizontal="left"/>
    </xf>
    <xf numFmtId="14" fontId="3" fillId="4" borderId="5" xfId="0" applyNumberFormat="1" applyFont="1" applyFill="1" applyBorder="1" applyAlignment="1">
      <alignment horizontal="left" vertical="center"/>
    </xf>
    <xf numFmtId="1" fontId="3" fillId="0" borderId="5" xfId="0" applyNumberFormat="1" applyFont="1" applyBorder="1" applyAlignment="1">
      <alignment horizontal="left" vertical="center"/>
    </xf>
    <xf numFmtId="0" fontId="3" fillId="0" borderId="7" xfId="0" applyFont="1" applyBorder="1" applyAlignment="1">
      <alignment horizontal="left" vertical="center"/>
    </xf>
    <xf numFmtId="14" fontId="3" fillId="0" borderId="7" xfId="0" applyNumberFormat="1" applyFont="1" applyBorder="1" applyAlignment="1">
      <alignment horizontal="left" vertical="center"/>
    </xf>
    <xf numFmtId="0" fontId="3" fillId="13" borderId="5" xfId="0" applyFont="1" applyFill="1" applyBorder="1" applyAlignment="1">
      <alignment horizontal="left" vertical="center"/>
    </xf>
    <xf numFmtId="14" fontId="3" fillId="13" borderId="5" xfId="0" applyNumberFormat="1" applyFont="1" applyFill="1" applyBorder="1" applyAlignment="1">
      <alignment horizontal="left" vertical="center"/>
    </xf>
    <xf numFmtId="14" fontId="3" fillId="13" borderId="7" xfId="0" applyNumberFormat="1" applyFont="1" applyFill="1" applyBorder="1" applyAlignment="1">
      <alignment horizontal="left" vertical="center"/>
    </xf>
    <xf numFmtId="14" fontId="3" fillId="13" borderId="5" xfId="0" applyNumberFormat="1" applyFont="1" applyFill="1" applyBorder="1" applyAlignment="1">
      <alignment horizontal="left"/>
    </xf>
    <xf numFmtId="1" fontId="3" fillId="13" borderId="5" xfId="0" applyNumberFormat="1" applyFont="1" applyFill="1" applyBorder="1" applyAlignment="1">
      <alignment horizontal="left" vertical="center"/>
    </xf>
    <xf numFmtId="14" fontId="3" fillId="0" borderId="7" xfId="0" applyNumberFormat="1" applyFont="1" applyBorder="1" applyAlignment="1">
      <alignment horizontal="left"/>
    </xf>
    <xf numFmtId="0" fontId="3" fillId="3" borderId="7" xfId="0" applyFont="1" applyFill="1" applyBorder="1" applyAlignment="1">
      <alignment horizontal="left" vertical="center"/>
    </xf>
    <xf numFmtId="0" fontId="3" fillId="9" borderId="5" xfId="0" applyFont="1" applyFill="1" applyBorder="1" applyAlignment="1">
      <alignment horizontal="left" vertical="center"/>
    </xf>
    <xf numFmtId="0" fontId="3" fillId="14" borderId="8" xfId="0" applyFont="1" applyFill="1" applyBorder="1" applyAlignment="1">
      <alignment horizontal="left" vertical="center"/>
    </xf>
    <xf numFmtId="0" fontId="3" fillId="14" borderId="5" xfId="0" applyFont="1" applyFill="1" applyBorder="1" applyAlignment="1">
      <alignment horizontal="left" vertical="center"/>
    </xf>
    <xf numFmtId="0" fontId="3" fillId="14" borderId="7" xfId="0" applyFont="1" applyFill="1" applyBorder="1" applyAlignment="1">
      <alignment horizontal="left" vertical="center"/>
    </xf>
    <xf numFmtId="14" fontId="3" fillId="14" borderId="7" xfId="0" applyNumberFormat="1" applyFont="1" applyFill="1" applyBorder="1" applyAlignment="1">
      <alignment horizontal="left" vertical="center"/>
    </xf>
    <xf numFmtId="14" fontId="3" fillId="14" borderId="5" xfId="0" applyNumberFormat="1" applyFont="1" applyFill="1" applyBorder="1" applyAlignment="1">
      <alignment horizontal="left"/>
    </xf>
    <xf numFmtId="14" fontId="3" fillId="14" borderId="5" xfId="0" applyNumberFormat="1" applyFont="1" applyFill="1" applyBorder="1" applyAlignment="1">
      <alignment horizontal="left" vertical="center"/>
    </xf>
    <xf numFmtId="1" fontId="3" fillId="14" borderId="7" xfId="0" applyNumberFormat="1" applyFont="1" applyFill="1" applyBorder="1" applyAlignment="1">
      <alignment horizontal="left" vertical="center" wrapText="1"/>
    </xf>
    <xf numFmtId="3" fontId="3" fillId="0" borderId="5" xfId="0" applyNumberFormat="1" applyFont="1" applyBorder="1" applyAlignment="1">
      <alignment horizontal="left" vertical="center"/>
    </xf>
    <xf numFmtId="0" fontId="3" fillId="8" borderId="14" xfId="0" applyFont="1" applyFill="1" applyBorder="1" applyAlignment="1">
      <alignment horizontal="left" vertical="center"/>
    </xf>
    <xf numFmtId="14" fontId="3" fillId="8" borderId="7" xfId="0" applyNumberFormat="1" applyFont="1" applyFill="1" applyBorder="1" applyAlignment="1">
      <alignment horizontal="left"/>
    </xf>
    <xf numFmtId="0" fontId="3" fillId="5" borderId="14" xfId="0" applyFont="1" applyFill="1" applyBorder="1" applyAlignment="1">
      <alignment horizontal="left" vertical="center"/>
    </xf>
    <xf numFmtId="0" fontId="3" fillId="7" borderId="7" xfId="0" applyFont="1" applyFill="1" applyBorder="1" applyAlignment="1">
      <alignment horizontal="left" vertical="center"/>
    </xf>
    <xf numFmtId="14" fontId="3" fillId="7" borderId="7" xfId="0" applyNumberFormat="1" applyFont="1" applyFill="1" applyBorder="1" applyAlignment="1">
      <alignment horizontal="left" vertical="center"/>
    </xf>
    <xf numFmtId="14" fontId="3" fillId="7" borderId="7" xfId="0" applyNumberFormat="1" applyFont="1" applyFill="1" applyBorder="1" applyAlignment="1">
      <alignment horizontal="left"/>
    </xf>
    <xf numFmtId="14" fontId="3" fillId="3" borderId="7" xfId="0" applyNumberFormat="1" applyFont="1" applyFill="1" applyBorder="1" applyAlignment="1">
      <alignment horizontal="left" vertical="center"/>
    </xf>
    <xf numFmtId="14" fontId="3" fillId="3" borderId="7" xfId="0" applyNumberFormat="1" applyFont="1" applyFill="1" applyBorder="1" applyAlignment="1">
      <alignment horizontal="left"/>
    </xf>
    <xf numFmtId="0" fontId="3" fillId="7" borderId="5" xfId="0" applyFont="1" applyFill="1" applyBorder="1" applyAlignment="1">
      <alignment horizontal="left" vertical="center"/>
    </xf>
    <xf numFmtId="0" fontId="3" fillId="3" borderId="5" xfId="0" applyFont="1" applyFill="1" applyBorder="1" applyAlignment="1">
      <alignment horizontal="left" vertical="center"/>
    </xf>
    <xf numFmtId="14" fontId="3" fillId="3" borderId="5" xfId="0" applyNumberFormat="1" applyFont="1" applyFill="1" applyBorder="1" applyAlignment="1">
      <alignment horizontal="left" vertical="center"/>
    </xf>
    <xf numFmtId="14" fontId="3" fillId="3" borderId="5" xfId="0" applyNumberFormat="1" applyFont="1" applyFill="1" applyBorder="1" applyAlignment="1">
      <alignment horizontal="left"/>
    </xf>
    <xf numFmtId="3" fontId="3" fillId="12" borderId="7" xfId="0" applyNumberFormat="1" applyFont="1" applyFill="1" applyBorder="1" applyAlignment="1">
      <alignment horizontal="left" vertical="center"/>
    </xf>
    <xf numFmtId="0" fontId="3" fillId="5" borderId="7" xfId="0" applyFont="1" applyFill="1" applyBorder="1" applyAlignment="1">
      <alignment horizontal="left" vertical="center"/>
    </xf>
    <xf numFmtId="0" fontId="3" fillId="0" borderId="12" xfId="0" applyFont="1" applyBorder="1" applyAlignment="1">
      <alignment horizontal="left" vertical="center"/>
    </xf>
    <xf numFmtId="0" fontId="3" fillId="3" borderId="12" xfId="0" applyFont="1" applyFill="1" applyBorder="1" applyAlignment="1">
      <alignment horizontal="left" vertical="center"/>
    </xf>
    <xf numFmtId="0" fontId="3" fillId="0" borderId="10" xfId="0" applyFont="1" applyBorder="1" applyAlignment="1">
      <alignment horizontal="left" vertical="center"/>
    </xf>
    <xf numFmtId="14" fontId="3" fillId="0" borderId="12" xfId="0" applyNumberFormat="1" applyFont="1" applyBorder="1" applyAlignment="1">
      <alignment horizontal="left" vertical="center"/>
    </xf>
    <xf numFmtId="14" fontId="3" fillId="3" borderId="12" xfId="0" applyNumberFormat="1" applyFont="1" applyFill="1" applyBorder="1" applyAlignment="1">
      <alignment horizontal="left"/>
    </xf>
    <xf numFmtId="14" fontId="3" fillId="3" borderId="12" xfId="0" applyNumberFormat="1" applyFont="1" applyFill="1" applyBorder="1" applyAlignment="1">
      <alignment horizontal="left" vertical="center"/>
    </xf>
    <xf numFmtId="14" fontId="3" fillId="0" borderId="10" xfId="0" applyNumberFormat="1" applyFont="1" applyBorder="1" applyAlignment="1">
      <alignment horizontal="left" vertical="center"/>
    </xf>
    <xf numFmtId="14" fontId="3" fillId="0" borderId="12" xfId="0" quotePrefix="1" applyNumberFormat="1" applyFont="1" applyBorder="1" applyAlignment="1">
      <alignment horizontal="left" vertical="center"/>
    </xf>
    <xf numFmtId="0" fontId="3" fillId="0" borderId="12" xfId="0" applyFont="1" applyBorder="1" applyAlignment="1">
      <alignment horizontal="left" vertical="center" wrapText="1"/>
    </xf>
    <xf numFmtId="0" fontId="3" fillId="0" borderId="17" xfId="0" applyFont="1" applyBorder="1" applyAlignment="1">
      <alignment horizontal="left"/>
    </xf>
    <xf numFmtId="1" fontId="8" fillId="0" borderId="7" xfId="1" applyNumberFormat="1" applyFont="1" applyBorder="1" applyAlignment="1">
      <alignment horizontal="left" vertical="center"/>
    </xf>
    <xf numFmtId="0" fontId="8" fillId="0" borderId="18" xfId="0" applyFont="1" applyBorder="1" applyAlignment="1">
      <alignment horizontal="left" vertical="center"/>
    </xf>
    <xf numFmtId="0" fontId="3" fillId="0" borderId="18" xfId="0" applyFont="1" applyBorder="1" applyAlignment="1">
      <alignment horizontal="left" vertical="center"/>
    </xf>
    <xf numFmtId="0" fontId="3" fillId="0" borderId="18" xfId="0" applyFont="1" applyBorder="1" applyAlignment="1">
      <alignment horizontal="left"/>
    </xf>
    <xf numFmtId="0" fontId="3" fillId="0" borderId="0" xfId="0" applyFont="1" applyAlignment="1">
      <alignment horizontal="left"/>
    </xf>
    <xf numFmtId="0" fontId="8" fillId="0" borderId="17" xfId="0" applyFont="1" applyBorder="1" applyAlignment="1">
      <alignment horizontal="left"/>
    </xf>
    <xf numFmtId="3" fontId="3" fillId="0" borderId="17" xfId="0" applyNumberFormat="1" applyFont="1" applyBorder="1" applyAlignment="1">
      <alignment horizontal="left"/>
    </xf>
    <xf numFmtId="0" fontId="8" fillId="0" borderId="17" xfId="1" applyFont="1" applyBorder="1" applyAlignment="1">
      <alignment horizontal="left" wrapText="1"/>
    </xf>
    <xf numFmtId="0" fontId="8" fillId="0" borderId="17" xfId="1" applyFont="1" applyBorder="1" applyAlignment="1">
      <alignment horizontal="left"/>
    </xf>
    <xf numFmtId="1" fontId="8" fillId="0" borderId="10" xfId="1" applyNumberFormat="1" applyFont="1" applyBorder="1" applyAlignment="1">
      <alignment horizontal="left" vertical="center"/>
    </xf>
    <xf numFmtId="0" fontId="3" fillId="0" borderId="15" xfId="0" applyFont="1" applyBorder="1" applyAlignment="1">
      <alignment horizontal="left" vertical="center" wrapText="1"/>
    </xf>
    <xf numFmtId="0" fontId="3" fillId="0" borderId="15" xfId="0" applyFont="1" applyBorder="1" applyAlignment="1">
      <alignment horizontal="left" vertical="center"/>
    </xf>
    <xf numFmtId="0" fontId="3" fillId="0" borderId="16" xfId="0" applyFont="1" applyBorder="1" applyAlignment="1">
      <alignment horizontal="left"/>
    </xf>
    <xf numFmtId="0" fontId="3" fillId="0" borderId="16" xfId="0" applyFont="1" applyBorder="1" applyAlignment="1">
      <alignment horizontal="left" vertical="center" wrapText="1"/>
    </xf>
    <xf numFmtId="0" fontId="3" fillId="0" borderId="16" xfId="0" applyFont="1" applyBorder="1" applyAlignment="1">
      <alignment horizontal="left" vertical="center"/>
    </xf>
    <xf numFmtId="2" fontId="3" fillId="0" borderId="16" xfId="0" applyNumberFormat="1" applyFont="1" applyBorder="1" applyAlignment="1">
      <alignment horizontal="left" vertical="center"/>
    </xf>
    <xf numFmtId="0" fontId="3" fillId="0" borderId="7" xfId="0" applyFont="1" applyBorder="1" applyAlignment="1">
      <alignment horizontal="left"/>
    </xf>
    <xf numFmtId="0" fontId="8" fillId="0" borderId="0" xfId="1" applyFont="1" applyAlignment="1">
      <alignment horizontal="left" vertical="center"/>
    </xf>
    <xf numFmtId="1" fontId="2" fillId="0" borderId="7" xfId="0" applyNumberFormat="1" applyFont="1" applyBorder="1" applyAlignment="1">
      <alignment horizontal="left" vertical="center"/>
    </xf>
    <xf numFmtId="1" fontId="2" fillId="0" borderId="7" xfId="0" applyNumberFormat="1" applyFont="1" applyBorder="1" applyAlignment="1">
      <alignment horizontal="left" vertical="center" wrapText="1"/>
    </xf>
    <xf numFmtId="1" fontId="2" fillId="0" borderId="10" xfId="0" applyNumberFormat="1" applyFont="1" applyBorder="1" applyAlignment="1">
      <alignment horizontal="left" vertical="center"/>
    </xf>
    <xf numFmtId="0" fontId="2" fillId="0" borderId="17" xfId="0" applyFont="1" applyBorder="1" applyAlignment="1">
      <alignment horizontal="left"/>
    </xf>
    <xf numFmtId="1" fontId="2" fillId="7" borderId="12" xfId="0" applyNumberFormat="1" applyFont="1" applyFill="1" applyBorder="1" applyAlignment="1">
      <alignment horizontal="left" vertical="center"/>
    </xf>
    <xf numFmtId="0" fontId="2" fillId="0" borderId="0" xfId="0" applyFont="1" applyAlignment="1">
      <alignment horizontal="left"/>
    </xf>
    <xf numFmtId="0" fontId="2" fillId="0" borderId="0" xfId="0" applyFont="1" applyAlignment="1">
      <alignment horizontal="left" vertical="center"/>
    </xf>
    <xf numFmtId="1" fontId="2" fillId="0" borderId="7" xfId="1" applyNumberFormat="1" applyFont="1" applyBorder="1" applyAlignment="1">
      <alignment horizontal="left" vertical="center"/>
    </xf>
    <xf numFmtId="0" fontId="2" fillId="0" borderId="17" xfId="1" applyFont="1" applyBorder="1" applyAlignment="1">
      <alignment horizontal="left"/>
    </xf>
    <xf numFmtId="1" fontId="2" fillId="0" borderId="10" xfId="1" applyNumberFormat="1" applyFont="1" applyBorder="1" applyAlignment="1">
      <alignment horizontal="left" vertical="center"/>
    </xf>
    <xf numFmtId="0" fontId="2" fillId="0" borderId="0" xfId="0" applyFont="1"/>
    <xf numFmtId="14" fontId="2" fillId="0" borderId="0" xfId="0" applyNumberFormat="1" applyFont="1" applyAlignment="1">
      <alignment horizontal="left"/>
    </xf>
    <xf numFmtId="0" fontId="2" fillId="0" borderId="8" xfId="0" applyFont="1" applyBorder="1" applyAlignment="1">
      <alignment horizontal="left" vertical="center"/>
    </xf>
    <xf numFmtId="0" fontId="2" fillId="0" borderId="5" xfId="0" applyFont="1" applyBorder="1" applyAlignment="1">
      <alignment horizontal="left" vertical="center"/>
    </xf>
    <xf numFmtId="0" fontId="2" fillId="0" borderId="7" xfId="0" applyFont="1" applyBorder="1" applyAlignment="1">
      <alignment horizontal="left" vertical="center"/>
    </xf>
    <xf numFmtId="14" fontId="2" fillId="0" borderId="7" xfId="0" applyNumberFormat="1" applyFont="1" applyBorder="1" applyAlignment="1">
      <alignment horizontal="left" vertical="center"/>
    </xf>
    <xf numFmtId="14" fontId="2" fillId="0" borderId="5" xfId="0" applyNumberFormat="1" applyFont="1" applyBorder="1" applyAlignment="1">
      <alignment horizontal="left"/>
    </xf>
    <xf numFmtId="14" fontId="2" fillId="0" borderId="5" xfId="0" applyNumberFormat="1" applyFont="1" applyBorder="1" applyAlignment="1">
      <alignment horizontal="left" vertical="center"/>
    </xf>
    <xf numFmtId="1" fontId="2" fillId="0" borderId="5" xfId="0" applyNumberFormat="1" applyFont="1" applyBorder="1" applyAlignment="1">
      <alignment horizontal="left" vertical="center"/>
    </xf>
    <xf numFmtId="164" fontId="2" fillId="0" borderId="7" xfId="0" applyNumberFormat="1" applyFont="1" applyBorder="1" applyAlignment="1">
      <alignment horizontal="left" vertical="center"/>
    </xf>
    <xf numFmtId="0" fontId="2" fillId="5" borderId="13" xfId="0" applyFont="1" applyFill="1" applyBorder="1" applyAlignment="1">
      <alignment horizontal="left" vertical="center"/>
    </xf>
    <xf numFmtId="0" fontId="2" fillId="6" borderId="13" xfId="0" applyFont="1" applyFill="1" applyBorder="1" applyAlignment="1">
      <alignment horizontal="left" vertical="center"/>
    </xf>
    <xf numFmtId="0" fontId="2" fillId="6" borderId="12" xfId="0" applyFont="1" applyFill="1" applyBorder="1" applyAlignment="1">
      <alignment horizontal="left" vertical="center"/>
    </xf>
    <xf numFmtId="0" fontId="2" fillId="7" borderId="12" xfId="0" applyFont="1" applyFill="1" applyBorder="1" applyAlignment="1">
      <alignment horizontal="left" vertical="center"/>
    </xf>
    <xf numFmtId="0" fontId="2" fillId="7" borderId="10" xfId="0" applyFont="1" applyFill="1" applyBorder="1" applyAlignment="1">
      <alignment horizontal="left" vertical="center"/>
    </xf>
    <xf numFmtId="14" fontId="2" fillId="7" borderId="12" xfId="0" applyNumberFormat="1" applyFont="1" applyFill="1" applyBorder="1" applyAlignment="1">
      <alignment horizontal="left" vertical="center"/>
    </xf>
    <xf numFmtId="14" fontId="2" fillId="7" borderId="10" xfId="0" applyNumberFormat="1" applyFont="1" applyFill="1" applyBorder="1" applyAlignment="1">
      <alignment horizontal="left"/>
    </xf>
    <xf numFmtId="14" fontId="2" fillId="7" borderId="10" xfId="0" applyNumberFormat="1" applyFont="1" applyFill="1" applyBorder="1" applyAlignment="1">
      <alignment horizontal="left" vertical="center"/>
    </xf>
    <xf numFmtId="0" fontId="2" fillId="8" borderId="8" xfId="0" applyFont="1" applyFill="1" applyBorder="1" applyAlignment="1">
      <alignment horizontal="left" vertical="center"/>
    </xf>
    <xf numFmtId="0" fontId="2" fillId="12" borderId="7" xfId="0" applyFont="1" applyFill="1" applyBorder="1" applyAlignment="1">
      <alignment horizontal="left" vertical="center"/>
    </xf>
    <xf numFmtId="0" fontId="2" fillId="3" borderId="7" xfId="0" applyFont="1" applyFill="1" applyBorder="1" applyAlignment="1">
      <alignment horizontal="left" vertical="center"/>
    </xf>
    <xf numFmtId="14" fontId="2" fillId="3" borderId="7" xfId="0" applyNumberFormat="1" applyFont="1" applyFill="1" applyBorder="1" applyAlignment="1">
      <alignment horizontal="left" vertical="center"/>
    </xf>
    <xf numFmtId="14" fontId="2" fillId="3" borderId="7" xfId="0" applyNumberFormat="1" applyFont="1" applyFill="1" applyBorder="1" applyAlignment="1">
      <alignment horizontal="left"/>
    </xf>
    <xf numFmtId="1" fontId="2" fillId="3" borderId="7" xfId="0" applyNumberFormat="1" applyFont="1" applyFill="1" applyBorder="1" applyAlignment="1">
      <alignment horizontal="left" vertical="center"/>
    </xf>
    <xf numFmtId="0" fontId="2" fillId="5" borderId="8" xfId="0" applyFont="1" applyFill="1" applyBorder="1" applyAlignment="1">
      <alignment horizontal="left" vertical="center"/>
    </xf>
    <xf numFmtId="0" fontId="2" fillId="6" borderId="7" xfId="0" applyFont="1" applyFill="1" applyBorder="1" applyAlignment="1">
      <alignment horizontal="left" vertical="center"/>
    </xf>
    <xf numFmtId="14" fontId="2" fillId="7" borderId="7" xfId="0" applyNumberFormat="1" applyFont="1" applyFill="1" applyBorder="1" applyAlignment="1">
      <alignment horizontal="left" vertical="center"/>
    </xf>
    <xf numFmtId="14" fontId="2" fillId="0" borderId="7" xfId="0" applyNumberFormat="1" applyFont="1" applyBorder="1" applyAlignment="1">
      <alignment horizontal="left"/>
    </xf>
    <xf numFmtId="0" fontId="2" fillId="8" borderId="11" xfId="0" applyFont="1" applyFill="1" applyBorder="1" applyAlignment="1">
      <alignment horizontal="left" vertical="center"/>
    </xf>
    <xf numFmtId="0" fontId="2" fillId="0" borderId="12" xfId="0" applyFont="1" applyBorder="1" applyAlignment="1">
      <alignment horizontal="left" vertical="center"/>
    </xf>
    <xf numFmtId="0" fontId="2" fillId="3" borderId="12" xfId="0" applyFont="1" applyFill="1" applyBorder="1" applyAlignment="1">
      <alignment horizontal="left" vertical="center"/>
    </xf>
    <xf numFmtId="0" fontId="2" fillId="0" borderId="10" xfId="0" applyFont="1" applyBorder="1" applyAlignment="1">
      <alignment horizontal="left" vertical="center"/>
    </xf>
    <xf numFmtId="14" fontId="2" fillId="3" borderId="12" xfId="0" applyNumberFormat="1" applyFont="1" applyFill="1" applyBorder="1" applyAlignment="1">
      <alignment horizontal="left"/>
    </xf>
    <xf numFmtId="14" fontId="2" fillId="3" borderId="12" xfId="0" applyNumberFormat="1" applyFont="1" applyFill="1" applyBorder="1" applyAlignment="1">
      <alignment horizontal="left" vertical="center"/>
    </xf>
    <xf numFmtId="0" fontId="2" fillId="8" borderId="0" xfId="0" applyFont="1" applyFill="1" applyAlignment="1">
      <alignment horizontal="left" vertical="center"/>
    </xf>
    <xf numFmtId="0" fontId="2" fillId="0" borderId="16" xfId="0" applyFont="1" applyBorder="1" applyAlignment="1">
      <alignment horizontal="left" vertical="center" wrapText="1"/>
    </xf>
    <xf numFmtId="0" fontId="2" fillId="0" borderId="15" xfId="0" applyFont="1" applyBorder="1" applyAlignment="1">
      <alignment horizontal="left" vertical="center"/>
    </xf>
    <xf numFmtId="0" fontId="2" fillId="0" borderId="16" xfId="0" applyFont="1" applyBorder="1" applyAlignment="1">
      <alignment horizontal="left" vertical="center"/>
    </xf>
    <xf numFmtId="2" fontId="2" fillId="0" borderId="16" xfId="0" applyNumberFormat="1" applyFont="1" applyBorder="1" applyAlignment="1">
      <alignment horizontal="left" vertical="center"/>
    </xf>
    <xf numFmtId="14" fontId="2" fillId="0" borderId="12" xfId="0" applyNumberFormat="1" applyFont="1" applyBorder="1" applyAlignment="1">
      <alignment horizontal="left" vertical="center"/>
    </xf>
    <xf numFmtId="0" fontId="2" fillId="0" borderId="7" xfId="0" applyFont="1" applyBorder="1" applyAlignment="1">
      <alignment horizontal="left"/>
    </xf>
    <xf numFmtId="0" fontId="2" fillId="0" borderId="17" xfId="0" applyFont="1" applyBorder="1" applyAlignment="1">
      <alignment horizontal="left" wrapText="1"/>
    </xf>
    <xf numFmtId="0" fontId="2" fillId="0" borderId="17" xfId="0" applyFont="1" applyBorder="1" applyAlignment="1">
      <alignment horizontal="left" vertical="top" wrapText="1"/>
    </xf>
    <xf numFmtId="0" fontId="7" fillId="0" borderId="17" xfId="1" applyBorder="1" applyAlignment="1">
      <alignment horizontal="left"/>
    </xf>
    <xf numFmtId="0" fontId="9" fillId="0" borderId="0" xfId="0" applyFont="1"/>
    <xf numFmtId="0" fontId="10" fillId="0" borderId="0" xfId="0" applyFont="1"/>
    <xf numFmtId="14" fontId="1" fillId="2" borderId="19" xfId="0" applyNumberFormat="1" applyFont="1" applyFill="1" applyBorder="1" applyAlignment="1">
      <alignment horizontal="center" vertical="center" wrapText="1"/>
    </xf>
    <xf numFmtId="0" fontId="7" fillId="0" borderId="0" xfId="1"/>
    <xf numFmtId="14" fontId="3" fillId="0" borderId="0" xfId="0" applyNumberFormat="1" applyFont="1" applyAlignment="1">
      <alignment horizontal="left" vertical="center"/>
    </xf>
    <xf numFmtId="0" fontId="3" fillId="0" borderId="0" xfId="0" applyFont="1" applyAlignment="1">
      <alignment horizontal="left" vertical="center" wrapText="1"/>
    </xf>
    <xf numFmtId="0" fontId="11" fillId="15" borderId="20" xfId="0" applyFont="1" applyFill="1" applyBorder="1" applyAlignment="1">
      <alignment horizontal="left" vertical="center"/>
    </xf>
    <xf numFmtId="49" fontId="3" fillId="0" borderId="10" xfId="0" applyNumberFormat="1" applyFont="1" applyBorder="1" applyAlignment="1">
      <alignment horizontal="left" vertical="center"/>
    </xf>
    <xf numFmtId="0" fontId="12" fillId="0" borderId="0" xfId="0" applyFont="1"/>
    <xf numFmtId="14" fontId="13" fillId="3" borderId="12" xfId="0" applyNumberFormat="1" applyFont="1" applyFill="1" applyBorder="1" applyAlignment="1">
      <alignment horizontal="left" vertical="center" wrapText="1"/>
    </xf>
    <xf numFmtId="1" fontId="7" fillId="0" borderId="7" xfId="1" applyNumberFormat="1" applyBorder="1" applyAlignment="1">
      <alignment horizontal="left" vertical="center"/>
    </xf>
    <xf numFmtId="0" fontId="12" fillId="0" borderId="0" xfId="0" applyFont="1" applyAlignment="1">
      <alignment vertical="center" wrapText="1"/>
    </xf>
    <xf numFmtId="165" fontId="1" fillId="2" borderId="19" xfId="0" applyNumberFormat="1" applyFont="1" applyFill="1" applyBorder="1" applyAlignment="1">
      <alignment horizontal="center" vertical="center" wrapText="1"/>
    </xf>
    <xf numFmtId="14" fontId="2" fillId="9" borderId="5" xfId="0" applyNumberFormat="1" applyFont="1" applyFill="1" applyBorder="1" applyAlignment="1">
      <alignment horizontal="left" vertical="center"/>
    </xf>
    <xf numFmtId="1" fontId="3" fillId="0" borderId="10" xfId="0" applyNumberFormat="1" applyFont="1" applyBorder="1" applyAlignment="1">
      <alignment horizontal="center" vertical="center" wrapText="1"/>
    </xf>
    <xf numFmtId="0" fontId="20" fillId="22" borderId="21" xfId="0" applyFont="1" applyFill="1" applyBorder="1" applyAlignment="1">
      <alignment horizontal="center"/>
    </xf>
    <xf numFmtId="0" fontId="19" fillId="0" borderId="21" xfId="0" applyFont="1" applyBorder="1"/>
    <xf numFmtId="0" fontId="0" fillId="0" borderId="0" xfId="0" pivotButton="1"/>
    <xf numFmtId="14" fontId="0" fillId="0" borderId="0" xfId="0" applyNumberFormat="1"/>
    <xf numFmtId="0" fontId="21" fillId="0" borderId="0" xfId="0" applyFont="1"/>
    <xf numFmtId="0" fontId="0" fillId="0" borderId="0" xfId="0" applyAlignment="1">
      <alignment horizontal="center"/>
    </xf>
    <xf numFmtId="0" fontId="26" fillId="0" borderId="0" xfId="0" applyFont="1"/>
    <xf numFmtId="0" fontId="24" fillId="0" borderId="28" xfId="0" applyFont="1" applyBorder="1" applyAlignment="1">
      <alignment horizontal="center" vertical="center" wrapText="1"/>
    </xf>
    <xf numFmtId="0" fontId="24" fillId="0" borderId="28" xfId="0" applyFont="1" applyBorder="1" applyAlignment="1">
      <alignment horizontal="left" vertical="center" wrapText="1"/>
    </xf>
    <xf numFmtId="0" fontId="27" fillId="27" borderId="0" xfId="0" applyFont="1" applyFill="1"/>
    <xf numFmtId="0" fontId="28" fillId="28" borderId="0" xfId="0" applyFont="1" applyFill="1"/>
    <xf numFmtId="1" fontId="24" fillId="0" borderId="28" xfId="0" applyNumberFormat="1" applyFont="1" applyBorder="1" applyAlignment="1">
      <alignment horizontal="center" vertical="center" wrapText="1"/>
    </xf>
    <xf numFmtId="14" fontId="24" fillId="0" borderId="28" xfId="0" applyNumberFormat="1" applyFont="1" applyBorder="1" applyAlignment="1">
      <alignment horizontal="center" vertical="center" wrapText="1"/>
    </xf>
    <xf numFmtId="0" fontId="25" fillId="25" borderId="2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3" fillId="7" borderId="10" xfId="0" applyFont="1" applyFill="1" applyBorder="1" applyAlignment="1">
      <alignment horizontal="left" vertical="center"/>
    </xf>
    <xf numFmtId="14" fontId="3" fillId="7" borderId="10" xfId="0" applyNumberFormat="1" applyFont="1" applyFill="1" applyBorder="1" applyAlignment="1">
      <alignment horizontal="left" vertical="center"/>
    </xf>
    <xf numFmtId="0" fontId="30" fillId="25" borderId="28" xfId="0" applyFont="1" applyFill="1" applyBorder="1" applyAlignment="1">
      <alignment horizontal="center" vertical="center" wrapText="1"/>
    </xf>
    <xf numFmtId="0" fontId="0" fillId="29" borderId="0" xfId="0" applyFill="1"/>
    <xf numFmtId="0" fontId="31" fillId="0" borderId="0" xfId="0" applyFont="1"/>
    <xf numFmtId="0" fontId="0" fillId="0" borderId="0" xfId="0" applyAlignment="1">
      <alignment horizontal="left" indent="1"/>
    </xf>
    <xf numFmtId="0" fontId="0" fillId="0" borderId="0" xfId="0" applyAlignment="1">
      <alignment horizontal="left" indent="2"/>
    </xf>
    <xf numFmtId="14" fontId="2" fillId="0" borderId="7" xfId="0" applyNumberFormat="1" applyFont="1" applyBorder="1"/>
    <xf numFmtId="0" fontId="0" fillId="31" borderId="0" xfId="0" applyFill="1"/>
    <xf numFmtId="0" fontId="0" fillId="0" borderId="0" xfId="0">
      <extLst>
        <ext xmlns:xfpb="http://schemas.microsoft.com/office/spreadsheetml/2022/featurepropertybag" uri="{C7286773-470A-42A8-94C5-96B5CB345126}">
          <xfpb:xfComplement i="0"/>
        </ext>
      </extLst>
    </xf>
    <xf numFmtId="0" fontId="32" fillId="33" borderId="29" xfId="0" applyFont="1" applyFill="1" applyBorder="1"/>
    <xf numFmtId="0" fontId="32" fillId="33" borderId="31" xfId="0" applyFont="1" applyFill="1" applyBorder="1"/>
    <xf numFmtId="0" fontId="32" fillId="33" borderId="32" xfId="0" applyFont="1" applyFill="1" applyBorder="1"/>
    <xf numFmtId="0" fontId="3" fillId="9" borderId="7" xfId="0" applyFont="1" applyFill="1" applyBorder="1" applyAlignment="1">
      <alignment horizontal="left" vertical="center"/>
    </xf>
    <xf numFmtId="0" fontId="21" fillId="29" borderId="0" xfId="0" applyFont="1" applyFill="1" applyAlignment="1">
      <alignment horizontal="center"/>
    </xf>
    <xf numFmtId="0" fontId="21" fillId="0" borderId="0" xfId="0" applyFont="1" applyAlignment="1">
      <alignment horizontal="center"/>
    </xf>
    <xf numFmtId="0" fontId="0" fillId="0" borderId="11" xfId="0" applyBorder="1" applyAlignment="1">
      <alignment horizontal="center"/>
    </xf>
    <xf numFmtId="0" fontId="0" fillId="0" borderId="35" xfId="0" applyBorder="1"/>
    <xf numFmtId="0" fontId="21" fillId="29" borderId="11" xfId="0" applyFont="1" applyFill="1" applyBorder="1" applyAlignment="1">
      <alignment horizontal="center"/>
    </xf>
    <xf numFmtId="0" fontId="21" fillId="0" borderId="11" xfId="0" applyFont="1" applyBorder="1" applyAlignment="1">
      <alignment horizontal="center"/>
    </xf>
    <xf numFmtId="0" fontId="21" fillId="0" borderId="11" xfId="0" applyFont="1" applyBorder="1"/>
    <xf numFmtId="0" fontId="21" fillId="30" borderId="9" xfId="0" applyFont="1" applyFill="1" applyBorder="1"/>
    <xf numFmtId="0" fontId="21" fillId="30" borderId="4" xfId="0" applyFont="1" applyFill="1" applyBorder="1"/>
    <xf numFmtId="0" fontId="0" fillId="0" borderId="11" xfId="0" applyBorder="1"/>
    <xf numFmtId="0" fontId="0" fillId="0" borderId="36" xfId="0" pivotButton="1" applyBorder="1"/>
    <xf numFmtId="0" fontId="0" fillId="0" borderId="37" xfId="0" applyBorder="1"/>
    <xf numFmtId="0" fontId="0" fillId="0" borderId="12" xfId="0" applyBorder="1"/>
    <xf numFmtId="0" fontId="0" fillId="0" borderId="38" xfId="0" applyBorder="1"/>
    <xf numFmtId="0" fontId="0" fillId="29" borderId="39" xfId="0" applyFill="1" applyBorder="1"/>
    <xf numFmtId="0" fontId="0" fillId="29" borderId="7" xfId="0" applyFill="1" applyBorder="1"/>
    <xf numFmtId="0" fontId="0" fillId="0" borderId="7" xfId="0" applyBorder="1" applyAlignment="1">
      <alignment horizontal="left"/>
    </xf>
    <xf numFmtId="0" fontId="0" fillId="29" borderId="7" xfId="0" applyFill="1" applyBorder="1" applyAlignment="1">
      <alignment horizontal="left"/>
    </xf>
    <xf numFmtId="0" fontId="0" fillId="0" borderId="7" xfId="0" applyBorder="1" applyAlignment="1">
      <alignment horizontal="left" indent="1"/>
    </xf>
    <xf numFmtId="0" fontId="0" fillId="0" borderId="7" xfId="0" applyBorder="1" applyAlignment="1">
      <alignment horizontal="left" indent="2"/>
    </xf>
    <xf numFmtId="0" fontId="0" fillId="0" borderId="14" xfId="0" pivotButton="1" applyBorder="1"/>
    <xf numFmtId="0" fontId="0" fillId="0" borderId="8" xfId="0" applyBorder="1"/>
    <xf numFmtId="0" fontId="0" fillId="0" borderId="12" xfId="0" applyBorder="1" applyAlignment="1">
      <alignment horizontal="center"/>
    </xf>
    <xf numFmtId="0" fontId="0" fillId="0" borderId="10" xfId="0" applyBorder="1" applyAlignment="1">
      <alignment horizontal="center"/>
    </xf>
    <xf numFmtId="0" fontId="0" fillId="0" borderId="5" xfId="0" applyBorder="1" applyAlignment="1">
      <alignment horizontal="center"/>
    </xf>
    <xf numFmtId="0" fontId="0" fillId="0" borderId="7" xfId="0" pivotButton="1" applyBorder="1"/>
    <xf numFmtId="0" fontId="0" fillId="0" borderId="12" xfId="0" applyBorder="1" applyAlignment="1">
      <alignment horizontal="left"/>
    </xf>
    <xf numFmtId="0" fontId="0" fillId="0" borderId="10" xfId="0" applyBorder="1" applyAlignment="1">
      <alignment horizontal="left"/>
    </xf>
    <xf numFmtId="0" fontId="0" fillId="0" borderId="5" xfId="0" applyBorder="1" applyAlignment="1">
      <alignment horizontal="left"/>
    </xf>
    <xf numFmtId="0" fontId="0" fillId="0" borderId="7" xfId="0" applyBorder="1"/>
    <xf numFmtId="0" fontId="0" fillId="0" borderId="30" xfId="0" applyBorder="1"/>
    <xf numFmtId="0" fontId="0" fillId="32" borderId="30" xfId="0" applyFill="1" applyBorder="1"/>
    <xf numFmtId="0" fontId="3" fillId="8" borderId="40" xfId="0" applyFont="1" applyFill="1" applyBorder="1" applyAlignment="1">
      <alignment horizontal="left" vertical="center"/>
    </xf>
    <xf numFmtId="0" fontId="3" fillId="4" borderId="8" xfId="0" applyFont="1" applyFill="1" applyBorder="1" applyAlignment="1">
      <alignment horizontal="left" vertical="center"/>
    </xf>
    <xf numFmtId="0" fontId="32" fillId="33" borderId="31" xfId="0" applyFont="1" applyFill="1" applyBorder="1" applyAlignment="1">
      <alignment horizontal="center"/>
    </xf>
    <xf numFmtId="0" fontId="34" fillId="34" borderId="0" xfId="2"/>
    <xf numFmtId="166" fontId="1" fillId="2" borderId="19" xfId="0" applyNumberFormat="1" applyFont="1" applyFill="1" applyBorder="1" applyAlignment="1">
      <alignment horizontal="center" vertical="center" wrapText="1"/>
    </xf>
    <xf numFmtId="166" fontId="3" fillId="0" borderId="10" xfId="0" applyNumberFormat="1" applyFont="1" applyBorder="1" applyAlignment="1">
      <alignment horizontal="left" vertical="center"/>
    </xf>
    <xf numFmtId="166" fontId="3" fillId="0" borderId="10" xfId="0" applyNumberFormat="1" applyFont="1" applyBorder="1" applyAlignment="1">
      <alignment horizontal="center" vertical="center"/>
    </xf>
    <xf numFmtId="167" fontId="0" fillId="0" borderId="0" xfId="0" applyNumberFormat="1" applyAlignment="1">
      <alignment horizontal="center"/>
    </xf>
    <xf numFmtId="166" fontId="0" fillId="0" borderId="0" xfId="0" applyNumberFormat="1" applyAlignment="1">
      <alignment horizontal="center"/>
    </xf>
    <xf numFmtId="0" fontId="3" fillId="4" borderId="41" xfId="0" applyFont="1" applyFill="1" applyBorder="1" applyAlignment="1">
      <alignment horizontal="left" vertical="center"/>
    </xf>
    <xf numFmtId="0" fontId="3" fillId="8" borderId="42" xfId="0" applyFont="1" applyFill="1" applyBorder="1" applyAlignment="1">
      <alignment horizontal="left" vertical="center"/>
    </xf>
    <xf numFmtId="0" fontId="0" fillId="0" borderId="43" xfId="0" applyBorder="1"/>
    <xf numFmtId="14" fontId="0" fillId="0" borderId="0" xfId="0" applyNumberFormat="1" applyAlignment="1">
      <alignment horizontal="center"/>
    </xf>
    <xf numFmtId="14" fontId="0" fillId="0" borderId="43" xfId="0" applyNumberFormat="1" applyBorder="1" applyAlignment="1">
      <alignment horizontal="center"/>
    </xf>
    <xf numFmtId="0" fontId="0" fillId="0" borderId="43" xfId="0" applyBorder="1" applyAlignment="1">
      <alignment horizontal="center"/>
    </xf>
    <xf numFmtId="0" fontId="32" fillId="33" borderId="29" xfId="0" applyFont="1" applyFill="1" applyBorder="1" applyAlignment="1">
      <alignment horizontal="center"/>
    </xf>
    <xf numFmtId="0" fontId="0" fillId="0" borderId="0" xfId="0" applyAlignment="1">
      <alignment wrapText="1"/>
    </xf>
    <xf numFmtId="0" fontId="0" fillId="0" borderId="0" xfId="0" applyAlignment="1">
      <alignment vertical="center"/>
    </xf>
    <xf numFmtId="14" fontId="0" fillId="0" borderId="0" xfId="0" applyNumberFormat="1" applyAlignment="1">
      <alignment horizontal="center" vertical="center"/>
    </xf>
    <xf numFmtId="0" fontId="0" fillId="0" borderId="44" xfId="0" applyBorder="1"/>
    <xf numFmtId="0" fontId="0" fillId="0" borderId="44" xfId="0" applyBorder="1" applyAlignment="1">
      <alignment horizontal="center"/>
    </xf>
    <xf numFmtId="0" fontId="14" fillId="16" borderId="21" xfId="0" applyFont="1" applyFill="1" applyBorder="1" applyAlignment="1">
      <alignment horizontal="center" vertical="center"/>
    </xf>
    <xf numFmtId="1" fontId="17" fillId="19" borderId="22" xfId="0" applyNumberFormat="1" applyFont="1" applyFill="1" applyBorder="1" applyAlignment="1">
      <alignment horizontal="center" vertical="center"/>
    </xf>
    <xf numFmtId="1" fontId="17" fillId="19" borderId="23" xfId="0" applyNumberFormat="1" applyFont="1" applyFill="1" applyBorder="1" applyAlignment="1">
      <alignment horizontal="center" vertical="center"/>
    </xf>
    <xf numFmtId="1" fontId="17" fillId="19" borderId="24" xfId="0" applyNumberFormat="1" applyFont="1" applyFill="1" applyBorder="1" applyAlignment="1">
      <alignment horizontal="center" vertical="center"/>
    </xf>
    <xf numFmtId="1" fontId="17" fillId="19" borderId="25" xfId="0" applyNumberFormat="1" applyFont="1" applyFill="1" applyBorder="1" applyAlignment="1">
      <alignment horizontal="center" vertical="center"/>
    </xf>
    <xf numFmtId="1" fontId="17" fillId="19" borderId="26" xfId="0" applyNumberFormat="1" applyFont="1" applyFill="1" applyBorder="1" applyAlignment="1">
      <alignment horizontal="center" vertical="center"/>
    </xf>
    <xf numFmtId="1" fontId="17" fillId="19" borderId="27" xfId="0" applyNumberFormat="1" applyFont="1" applyFill="1" applyBorder="1" applyAlignment="1">
      <alignment horizontal="center" vertical="center"/>
    </xf>
    <xf numFmtId="0" fontId="16" fillId="23" borderId="21" xfId="0" applyFont="1" applyFill="1" applyBorder="1" applyAlignment="1">
      <alignment horizontal="center" vertical="center"/>
    </xf>
    <xf numFmtId="0" fontId="15" fillId="17" borderId="21" xfId="0" applyFont="1" applyFill="1" applyBorder="1" applyAlignment="1">
      <alignment wrapText="1"/>
    </xf>
    <xf numFmtId="0" fontId="29" fillId="20" borderId="21" xfId="0" applyFont="1" applyFill="1" applyBorder="1" applyAlignment="1">
      <alignment horizontal="center" vertical="center" wrapText="1"/>
    </xf>
    <xf numFmtId="1" fontId="17" fillId="24" borderId="21" xfId="0" applyNumberFormat="1" applyFont="1" applyFill="1" applyBorder="1" applyAlignment="1">
      <alignment horizontal="center" vertical="center"/>
    </xf>
    <xf numFmtId="0" fontId="17" fillId="24" borderId="21" xfId="0" applyFont="1" applyFill="1" applyBorder="1" applyAlignment="1">
      <alignment horizontal="center" vertical="center"/>
    </xf>
    <xf numFmtId="0" fontId="18" fillId="16" borderId="21" xfId="0" applyFont="1" applyFill="1" applyBorder="1" applyAlignment="1">
      <alignment horizontal="left" vertical="center"/>
    </xf>
    <xf numFmtId="0" fontId="16" fillId="18" borderId="21" xfId="0" applyFont="1" applyFill="1" applyBorder="1" applyAlignment="1">
      <alignment horizontal="center" vertical="center"/>
    </xf>
    <xf numFmtId="1" fontId="17" fillId="17" borderId="21" xfId="0" applyNumberFormat="1" applyFont="1" applyFill="1" applyBorder="1" applyAlignment="1">
      <alignment horizontal="center" vertical="center"/>
    </xf>
    <xf numFmtId="0" fontId="17" fillId="17" borderId="21" xfId="0" applyFont="1" applyFill="1" applyBorder="1" applyAlignment="1">
      <alignment horizontal="center" vertical="center"/>
    </xf>
    <xf numFmtId="0" fontId="16" fillId="16" borderId="21" xfId="0" applyFont="1" applyFill="1" applyBorder="1" applyAlignment="1">
      <alignment horizontal="center" vertical="center"/>
    </xf>
    <xf numFmtId="1" fontId="17" fillId="21" borderId="21" xfId="0" applyNumberFormat="1" applyFont="1" applyFill="1" applyBorder="1" applyAlignment="1">
      <alignment horizontal="center" vertical="center"/>
    </xf>
    <xf numFmtId="0" fontId="17" fillId="21" borderId="21" xfId="0" applyFont="1" applyFill="1" applyBorder="1" applyAlignment="1">
      <alignment horizontal="center" vertical="center"/>
    </xf>
    <xf numFmtId="0" fontId="23" fillId="25" borderId="0" xfId="0" applyFont="1" applyFill="1" applyAlignment="1">
      <alignment horizontal="center" vertical="center" wrapText="1"/>
    </xf>
    <xf numFmtId="0" fontId="24" fillId="26" borderId="0" xfId="0" applyFont="1" applyFill="1" applyAlignment="1">
      <alignment horizontal="center" vertical="center" wrapText="1"/>
    </xf>
    <xf numFmtId="0" fontId="22" fillId="26" borderId="33" xfId="0" applyFont="1" applyFill="1" applyBorder="1" applyAlignment="1">
      <alignment horizontal="center"/>
    </xf>
    <xf numFmtId="0" fontId="22" fillId="26" borderId="13" xfId="0" applyFont="1" applyFill="1" applyBorder="1" applyAlignment="1">
      <alignment horizontal="center"/>
    </xf>
    <xf numFmtId="0" fontId="22" fillId="26" borderId="35" xfId="0" applyFont="1" applyFill="1" applyBorder="1" applyAlignment="1">
      <alignment horizontal="center"/>
    </xf>
    <xf numFmtId="0" fontId="22" fillId="26" borderId="0" xfId="0" applyFont="1" applyFill="1" applyAlignment="1">
      <alignment horizontal="center"/>
    </xf>
    <xf numFmtId="0" fontId="22" fillId="26" borderId="34" xfId="0" applyFont="1" applyFill="1" applyBorder="1" applyAlignment="1">
      <alignment horizontal="center"/>
    </xf>
    <xf numFmtId="0" fontId="0" fillId="0" borderId="0" xfId="0" applyBorder="1"/>
    <xf numFmtId="0" fontId="0" fillId="0" borderId="45" xfId="0" applyFont="1" applyBorder="1"/>
    <xf numFmtId="0" fontId="0" fillId="0" borderId="0" xfId="0" applyBorder="1" applyAlignment="1">
      <alignment horizontal="center"/>
    </xf>
    <xf numFmtId="0" fontId="0" fillId="0" borderId="0" xfId="0" applyNumberFormat="1" applyBorder="1" applyAlignment="1">
      <alignment horizontal="center"/>
    </xf>
    <xf numFmtId="14" fontId="0" fillId="0" borderId="0" xfId="0" applyNumberFormat="1" applyBorder="1" applyAlignment="1">
      <alignment horizontal="center"/>
    </xf>
    <xf numFmtId="0" fontId="0" fillId="0" borderId="0" xfId="0" applyBorder="1" applyAlignment="1">
      <alignment wrapText="1"/>
    </xf>
    <xf numFmtId="0" fontId="0" fillId="0" borderId="0" xfId="0" applyAlignment="1">
      <alignment horizontal="center" wrapText="1"/>
    </xf>
    <xf numFmtId="0" fontId="0" fillId="0" borderId="0" xfId="0" applyBorder="1" applyAlignment="1">
      <alignment horizontal="left" vertical="center" wrapText="1"/>
    </xf>
  </cellXfs>
  <cellStyles count="3">
    <cellStyle name="Hyperlink" xfId="1" builtinId="8"/>
    <cellStyle name="Neutral" xfId="2" builtinId="28"/>
    <cellStyle name="Normal" xfId="0" builtinId="0"/>
  </cellStyles>
  <dxfs count="421">
    <dxf>
      <fill>
        <patternFill>
          <bgColor theme="7" tint="0.39994506668294322"/>
        </patternFill>
      </fill>
    </dxf>
    <dxf>
      <fill>
        <patternFill patternType="solid">
          <fgColor rgb="FFFF7C80"/>
          <bgColor rgb="FFFF7C80"/>
        </patternFill>
      </fill>
    </dxf>
    <dxf>
      <fill>
        <patternFill>
          <bgColor theme="9" tint="0.79998168889431442"/>
        </patternFill>
      </fill>
    </dxf>
    <dxf>
      <fill>
        <patternFill>
          <bgColor theme="0"/>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ont>
        <b/>
        <color rgb="FF006100"/>
      </font>
      <fill>
        <patternFill patternType="solid">
          <fgColor rgb="FFE2F0D9"/>
        </patternFill>
      </fill>
    </dxf>
    <dxf>
      <font>
        <b/>
        <color rgb="FF9C0006"/>
      </font>
      <fill>
        <patternFill patternType="solid">
          <fgColor rgb="FFFDE9E7"/>
        </patternFill>
      </fill>
    </dxf>
    <dxf>
      <fill>
        <patternFill>
          <bgColor theme="7"/>
        </patternFill>
      </fill>
    </dxf>
    <dxf>
      <fill>
        <patternFill patternType="solid">
          <fgColor rgb="FFFF7C80"/>
          <bgColor rgb="FFFF7C80"/>
        </patternFill>
      </fill>
    </dxf>
    <dxf>
      <fill>
        <patternFill>
          <bgColor theme="7" tint="0.39994506668294322"/>
        </patternFill>
      </fill>
    </dxf>
    <dxf>
      <fill>
        <patternFill patternType="solid">
          <fgColor rgb="FFFF7C80"/>
          <bgColor rgb="FFFF7C80"/>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patternType="solid">
          <fgColor rgb="FFFF7C80"/>
          <bgColor rgb="FFFF7C80"/>
        </patternFill>
      </fill>
    </dxf>
    <dxf>
      <fill>
        <patternFill>
          <bgColor theme="7" tint="0.39994506668294322"/>
        </patternFill>
      </fill>
    </dxf>
    <dxf>
      <fill>
        <patternFill patternType="solid">
          <fgColor rgb="FFFF7C80"/>
          <bgColor rgb="FFFF7C80"/>
        </patternFill>
      </fill>
    </dxf>
    <dxf>
      <fill>
        <patternFill>
          <bgColor theme="7" tint="0.39994506668294322"/>
        </patternFill>
      </fill>
    </dxf>
    <dxf>
      <fill>
        <patternFill patternType="solid">
          <fgColor rgb="FFFF7C80"/>
          <bgColor rgb="FFFF7C80"/>
        </patternFill>
      </fill>
    </dxf>
    <dxf>
      <fill>
        <patternFill patternType="solid">
          <fgColor rgb="FFFF7C80"/>
          <bgColor rgb="FFFF7C80"/>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7" tint="0.39994506668294322"/>
        </patternFill>
      </fill>
    </dxf>
    <dxf>
      <fill>
        <patternFill patternType="solid">
          <fgColor rgb="FFFF7C80"/>
          <bgColor rgb="FFFF7C80"/>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9" tint="0.79998168889431442"/>
        </patternFill>
      </fill>
    </dxf>
    <dxf>
      <fill>
        <patternFill>
          <bgColor theme="0"/>
        </patternFill>
      </fill>
    </dxf>
    <dxf>
      <fill>
        <patternFill patternType="solid">
          <fgColor rgb="FFFF7C80"/>
          <bgColor rgb="FFFF7C80"/>
        </patternFill>
      </fill>
    </dxf>
    <dxf>
      <fill>
        <patternFill>
          <bgColor theme="7" tint="0.39994506668294322"/>
        </patternFill>
      </fill>
    </dxf>
    <dxf>
      <fill>
        <patternFill>
          <bgColor theme="4" tint="0.39994506668294322"/>
        </patternFill>
      </fill>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rgb="FFE2EFD9"/>
          <bgColor theme="9" tint="0.79998168889431442"/>
        </patternFill>
      </fill>
      <alignment horizontal="center" vertical="bottom" textRotation="0" wrapText="0" indent="0" justifyLastLine="0" shrinkToFit="0" readingOrder="0"/>
      <border diagonalUp="0" diagonalDown="0" outline="0">
        <left/>
        <right style="thin">
          <color indexed="64"/>
        </right>
        <top style="thin">
          <color theme="9" tint="0.39997558519241921"/>
        </top>
        <bottom style="thin">
          <color indexed="64"/>
        </bottom>
      </border>
    </dxf>
    <dxf>
      <alignment horizontal="general" vertical="bottom" textRotation="0" wrapText="1"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4" tint="0.39997558519241921"/>
        </left>
        <right style="thin">
          <color theme="4" tint="0.39997558519241921"/>
        </right>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9" tint="-0.249977111117893"/>
        </patternFill>
      </fill>
    </dxf>
    <dxf>
      <fill>
        <patternFill patternType="solid">
          <bgColor theme="9" tint="-0.249977111117893"/>
        </patternFill>
      </fill>
    </dxf>
    <dxf>
      <border>
        <left/>
        <top/>
      </border>
    </dxf>
    <dxf>
      <border>
        <left/>
        <top/>
      </border>
    </dxf>
    <dxf>
      <border>
        <left/>
        <top/>
      </border>
    </dxf>
    <dxf>
      <border>
        <left/>
        <top/>
      </border>
    </dxf>
    <dxf>
      <border>
        <left/>
        <top/>
        <bottom/>
      </border>
    </dxf>
    <dxf>
      <border>
        <left/>
        <top/>
        <bottom/>
      </border>
    </dxf>
    <dxf>
      <border>
        <left/>
        <top/>
        <bottom/>
      </border>
    </dxf>
    <dxf>
      <border>
        <left/>
        <top/>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trike val="0"/>
        <condense val="0"/>
        <extend val="0"/>
        <outline val="0"/>
        <shadow val="0"/>
        <vertAlign val="baseline"/>
        <sz val="10"/>
        <color auto="1"/>
        <name val="Calibri Light"/>
        <family val="2"/>
        <scheme val="major"/>
      </font>
      <numFmt numFmtId="1" formatCode="0"/>
      <alignment horizontal="left" vertical="center"/>
      <border>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1" formatCode="0"/>
      <alignment horizontal="left" vertical="center"/>
      <border>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1" formatCode="0"/>
      <alignment horizontal="left" vertical="center"/>
      <border>
        <left style="thin">
          <color indexed="64"/>
        </left>
        <right style="thin">
          <color indexed="64"/>
        </right>
        <top/>
        <bottom/>
      </border>
    </dxf>
    <dxf>
      <font>
        <strike val="0"/>
        <condense val="0"/>
        <extend val="0"/>
        <outline val="0"/>
        <shadow val="0"/>
        <vertAlign val="baseline"/>
        <sz val="10"/>
        <color theme="1"/>
        <name val="Calibri Light"/>
        <family val="2"/>
        <scheme val="major"/>
      </font>
      <alignment horizontal="center" vertical="center"/>
      <border>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1" formatCode="0"/>
      <alignment horizontal="left" vertical="center"/>
      <border>
        <left style="thin">
          <color indexed="64"/>
        </left>
        <right style="thin">
          <color indexed="64"/>
        </right>
        <top/>
        <bottom/>
      </border>
    </dxf>
    <dxf>
      <font>
        <b val="0"/>
        <i val="0"/>
        <strike val="0"/>
        <condense val="0"/>
        <extend val="0"/>
        <outline val="0"/>
        <shadow val="0"/>
        <u val="none"/>
        <vertAlign val="baseline"/>
        <sz val="10"/>
        <color auto="1"/>
        <name val="Calibri Light"/>
        <family val="2"/>
        <scheme val="major"/>
      </font>
      <numFmt numFmtId="0" formatCode="General"/>
      <alignment horizontal="left" vertical="center" textRotation="0" wrapText="0" indent="0" justifyLastLine="0" shrinkToFit="0" readingOrder="0"/>
      <border diagonalUp="0" diagonalDown="0">
        <left style="thin">
          <color indexed="64"/>
        </left>
        <right style="thin">
          <color indexed="64"/>
        </right>
        <top/>
        <bottom/>
        <vertical/>
        <horizontal/>
      </border>
    </dxf>
    <dxf>
      <font>
        <strike val="0"/>
        <condense val="0"/>
        <extend val="0"/>
        <outline val="0"/>
        <shadow val="0"/>
        <vertAlign val="baseline"/>
        <sz val="10"/>
        <color auto="1"/>
        <name val="Calibri Light"/>
        <family val="2"/>
        <scheme val="major"/>
      </font>
      <numFmt numFmtId="19" formatCode="m/d/yyyy"/>
      <alignment horizontal="left" vertical="center"/>
      <border>
        <left style="thin">
          <color indexed="64"/>
        </left>
        <right style="thin">
          <color indexed="64"/>
        </right>
        <top/>
        <bottom/>
      </border>
    </dxf>
    <dxf>
      <font>
        <strike val="0"/>
        <condense val="0"/>
        <extend val="0"/>
        <outline val="0"/>
        <shadow val="0"/>
        <vertAlign val="baseline"/>
        <sz val="10"/>
        <color theme="1"/>
        <name val="Calibri Light"/>
        <family val="2"/>
        <scheme val="major"/>
      </font>
      <numFmt numFmtId="1" formatCode="0"/>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1" formatCode="0"/>
      <alignment horizontal="left" vertical="center"/>
      <border outline="0">
        <left style="thin">
          <color indexed="64"/>
        </left>
        <right style="thin">
          <color indexed="64"/>
        </right>
        <top/>
        <bottom/>
      </border>
    </dxf>
    <dxf>
      <font>
        <strike val="0"/>
        <condense val="0"/>
        <extend val="0"/>
        <outline val="0"/>
        <shadow val="0"/>
        <vertAlign val="baseline"/>
        <sz val="10"/>
        <color theme="1"/>
        <name val="Calibri Light"/>
        <family val="2"/>
        <scheme val="major"/>
      </font>
      <numFmt numFmtId="1" formatCode="0"/>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1" formatCode="0"/>
      <alignment horizontal="left" vertical="center"/>
      <border outline="0">
        <left style="thin">
          <color indexed="64"/>
        </left>
        <right style="thin">
          <color indexed="64"/>
        </right>
        <top/>
        <bottom/>
      </border>
    </dxf>
    <dxf>
      <font>
        <strike val="0"/>
        <condense val="0"/>
        <extend val="0"/>
        <outline val="0"/>
        <shadow val="0"/>
        <vertAlign val="baseline"/>
        <sz val="10"/>
        <color theme="1"/>
        <name val="Calibri Light"/>
        <family val="2"/>
        <scheme val="major"/>
      </font>
      <numFmt numFmtId="1" formatCode="0"/>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1" formatCode="0"/>
      <alignment horizontal="left" vertical="center"/>
      <border outline="0">
        <left style="thin">
          <color indexed="64"/>
        </left>
        <right style="thin">
          <color indexed="64"/>
        </right>
        <top/>
        <bottom/>
      </border>
    </dxf>
    <dxf>
      <font>
        <strike val="0"/>
        <condense val="0"/>
        <extend val="0"/>
        <outline val="0"/>
        <shadow val="0"/>
        <vertAlign val="baseline"/>
        <sz val="10"/>
        <color theme="1"/>
        <name val="Calibri Light"/>
        <family val="2"/>
        <scheme val="major"/>
      </font>
      <numFmt numFmtId="1" formatCode="0"/>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1" formatCode="0"/>
      <alignment horizontal="left" vertical="center"/>
      <border outline="0">
        <left style="thin">
          <color indexed="64"/>
        </left>
        <right style="thin">
          <color indexed="64"/>
        </right>
        <top/>
        <bottom/>
      </border>
    </dxf>
    <dxf>
      <font>
        <strike val="0"/>
        <condense val="0"/>
        <extend val="0"/>
        <outline val="0"/>
        <shadow val="0"/>
        <vertAlign val="baseline"/>
        <sz val="10"/>
        <color theme="1"/>
        <name val="Calibri Light"/>
        <family val="2"/>
        <scheme val="major"/>
      </font>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1" formatCode="0"/>
      <alignment horizontal="left" vertical="center"/>
      <border outline="0">
        <left style="thin">
          <color indexed="64"/>
        </left>
        <right style="thin">
          <color indexed="64"/>
        </right>
        <top/>
        <bottom style="thin">
          <color indexed="64"/>
        </bottom>
      </border>
    </dxf>
    <dxf>
      <font>
        <strike val="0"/>
        <condense val="0"/>
        <extend val="0"/>
        <outline val="0"/>
        <shadow val="0"/>
        <vertAlign val="baseline"/>
        <sz val="10"/>
        <color rgb="FFFF0000"/>
        <name val="Calibri Light"/>
        <family val="2"/>
        <scheme val="major"/>
      </font>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165" formatCode="dd/mm/yyyy"/>
      <fill>
        <patternFill patternType="solid">
          <fgColor indexed="64"/>
          <bgColor theme="9" tint="0.79998168889431442"/>
        </patternFill>
      </fill>
      <alignment horizontal="left"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rgb="FFFF0000"/>
        <name val="Calibri Light"/>
        <family val="2"/>
        <scheme val="major"/>
      </font>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165" formatCode="dd/mm/yyyy"/>
      <fill>
        <patternFill patternType="solid">
          <fgColor indexed="64"/>
          <bgColor theme="9" tint="0.79998168889431442"/>
        </patternFill>
      </fill>
      <alignment horizontal="left" vertical="bottom"/>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rgb="FFFF0000"/>
        <name val="Calibri Light"/>
        <family val="2"/>
        <scheme val="major"/>
      </font>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165" formatCode="dd/mm/yyyy"/>
      <fill>
        <patternFill patternType="solid">
          <fgColor indexed="64"/>
          <bgColor theme="9" tint="0.79998168889431442"/>
        </patternFill>
      </fill>
      <alignment horizontal="left" vertical="bottom"/>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rgb="FFFF0000"/>
        <name val="Calibri Light"/>
        <family val="2"/>
        <scheme val="major"/>
      </font>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165" formatCode="dd/mm/yyyy"/>
      <fill>
        <patternFill patternType="solid">
          <fgColor indexed="64"/>
          <bgColor theme="9" tint="0.79998168889431442"/>
        </patternFill>
      </fill>
      <alignment horizontal="left" vertical="bottom"/>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rgb="FFFF0000"/>
        <name val="Calibri Light"/>
        <family val="2"/>
        <scheme val="major"/>
      </font>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165" formatCode="dd/mm/yyyy"/>
      <alignment horizontal="left"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Light"/>
        <family val="2"/>
        <scheme val="major"/>
      </font>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numFmt numFmtId="0" formatCode="General"/>
      <alignment horizontal="left" vertical="center"/>
      <border outline="0">
        <left style="thin">
          <color indexed="64"/>
        </left>
        <right style="thin">
          <color indexed="64"/>
        </right>
        <top/>
        <bottom style="thin">
          <color indexed="64"/>
        </bottom>
      </border>
    </dxf>
    <dxf>
      <font>
        <strike val="0"/>
        <condense val="0"/>
        <extend val="0"/>
        <outline val="0"/>
        <shadow val="0"/>
        <vertAlign val="baseline"/>
        <sz val="10"/>
        <color theme="1"/>
        <name val="Calibri Light"/>
        <family val="2"/>
        <scheme val="major"/>
      </font>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alignment horizontal="left"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Light"/>
        <family val="2"/>
        <scheme val="major"/>
      </font>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alignment horizontal="left" vertical="center"/>
      <border outline="0">
        <left style="thin">
          <color indexed="64"/>
        </left>
        <right style="thin">
          <color indexed="64"/>
        </right>
        <top/>
        <bottom style="thin">
          <color indexed="64"/>
        </bottom>
      </border>
    </dxf>
    <dxf>
      <font>
        <strike val="0"/>
        <condense val="0"/>
        <extend val="0"/>
        <outline val="0"/>
        <shadow val="0"/>
        <vertAlign val="baseline"/>
        <sz val="10"/>
        <color theme="1"/>
        <name val="Calibri Light"/>
        <family val="2"/>
        <scheme val="major"/>
      </font>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alignment horizontal="left"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Light"/>
        <family val="2"/>
        <scheme val="major"/>
      </font>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alignment horizontal="left"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Light"/>
        <family val="2"/>
        <scheme val="major"/>
      </font>
      <alignment horizontal="general"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fill>
        <patternFill patternType="solid">
          <fgColor indexed="64"/>
          <bgColor theme="9" tint="0.79998168889431442"/>
        </patternFill>
      </fill>
      <alignment horizontal="left"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Light"/>
        <family val="2"/>
        <scheme val="major"/>
      </font>
      <alignment horizontal="general"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fill>
        <patternFill patternType="solid">
          <fgColor indexed="64"/>
          <bgColor theme="9" tint="0.79998168889431442"/>
        </patternFill>
      </fill>
      <alignment horizontal="left"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Light"/>
        <family val="2"/>
        <scheme val="major"/>
      </font>
      <alignment horizontal="general"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alignment horizontal="left"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Light"/>
        <family val="2"/>
        <scheme val="major"/>
      </font>
      <fill>
        <patternFill patternType="solid">
          <fgColor theme="0"/>
          <bgColor theme="0"/>
        </patternFill>
      </fill>
      <alignment horizontal="center" vertical="center"/>
      <border outline="0">
        <left style="thin">
          <color indexed="64"/>
        </left>
        <right style="thin">
          <color indexed="64"/>
        </right>
        <top/>
        <bottom/>
      </border>
    </dxf>
    <dxf>
      <font>
        <strike val="0"/>
        <condense val="0"/>
        <extend val="0"/>
        <outline val="0"/>
        <shadow val="0"/>
        <vertAlign val="baseline"/>
        <sz val="10"/>
        <color auto="1"/>
        <name val="Calibri Light"/>
        <family val="2"/>
        <scheme val="major"/>
      </font>
      <fill>
        <patternFill patternType="solid">
          <fgColor theme="0"/>
          <bgColor theme="0"/>
        </patternFill>
      </fill>
      <alignment horizontal="left"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Light"/>
        <family val="2"/>
        <scheme val="major"/>
      </font>
      <fill>
        <patternFill patternType="solid">
          <fgColor theme="0"/>
          <bgColor theme="0"/>
        </patternFill>
      </fill>
      <alignment horizontal="left" vertical="center"/>
      <border outline="0">
        <left/>
        <right style="thin">
          <color indexed="64"/>
        </right>
        <top/>
        <bottom/>
      </border>
    </dxf>
    <dxf>
      <font>
        <strike val="0"/>
        <condense val="0"/>
        <extend val="0"/>
        <outline val="0"/>
        <shadow val="0"/>
        <vertAlign val="baseline"/>
        <sz val="10"/>
        <color auto="1"/>
        <name val="Calibri Light"/>
        <family val="2"/>
        <scheme val="major"/>
      </font>
      <fill>
        <patternFill patternType="solid">
          <fgColor theme="0"/>
          <bgColor theme="0"/>
        </patternFill>
      </fill>
      <alignment horizontal="left"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Calibri Light"/>
        <family val="2"/>
        <scheme val="major"/>
      </font>
      <fill>
        <patternFill patternType="solid">
          <fgColor rgb="FFE2EFD9"/>
          <bgColor theme="9" tint="0.79998168889431442"/>
        </patternFill>
      </fill>
      <alignment horizontal="left" vertical="center"/>
      <border outline="0">
        <left/>
        <right style="thin">
          <color indexed="64"/>
        </right>
        <top/>
        <bottom style="thin">
          <color indexed="64"/>
        </bottom>
      </border>
    </dxf>
    <dxf>
      <font>
        <strike val="0"/>
        <condense val="0"/>
        <extend val="0"/>
        <outline val="0"/>
        <shadow val="0"/>
        <vertAlign val="baseline"/>
        <sz val="10"/>
        <color auto="1"/>
        <name val="Calibri Light"/>
        <family val="2"/>
        <scheme val="major"/>
      </font>
      <fill>
        <patternFill patternType="solid">
          <fgColor rgb="FFE2EFD9"/>
          <bgColor theme="9" tint="0.79998168889431442"/>
        </patternFill>
      </fill>
      <alignment horizontal="left" vertical="center"/>
      <border outline="0">
        <left/>
        <right style="thin">
          <color indexed="64"/>
        </right>
        <top/>
        <bottom style="thin">
          <color indexed="64"/>
        </bottom>
      </border>
    </dxf>
    <dxf>
      <border outline="0">
        <left style="medium">
          <color indexed="64"/>
        </left>
      </border>
    </dxf>
    <dxf>
      <font>
        <strike val="0"/>
        <outline val="0"/>
        <shadow val="0"/>
        <vertAlign val="baseline"/>
        <sz val="10"/>
        <color auto="1"/>
        <name val="Calibri Light"/>
        <family val="2"/>
        <scheme val="major"/>
      </font>
      <alignment horizontal="left"/>
    </dxf>
    <dxf>
      <font>
        <strike val="0"/>
        <condense val="0"/>
        <extend val="0"/>
        <outline val="0"/>
        <shadow val="0"/>
        <vertAlign val="baseline"/>
        <sz val="10"/>
        <color theme="0"/>
        <name val="Calibri Light"/>
        <family val="2"/>
        <scheme val="major"/>
      </font>
      <numFmt numFmtId="165" formatCode="dd/mm/yyyy"/>
      <fill>
        <patternFill patternType="solid">
          <fgColor rgb="FF385623"/>
          <bgColor theme="9" tint="-0.249977111117893"/>
        </patternFill>
      </fill>
      <alignment horizontal="center" vertical="center" wrapText="1"/>
      <border outline="0">
        <left style="thin">
          <color rgb="FF000000"/>
        </left>
        <right style="thin">
          <color rgb="FF000000"/>
        </right>
        <top/>
        <bottom/>
      </border>
    </dxf>
    <dxf>
      <numFmt numFmtId="19" formatCode="m/d/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rPr>
              <a:t>Tipo de contrato</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58785692427053293"/>
          <c:y val="5.6444444444444443E-2"/>
        </c:manualLayout>
      </c:layout>
      <c:overlay val="1"/>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lotArea>
      <c:layout/>
      <c:pieChart>
        <c:varyColors val="1"/>
        <c:ser>
          <c:idx val="0"/>
          <c:order val="0"/>
          <c:tx>
            <c:strRef>
              <c:f>'Painel Manutenção'!$B$10</c:f>
              <c:strCache>
                <c:ptCount val="1"/>
                <c:pt idx="0">
                  <c:v>Contagem</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8A2-4D6C-B3AD-9C377CED8CB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DB5-460B-AF23-BA60A9FBA7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'Painel Manutenção'!$A$11:$A$12</c:f>
              <c:strCache>
                <c:ptCount val="2"/>
                <c:pt idx="0">
                  <c:v>EPC</c:v>
                </c:pt>
                <c:pt idx="1">
                  <c:v>ESCO</c:v>
                </c:pt>
              </c:strCache>
            </c:strRef>
          </c:cat>
          <c:val>
            <c:numRef>
              <c:f>'Painel Manutenção'!$B$11:$B$12</c:f>
              <c:numCache>
                <c:formatCode>General</c:formatCode>
                <c:ptCount val="2"/>
                <c:pt idx="0">
                  <c:v>22</c:v>
                </c:pt>
                <c:pt idx="1">
                  <c:v>67</c:v>
                </c:pt>
              </c:numCache>
            </c:numRef>
          </c:val>
          <c:extLst>
            <c:ext xmlns:c16="http://schemas.microsoft.com/office/drawing/2014/chart" uri="{C3380CC4-5D6E-409C-BE32-E72D297353CC}">
              <c16:uniqueId val="{00000000-48A2-4D6C-B3AD-9C377CED8CB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1.3804479084526618E-2"/>
          <c:y val="4.2333333333333334E-2"/>
          <c:w val="0.20477266176270781"/>
          <c:h val="7.9375555555555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Retenção</a:t>
            </a:r>
          </a:p>
        </c:rich>
      </c:tx>
      <c:layout>
        <c:manualLayout>
          <c:xMode val="edge"/>
          <c:yMode val="edge"/>
          <c:x val="0.6241089326921383"/>
          <c:y val="2.8222222222222221E-2"/>
        </c:manualLayout>
      </c:layout>
      <c:overlay val="1"/>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'Painel Manutenção'!$I$10</c:f>
              <c:strCache>
                <c:ptCount val="1"/>
                <c:pt idx="0">
                  <c:v>Contagem</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92-49ED-B173-9F0C5ECFDFD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592-49ED-B173-9F0C5ECFDFD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'Painel Manutenção'!$H$11:$H$12</c:f>
              <c:strCache>
                <c:ptCount val="2"/>
                <c:pt idx="0">
                  <c:v>no</c:v>
                </c:pt>
                <c:pt idx="1">
                  <c:v>yes</c:v>
                </c:pt>
              </c:strCache>
            </c:strRef>
          </c:cat>
          <c:val>
            <c:numRef>
              <c:f>'Painel Manutenção'!$I$11:$I$12</c:f>
              <c:numCache>
                <c:formatCode>General</c:formatCode>
                <c:ptCount val="2"/>
                <c:pt idx="0">
                  <c:v>9</c:v>
                </c:pt>
                <c:pt idx="1">
                  <c:v>80</c:v>
                </c:pt>
              </c:numCache>
            </c:numRef>
          </c:val>
          <c:extLst>
            <c:ext xmlns:c16="http://schemas.microsoft.com/office/drawing/2014/chart" uri="{C3380CC4-5D6E-409C-BE32-E72D297353CC}">
              <c16:uniqueId val="{00000000-484E-4954-B7AB-9703BDB019D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2.0376144257135624E-2"/>
          <c:y val="4.2333333333333334E-2"/>
          <c:w val="0.14791265185811506"/>
          <c:h val="7.9375555555555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Ano Conlusão de Contrato</a:t>
            </a:r>
          </a:p>
        </c:rich>
      </c:tx>
      <c:overlay val="1"/>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7.4845070595683738E-2"/>
          <c:y val="7.5259259259259262E-2"/>
          <c:w val="0.90017444540743896"/>
          <c:h val="0.75917851851851847"/>
        </c:manualLayout>
      </c:layout>
      <c:barChart>
        <c:barDir val="col"/>
        <c:grouping val="clustered"/>
        <c:varyColors val="1"/>
        <c:ser>
          <c:idx val="0"/>
          <c:order val="0"/>
          <c:tx>
            <c:strRef>
              <c:f>'Painel Manutenção'!$J$27</c:f>
              <c:strCache>
                <c:ptCount val="1"/>
                <c:pt idx="0">
                  <c:v>Contagem</c:v>
                </c:pt>
              </c:strCache>
            </c:strRef>
          </c:tx>
          <c:invertIfNegative val="1"/>
          <c:dPt>
            <c:idx val="0"/>
            <c:invertIfNegative val="1"/>
            <c:bubble3D val="0"/>
            <c:spPr>
              <a:pattFill prst="narHorz">
                <a:fgClr>
                  <a:schemeClr val="accent1"/>
                </a:fgClr>
                <a:bgClr>
                  <a:schemeClr val="accent1">
                    <a:lumMod val="20000"/>
                    <a:lumOff val="80000"/>
                  </a:schemeClr>
                </a:bgClr>
              </a:pattFill>
              <a:ln>
                <a:noFill/>
              </a:ln>
              <a:effectLst>
                <a:innerShdw blurRad="114300">
                  <a:schemeClr val="accent1"/>
                </a:innerShdw>
              </a:effectLst>
            </c:spPr>
            <c:extLst>
              <c:ext xmlns:c16="http://schemas.microsoft.com/office/drawing/2014/chart" uri="{C3380CC4-5D6E-409C-BE32-E72D297353CC}">
                <c16:uniqueId val="{00000001-00EA-48C7-8555-8F16034466E2}"/>
              </c:ext>
            </c:extLst>
          </c:dPt>
          <c:dPt>
            <c:idx val="1"/>
            <c:invertIfNegative val="1"/>
            <c:bubble3D val="0"/>
            <c:spPr>
              <a:pattFill prst="narHorz">
                <a:fgClr>
                  <a:schemeClr val="accent2"/>
                </a:fgClr>
                <a:bgClr>
                  <a:schemeClr val="accent2">
                    <a:lumMod val="20000"/>
                    <a:lumOff val="80000"/>
                  </a:schemeClr>
                </a:bgClr>
              </a:pattFill>
              <a:ln>
                <a:noFill/>
              </a:ln>
              <a:effectLst>
                <a:innerShdw blurRad="114300">
                  <a:schemeClr val="accent2"/>
                </a:innerShdw>
              </a:effectLst>
            </c:spPr>
            <c:extLst>
              <c:ext xmlns:c16="http://schemas.microsoft.com/office/drawing/2014/chart" uri="{C3380CC4-5D6E-409C-BE32-E72D297353CC}">
                <c16:uniqueId val="{00000003-00EA-48C7-8555-8F16034466E2}"/>
              </c:ext>
            </c:extLst>
          </c:dPt>
          <c:dPt>
            <c:idx val="2"/>
            <c:invertIfNegative val="1"/>
            <c:bubble3D val="0"/>
            <c:spPr>
              <a:pattFill prst="narHorz">
                <a:fgClr>
                  <a:schemeClr val="accent3"/>
                </a:fgClr>
                <a:bgClr>
                  <a:schemeClr val="accent3">
                    <a:lumMod val="20000"/>
                    <a:lumOff val="80000"/>
                  </a:schemeClr>
                </a:bgClr>
              </a:pattFill>
              <a:ln>
                <a:noFill/>
              </a:ln>
              <a:effectLst>
                <a:innerShdw blurRad="114300">
                  <a:schemeClr val="accent3"/>
                </a:innerShdw>
              </a:effectLst>
            </c:spPr>
            <c:extLst>
              <c:ext xmlns:c16="http://schemas.microsoft.com/office/drawing/2014/chart" uri="{C3380CC4-5D6E-409C-BE32-E72D297353CC}">
                <c16:uniqueId val="{00000005-00EA-48C7-8555-8F16034466E2}"/>
              </c:ext>
            </c:extLst>
          </c:dPt>
          <c:dPt>
            <c:idx val="3"/>
            <c:invertIfNegative val="1"/>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7-00EA-48C7-8555-8F16034466E2}"/>
              </c:ext>
            </c:extLst>
          </c:dPt>
          <c:dPt>
            <c:idx val="4"/>
            <c:invertIfNegative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9-00EA-48C7-8555-8F16034466E2}"/>
              </c:ext>
            </c:extLst>
          </c:dPt>
          <c:dPt>
            <c:idx val="5"/>
            <c:invertIfNegative val="1"/>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B-00EA-48C7-8555-8F16034466E2}"/>
              </c:ext>
            </c:extLst>
          </c:dPt>
          <c:dPt>
            <c:idx val="6"/>
            <c:invertIfNegative val="1"/>
            <c:bubble3D val="0"/>
            <c:spPr>
              <a:pattFill prst="narHorz">
                <a:fgClr>
                  <a:schemeClr val="accent1">
                    <a:lumMod val="60000"/>
                  </a:schemeClr>
                </a:fgClr>
                <a:bgClr>
                  <a:schemeClr val="accent1">
                    <a:lumMod val="60000"/>
                    <a:lumMod val="20000"/>
                    <a:lumOff val="80000"/>
                  </a:schemeClr>
                </a:bgClr>
              </a:pattFill>
              <a:ln>
                <a:noFill/>
              </a:ln>
              <a:effectLst>
                <a:innerShdw blurRad="114300">
                  <a:schemeClr val="accent1">
                    <a:lumMod val="60000"/>
                  </a:schemeClr>
                </a:innerShdw>
              </a:effectLst>
            </c:spPr>
            <c:extLst>
              <c:ext xmlns:c16="http://schemas.microsoft.com/office/drawing/2014/chart" uri="{C3380CC4-5D6E-409C-BE32-E72D297353CC}">
                <c16:uniqueId val="{0000000D-00EA-48C7-8555-8F16034466E2}"/>
              </c:ext>
            </c:extLst>
          </c:dPt>
          <c:dPt>
            <c:idx val="7"/>
            <c:invertIfNegative val="1"/>
            <c:bubble3D val="0"/>
            <c:spPr>
              <a:pattFill prst="narHorz">
                <a:fgClr>
                  <a:schemeClr val="accent2">
                    <a:lumMod val="60000"/>
                  </a:schemeClr>
                </a:fgClr>
                <a:bgClr>
                  <a:schemeClr val="accent2">
                    <a:lumMod val="60000"/>
                    <a:lumMod val="20000"/>
                    <a:lumOff val="80000"/>
                  </a:schemeClr>
                </a:bgClr>
              </a:pattFill>
              <a:ln>
                <a:noFill/>
              </a:ln>
              <a:effectLst>
                <a:innerShdw blurRad="114300">
                  <a:schemeClr val="accent2">
                    <a:lumMod val="60000"/>
                  </a:schemeClr>
                </a:innerShdw>
              </a:effectLst>
            </c:spPr>
            <c:extLst>
              <c:ext xmlns:c16="http://schemas.microsoft.com/office/drawing/2014/chart" uri="{C3380CC4-5D6E-409C-BE32-E72D297353CC}">
                <c16:uniqueId val="{0000000F-00EA-48C7-8555-8F16034466E2}"/>
              </c:ext>
            </c:extLst>
          </c:dPt>
          <c:dPt>
            <c:idx val="8"/>
            <c:invertIfNegative val="1"/>
            <c:bubble3D val="0"/>
            <c:spPr>
              <a:pattFill prst="narHorz">
                <a:fgClr>
                  <a:schemeClr val="accent3">
                    <a:lumMod val="60000"/>
                  </a:schemeClr>
                </a:fgClr>
                <a:bgClr>
                  <a:schemeClr val="accent3">
                    <a:lumMod val="60000"/>
                    <a:lumMod val="20000"/>
                    <a:lumOff val="80000"/>
                  </a:schemeClr>
                </a:bgClr>
              </a:pattFill>
              <a:ln>
                <a:noFill/>
              </a:ln>
              <a:effectLst>
                <a:innerShdw blurRad="114300">
                  <a:schemeClr val="accent3">
                    <a:lumMod val="60000"/>
                  </a:schemeClr>
                </a:innerShdw>
              </a:effectLst>
            </c:spPr>
            <c:extLst>
              <c:ext xmlns:c16="http://schemas.microsoft.com/office/drawing/2014/chart" uri="{C3380CC4-5D6E-409C-BE32-E72D297353CC}">
                <c16:uniqueId val="{00000011-00EA-48C7-8555-8F16034466E2}"/>
              </c:ext>
            </c:extLst>
          </c:dPt>
          <c:dPt>
            <c:idx val="9"/>
            <c:invertIfNegative val="1"/>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13-00EA-48C7-8555-8F16034466E2}"/>
              </c:ext>
            </c:extLst>
          </c:dPt>
          <c:dPt>
            <c:idx val="10"/>
            <c:invertIfNegative val="1"/>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15-00EA-48C7-8555-8F16034466E2}"/>
              </c:ext>
            </c:extLst>
          </c:dPt>
          <c:dPt>
            <c:idx val="11"/>
            <c:invertIfNegative val="1"/>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17-00EA-48C7-8555-8F16034466E2}"/>
              </c:ext>
            </c:extLst>
          </c:dPt>
          <c:dPt>
            <c:idx val="12"/>
            <c:invertIfNegative val="1"/>
            <c:bubble3D val="0"/>
            <c:spPr>
              <a:pattFill prst="narHorz">
                <a:fgClr>
                  <a:schemeClr val="accent1">
                    <a:lumMod val="80000"/>
                    <a:lumOff val="20000"/>
                  </a:schemeClr>
                </a:fgClr>
                <a:bgClr>
                  <a:schemeClr val="accent1">
                    <a:lumMod val="80000"/>
                    <a:lumOff val="20000"/>
                    <a:lumMod val="20000"/>
                    <a:lumOff val="80000"/>
                  </a:schemeClr>
                </a:bgClr>
              </a:pattFill>
              <a:ln>
                <a:noFill/>
              </a:ln>
              <a:effectLst>
                <a:innerShdw blurRad="114300">
                  <a:schemeClr val="accent1">
                    <a:lumMod val="80000"/>
                    <a:lumOff val="20000"/>
                  </a:schemeClr>
                </a:innerShdw>
              </a:effectLst>
            </c:spPr>
            <c:extLst>
              <c:ext xmlns:c16="http://schemas.microsoft.com/office/drawing/2014/chart" uri="{C3380CC4-5D6E-409C-BE32-E72D297353CC}">
                <c16:uniqueId val="{00000019-00EA-48C7-8555-8F16034466E2}"/>
              </c:ext>
            </c:extLst>
          </c:dPt>
          <c:dPt>
            <c:idx val="13"/>
            <c:invertIfNegative val="1"/>
            <c:bubble3D val="0"/>
            <c:spPr>
              <a:pattFill prst="narHorz">
                <a:fgClr>
                  <a:schemeClr val="accent2">
                    <a:lumMod val="80000"/>
                    <a:lumOff val="20000"/>
                  </a:schemeClr>
                </a:fgClr>
                <a:bgClr>
                  <a:schemeClr val="accent2">
                    <a:lumMod val="80000"/>
                    <a:lumOff val="20000"/>
                    <a:lumMod val="20000"/>
                    <a:lumOff val="80000"/>
                  </a:schemeClr>
                </a:bgClr>
              </a:pattFill>
              <a:ln>
                <a:noFill/>
              </a:ln>
              <a:effectLst>
                <a:innerShdw blurRad="114300">
                  <a:schemeClr val="accent2">
                    <a:lumMod val="80000"/>
                    <a:lumOff val="20000"/>
                  </a:schemeClr>
                </a:innerShdw>
              </a:effectLst>
            </c:spPr>
            <c:extLst>
              <c:ext xmlns:c16="http://schemas.microsoft.com/office/drawing/2014/chart" uri="{C3380CC4-5D6E-409C-BE32-E72D297353CC}">
                <c16:uniqueId val="{0000001B-00EA-48C7-8555-8F16034466E2}"/>
              </c:ext>
            </c:extLst>
          </c:dPt>
          <c:cat>
            <c:numRef>
              <c:f>'Painel Manutenção'!$I$28:$I$41</c:f>
              <c:numCache>
                <c:formatCode>General</c:formatCode>
                <c:ptCount val="14"/>
                <c:pt idx="0">
                  <c:v>2026</c:v>
                </c:pt>
                <c:pt idx="1">
                  <c:v>2027</c:v>
                </c:pt>
                <c:pt idx="2">
                  <c:v>2028</c:v>
                </c:pt>
                <c:pt idx="3">
                  <c:v>2029</c:v>
                </c:pt>
                <c:pt idx="4">
                  <c:v>2032</c:v>
                </c:pt>
                <c:pt idx="5">
                  <c:v>2033</c:v>
                </c:pt>
                <c:pt idx="6">
                  <c:v>2034</c:v>
                </c:pt>
                <c:pt idx="7">
                  <c:v>2035</c:v>
                </c:pt>
                <c:pt idx="8">
                  <c:v>2036</c:v>
                </c:pt>
                <c:pt idx="9">
                  <c:v>2037</c:v>
                </c:pt>
                <c:pt idx="10">
                  <c:v>2038</c:v>
                </c:pt>
                <c:pt idx="11">
                  <c:v>2039</c:v>
                </c:pt>
                <c:pt idx="12">
                  <c:v>2041</c:v>
                </c:pt>
                <c:pt idx="13">
                  <c:v>2043</c:v>
                </c:pt>
              </c:numCache>
            </c:numRef>
          </c:cat>
          <c:val>
            <c:numRef>
              <c:f>'Painel Manutenção'!$J$28:$J$41</c:f>
              <c:numCache>
                <c:formatCode>General</c:formatCode>
                <c:ptCount val="14"/>
                <c:pt idx="0">
                  <c:v>5</c:v>
                </c:pt>
                <c:pt idx="1">
                  <c:v>8</c:v>
                </c:pt>
                <c:pt idx="2">
                  <c:v>5</c:v>
                </c:pt>
                <c:pt idx="3">
                  <c:v>3</c:v>
                </c:pt>
                <c:pt idx="4">
                  <c:v>3</c:v>
                </c:pt>
                <c:pt idx="5">
                  <c:v>7</c:v>
                </c:pt>
                <c:pt idx="6">
                  <c:v>3</c:v>
                </c:pt>
                <c:pt idx="7">
                  <c:v>7</c:v>
                </c:pt>
                <c:pt idx="8">
                  <c:v>10</c:v>
                </c:pt>
                <c:pt idx="9">
                  <c:v>5</c:v>
                </c:pt>
                <c:pt idx="10">
                  <c:v>16</c:v>
                </c:pt>
                <c:pt idx="11">
                  <c:v>5</c:v>
                </c:pt>
                <c:pt idx="12">
                  <c:v>2</c:v>
                </c:pt>
                <c:pt idx="13">
                  <c:v>1</c:v>
                </c:pt>
              </c:numCache>
            </c:numRef>
          </c:val>
          <c:extLst>
            <c:ext xmlns:c16="http://schemas.microsoft.com/office/drawing/2014/chart" uri="{C3380CC4-5D6E-409C-BE32-E72D297353CC}">
              <c16:uniqueId val="{00000000-AEC8-48C7-A535-EC0253FCFAB4}"/>
            </c:ext>
          </c:extLst>
        </c:ser>
        <c:dLbls>
          <c:showLegendKey val="0"/>
          <c:showVal val="0"/>
          <c:showCatName val="0"/>
          <c:showSerName val="0"/>
          <c:showPercent val="0"/>
          <c:showBubbleSize val="0"/>
        </c:dLbls>
        <c:gapWidth val="164"/>
        <c:overlap val="-22"/>
        <c:axId val="10"/>
        <c:axId val="100"/>
      </c:barChart>
      <c:dateAx>
        <c:axId val="1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0"/>
        <c:lblOffset val="100"/>
        <c:baseTimeUnit val="days"/>
      </c:dateAx>
      <c:valAx>
        <c:axId val="1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Localizações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'Painel Manutenção'!$A$28:$A$37</c:f>
              <c:strCache>
                <c:ptCount val="10"/>
                <c:pt idx="0">
                  <c:v>Lisboa</c:v>
                </c:pt>
                <c:pt idx="1">
                  <c:v>Leiria</c:v>
                </c:pt>
                <c:pt idx="2">
                  <c:v>Santarém</c:v>
                </c:pt>
                <c:pt idx="3">
                  <c:v>Sintra</c:v>
                </c:pt>
                <c:pt idx="4">
                  <c:v>Porto</c:v>
                </c:pt>
                <c:pt idx="5">
                  <c:v>Castelo Branco</c:v>
                </c:pt>
                <c:pt idx="6">
                  <c:v>Setúbal</c:v>
                </c:pt>
                <c:pt idx="7">
                  <c:v>Aveiro</c:v>
                </c:pt>
                <c:pt idx="8">
                  <c:v>Badajoz</c:v>
                </c:pt>
                <c:pt idx="9">
                  <c:v>São João da Madeira</c:v>
                </c:pt>
              </c:strCache>
            </c:strRef>
          </c:cat>
          <c:val>
            <c:numRef>
              <c:f>'Painel Manutenção'!$B$28:$B$37</c:f>
              <c:numCache>
                <c:formatCode>General</c:formatCode>
                <c:ptCount val="10"/>
                <c:pt idx="0">
                  <c:v>8</c:v>
                </c:pt>
                <c:pt idx="1">
                  <c:v>8</c:v>
                </c:pt>
                <c:pt idx="2">
                  <c:v>7</c:v>
                </c:pt>
                <c:pt idx="3">
                  <c:v>6</c:v>
                </c:pt>
                <c:pt idx="4">
                  <c:v>4</c:v>
                </c:pt>
                <c:pt idx="5">
                  <c:v>4</c:v>
                </c:pt>
                <c:pt idx="6">
                  <c:v>4</c:v>
                </c:pt>
                <c:pt idx="7">
                  <c:v>3</c:v>
                </c:pt>
                <c:pt idx="8">
                  <c:v>3</c:v>
                </c:pt>
                <c:pt idx="9">
                  <c:v>2</c:v>
                </c:pt>
              </c:numCache>
            </c:numRef>
          </c:val>
          <c:extLst>
            <c:ext xmlns:c16="http://schemas.microsoft.com/office/drawing/2014/chart" uri="{C3380CC4-5D6E-409C-BE32-E72D297353CC}">
              <c16:uniqueId val="{00000000-45A4-46D7-9606-8B7FD5DBE9D0}"/>
            </c:ext>
          </c:extLst>
        </c:ser>
        <c:dLbls>
          <c:showLegendKey val="0"/>
          <c:showVal val="0"/>
          <c:showCatName val="0"/>
          <c:showSerName val="0"/>
          <c:showPercent val="0"/>
          <c:showBubbleSize val="0"/>
        </c:dLbls>
        <c:gapWidth val="164"/>
        <c:overlap val="-22"/>
        <c:axId val="181530303"/>
        <c:axId val="181528383"/>
      </c:barChart>
      <c:catAx>
        <c:axId val="18153030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8383"/>
        <c:crosses val="autoZero"/>
        <c:auto val="1"/>
        <c:lblAlgn val="ctr"/>
        <c:lblOffset val="100"/>
        <c:noMultiLvlLbl val="0"/>
      </c:catAx>
      <c:valAx>
        <c:axId val="181528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03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68580</xdr:colOff>
      <xdr:row>9</xdr:row>
      <xdr:rowOff>57150</xdr:rowOff>
    </xdr:from>
    <xdr:ext cx="3937635" cy="27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114299</xdr:colOff>
      <xdr:row>9</xdr:row>
      <xdr:rowOff>62865</xdr:rowOff>
    </xdr:from>
    <xdr:ext cx="4257675" cy="270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10</xdr:col>
      <xdr:colOff>57149</xdr:colOff>
      <xdr:row>26</xdr:row>
      <xdr:rowOff>26670</xdr:rowOff>
    </xdr:from>
    <xdr:ext cx="4067175" cy="2700000"/>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xdr:from>
      <xdr:col>2</xdr:col>
      <xdr:colOff>78105</xdr:colOff>
      <xdr:row>26</xdr:row>
      <xdr:rowOff>66675</xdr:rowOff>
    </xdr:from>
    <xdr:to>
      <xdr:col>7</xdr:col>
      <xdr:colOff>590550</xdr:colOff>
      <xdr:row>41</xdr:row>
      <xdr:rowOff>93345</xdr:rowOff>
    </xdr:to>
    <xdr:graphicFrame macro="">
      <xdr:nvGraphicFramePr>
        <xdr:cNvPr id="7" name="Chart 6">
          <a:extLst>
            <a:ext uri="{FF2B5EF4-FFF2-40B4-BE49-F238E27FC236}">
              <a16:creationId xmlns:a16="http://schemas.microsoft.com/office/drawing/2014/main" id="{E51510DA-A7CF-ADF9-3D77-E1E62A83E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S&#233;rgio/Downloads/Solcoraction_manutencao_com_form_e_validacao.xlsx" TargetMode="External"/><Relationship Id="rId2" Type="http://schemas.openxmlformats.org/officeDocument/2006/relationships/externalLinkPath" Target="file:///C:\Users\S&#233;rgio\Downloads\Solcoraction_manutencao_com_form_e_validacao.xlsx" TargetMode="External"/><Relationship Id="rId1" Type="http://schemas.openxmlformats.org/officeDocument/2006/relationships/externalLinkPath" Target="/Users/S&#233;rgio/Downloads/Solcoraction_manutencao_com_form_e_validaca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inel Manutenção"/>
      <sheetName val="Painel_Apoio"/>
      <sheetName val="Project Overview"/>
      <sheetName val="Sheet1"/>
      <sheetName val="Adicionar Projeto"/>
      <sheetName val="Validação Overview"/>
      <sheetName val="Venda do excedente"/>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érgio" refreshedDate="46122.517911689814" createdVersion="8" refreshedVersion="8" minRefreshableVersion="3" recordCount="264" xr:uid="{ABB5B39E-525B-41AF-8F27-55665A3A0D95}">
  <cacheSource type="worksheet">
    <worksheetSource name="Table1"/>
  </cacheSource>
  <cacheFields count="26">
    <cacheField name="N°" numFmtId="0">
      <sharedItems containsMixedTypes="1" containsNumber="1" containsInteger="1" minValue="1" maxValue="256" count="25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s v="extra"/>
        <n v="245"/>
        <n v="246"/>
        <n v="247"/>
        <n v="248"/>
        <n v="249"/>
        <n v="250"/>
        <n v="251"/>
        <n v="252"/>
        <n v="253"/>
        <n v="254"/>
        <n v="255"/>
        <n v="256"/>
      </sharedItems>
    </cacheField>
    <cacheField name="Project" numFmtId="0">
      <sharedItems containsBlank="1" count="264">
        <s v="A Colmeia do Minho"/>
        <s v="Florineve"/>
        <s v="Dialogos do Bosque"/>
        <s v="Pires Lourenço 2"/>
        <s v="Pires Lourenço 1"/>
        <s v="Usinage"/>
        <s v="Museu Caramulo"/>
        <s v="Confrontar Sabores"/>
        <s v="Marmores da Granja"/>
        <s v="Landshause"/>
        <s v="Lusobatata"/>
        <s v="Solidus"/>
        <s v="NC Logistica"/>
        <s v="Marmo J"/>
        <s v="Roufimar"/>
        <s v="Viarco"/>
        <s v="O Zé Pacheco"/>
        <s v="Amadois"/>
        <s v="Transportes Rapido"/>
        <s v="Granetos"/>
        <s v="Queijaria Inacio Corvelo"/>
        <s v="Topeca"/>
        <s v="Mindtrooper"/>
        <s v="Heden"/>
        <s v="Bolo do Caco"/>
        <s v="Betafiel"/>
        <s v="Multiaves"/>
        <s v="ITM Moita"/>
        <s v="Serralharia Vieira"/>
        <s v="Colégio Nossa Senhora da Apresentação"/>
        <s v="Absorvalor"/>
        <s v="MC Rios"/>
        <s v="VCP"/>
        <s v="Sicobrita"/>
        <s v="Mirandesa"/>
        <s v="Jovi-Sola"/>
        <s v="Joaquim Pinheiro Santos"/>
        <s v="Ferraz &amp; Ferreira"/>
        <s v="LIDL "/>
        <s v="ELS Sede"/>
        <s v="ELS Bolo do Caco"/>
        <s v="Mármores Galrão"/>
        <s v="Granitos Galrão do Norte"/>
        <s v="Ardavi"/>
        <s v="Textil do Marco"/>
        <s v="Diaco Fábrica 1"/>
        <s v="Diaco - Agriloja Tomar"/>
        <s v="Diaco - Casa"/>
        <s v="Pinhão &amp; Irmão"/>
        <s v="Jetesetecar"/>
        <s v="ELS Laundos"/>
        <s v="Vatel"/>
        <s v="Tecnisata"/>
        <s v="Moviportas 1 - Sede"/>
        <s v="Moviportas 2"/>
        <s v="Moviportas 3 - casa"/>
        <s v="Homeupdate"/>
        <s v="ELS Guia"/>
        <s v="Dayton Progress"/>
        <s v="RAP Industrial"/>
        <s v="DRA Detergentes"/>
        <s v="Corkplas Armazém 21"/>
        <s v="Corkplas Armazém 13"/>
        <s v="Jeteprodesing"/>
        <s v="BV Arruda dos Vinhos"/>
        <s v="Encontrus"/>
        <s v="Licofrutos"/>
        <s v="Pancrisp"/>
        <s v="Barbotina"/>
        <s v="ITECMO"/>
        <s v="Real Sport Clube"/>
        <s v="Agrovácuo"/>
        <s v="Maryasa "/>
        <s v="Diaco Agriloja Expanção"/>
        <s v="Diaco Expansão"/>
        <s v="Diaco Fabrica 2"/>
        <s v="Casa da Divina Providência e Maria Auxiliadora"/>
        <s v="Santa Casa da Misericordia Alpedrinha"/>
        <s v="ASCRECC - Lar da Cumieira"/>
        <s v="Colégio São José de Bairros (EPC)"/>
        <s v="SCM Entroncamento - Hospital S. Joao Batista (EPC)"/>
        <s v="SCM Entroncamento - Lar (EPC)"/>
        <s v="SCM Entroncamento UCCI"/>
        <s v="ARIPSI"/>
        <s v="Centro de dia de Alferrarede - Jardim de Infância"/>
        <s v="Centro de dia de Alferrarede - Lar"/>
        <s v="Bombeiros Rio Maior"/>
        <s v="Lar ASESM"/>
        <s v="Vidigal Wines (EPC)"/>
        <s v="EBI Boa Água"/>
        <s v="SCM Galizes (EPC)"/>
        <s v="Coopérnico - SCM Benavente (EPC)"/>
        <s v="APPACDM Lisboa - Lar das Pedralvas"/>
        <s v="APPACDM Lisboa - Centro Júlia Moreira"/>
        <s v="APPACDM Lisboa - Flor da Quinta"/>
        <s v="APPACDM Lisboa - Lar Alapraia 2"/>
        <s v="CERCILEI - Leiria (EPC)"/>
        <s v="CERCILEI - Porto de Mós (EPC)"/>
        <s v="Proteco (Cancelado)"/>
        <s v="O Casarão"/>
        <s v="Cercibeja (EPC)"/>
        <s v="FC Alverca - Pavilhão"/>
        <s v="FC Alverca - Centro de Formação"/>
        <s v="Textil do Marco (expansão)"/>
        <s v="Motassis (EPC)"/>
        <s v="Fábricas Lusitana (EPC)"/>
        <s v="Pinkplate"/>
        <s v="AGA (EPC)"/>
        <s v="Fravizel (EPC)"/>
        <s v="APPACDM da Maia"/>
        <s v="Fundação Irene Rolo"/>
        <s v="Pontual (EPC)"/>
        <s v="Neutripuro"/>
        <s v="Urb. Alto Moinhos (EPC)"/>
        <s v="CascavelSecar (EPC subcontratado)"/>
        <s v="Justino Alexandre Sardinha (EPC)"/>
        <s v="SCM Abrantes (EPC)"/>
        <s v="C.S.P. de Santo António de Lavre (EPC)"/>
        <s v="CRIA Abrantes"/>
        <s v="Herdade Fonte Paredes (EPC)"/>
        <s v="Centro de Saúde de Pêro Pinheiro (EPC)"/>
        <s v="BV Alcoentre"/>
        <s v="Iber-Oleff Marinha Grande (EPC)"/>
        <s v="BV Montelavar"/>
        <s v="Zé Pacheco - Expansão"/>
        <s v="Mabe (EPC Itália)"/>
        <s v="Bassani Batista"/>
        <s v="San Camillo Torino (EPC Itália)"/>
        <s v="Centro Paroquial Nossa Senhora da Anunciada "/>
        <s v="Agrovarandas (EPC)"/>
        <s v="Agrovácuo - Armazém (EPC)"/>
        <s v="Videtra"/>
        <s v="Alvarsol"/>
        <s v="Américo Duarte Paixão - SERP"/>
        <s v="Ignoramus - Herdade da Adema"/>
        <s v=" José João Pinheiro Barata - Fábrica"/>
        <s v="Banco BIG"/>
        <s v="Agromania"/>
        <s v="Agroarrão"/>
        <s v="Junta de Freguesia Quinta do Conde"/>
        <s v="Miniplas"/>
        <s v="Colvi - Chouto"/>
        <s v="Lisbon Cruise Port"/>
        <s v="CSP São João das Lampas "/>
        <s v="Centro Paroquial de Mafra"/>
        <s v="Mapadi "/>
        <s v="ABC Santa Maria de Sedielos"/>
        <s v="Lagar São Vicente - CER Telheiras "/>
        <s v="Marmocan"/>
        <s v="Condomínio Expo"/>
        <s v="Agro-Pecuária do Porto Alto"/>
        <s v="BV Sintra"/>
        <s v="Queijaria Lourenço &amp; Filhos (EPC)"/>
        <s v="António Evaristo Gonçalves - Projeto 1"/>
        <s v="António Evaristo Gonçalves - Projeto 3"/>
        <s v="Modelvision "/>
        <s v="Residência São Nuno de Santa Maria - Liga dos Combatentes"/>
        <s v="António Evaristo Gonçalves - Projeto 2"/>
        <s v="Monterosa"/>
        <s v="Centro Infantil - Centro Comunitário da Quinta do Conde"/>
        <s v="Sede - Centro Comunitário da Quinta do Conde"/>
        <s v="Lareiras Sousa"/>
        <s v="Protecnil"/>
        <s v="Descut"/>
        <s v="Esboços &amp; Esquadrias"/>
        <s v="Alojamento Estudantil Benfica"/>
        <s v="Sociedade Agricola da Perna Molhada"/>
        <s v="Sociedade Agricola Barracão do Duque"/>
        <s v="Sociedade Agricola Lagoalva de Cima"/>
        <s v="Hotel Pombalense"/>
        <s v="Freskus World"/>
        <s v="Fundação Maria Luísa Ruas"/>
        <s v="SCM Fronteira"/>
        <s v="Centro de dia - Vale de Maceiras"/>
        <s v="Santos Júlios - Metal Distendido"/>
        <s v="CPS RONFE"/>
        <s v="J. Ferreira &amp; Oliveira - Empresa"/>
        <s v="J. Ferreira &amp; Oliveira - Casa Andrea"/>
        <s v="J. Ferreira &amp; Oliveira - Casa Eliana"/>
        <s v="Entre Vinhas e Mar"/>
        <s v="Parabólica"/>
        <s v="Alegrivárias"/>
        <s v="Herdade da Maia"/>
        <s v="António Evaristo Gonçalves - Quinta Galvoa"/>
        <s v="Luís Baptista Gonçalves"/>
        <s v="Santos &amp; Ferreira"/>
        <s v="Intermarche Sesimbra"/>
        <s v=" LATI Setubal (EPC)"/>
        <s v=" APPACDM Portalegre (EPC)"/>
        <s v=" Casa Agrofeliz (EPC)"/>
        <s v=" SCM Alenquer (EPC)"/>
        <s v=" CSP Santo Aleixo (EPC)"/>
        <s v=" Obra Social Jean mile Anizan (EPC)"/>
        <s v=" Projeto Estacado Reguengo (Valada) (EPC)"/>
        <s v=" Projeto Estacado Xilau (EPC)"/>
        <s v=" BV Cabo Ruivo (EPC)"/>
        <s v=" SCM Resende (EPC)"/>
        <s v=" Manuel Barbosa &amp; Filhos (EPC)"/>
        <s v=" ITM Oliveira do Douro (EPC)"/>
        <s v=" APDP Lisboa (EPC)"/>
        <s v=" Lar Sol &amp; Mar (EPC)"/>
        <s v=" Barros CNC "/>
        <s v=" APCDI Pessegueiro do Vouga 1 (EPC)"/>
        <s v="APCDI Pessegueiro do Vouga 2 (EPC)"/>
        <s v="Colvi 3 (EPC)"/>
        <s v="BV Camarate"/>
        <s v="IberOleff Pombal"/>
        <s v="Doceleia (EPC)"/>
        <s v="AHBV Pinhal Novo"/>
        <s v="AHBV Lagos (EPC)"/>
        <s v="Centro Social Padre José Filipe Rodrigues"/>
        <s v="Biocaracol Paulo &amp; Isabel Fragoso lda (EPC)"/>
        <s v="Regency Salgados Hotel &amp; SPA (EPC)"/>
        <s v=" VCMC Industrias de Cozinha"/>
        <s v=" Lourinha e Filhos (EPC)"/>
        <s v="Mitromol"/>
        <s v="Alirações"/>
        <s v="ELS Expansão"/>
        <s v="Midalpa"/>
        <s v="Douropão"/>
        <s v="Vida Maior"/>
        <s v="8ª Avenida"/>
        <s v="Farmácia Santana"/>
        <s v="Use and Reuse"/>
        <s v="Quinta da Formiga"/>
        <s v="VCP expansão "/>
        <s v="Joaquim Pinheiro Santos Expansão"/>
        <s v="Helear"/>
        <s v="Pavilhão Alto da Faia - CER Telheiras"/>
        <s v="Lopal"/>
        <s v="Centro Bem Estar Social Minde"/>
        <s v="Bruno Miguel Rodrigues Carvalho"/>
        <s v="Moviportas 1 expansão"/>
        <s v="Moviportas 2 expansão"/>
        <s v="AHBV Vila Meã"/>
        <s v="Bomfelx"/>
        <s v="Luxflor"/>
        <s v="Oasis Elastomers"/>
        <s v="Casa da Democracia"/>
        <s v="Azora Store"/>
        <s v="Kyotec"/>
        <s v="Madeiras Importadas"/>
        <s v="Colégio da Paz"/>
        <s v="Quinta da Feteira"/>
        <s v="Legado Caixeiro Alentejano Associação Mutualista"/>
        <s v="Pérgula Centro de Bem Estar Social de Minde"/>
        <s v="BV Palmela"/>
        <s v="Granisul"/>
        <s v="El Faro Yelmo"/>
        <s v="El Faro Cactus"/>
        <s v="El Faro Revamp"/>
        <s v="Jetesetecar Expansão"/>
        <s v="Loureshopping"/>
        <s v="Expertcom"/>
        <s v="Agrocate"/>
        <s v="Nuvem Maravilha"/>
        <s v="Hotel Falésia"/>
        <s v="Residência Azeitão Number 2"/>
        <s v="Casa Hotel falésia"/>
        <s v="Casa Cascais (hotel falésia)"/>
        <s v="BV Amadora"/>
        <s v="N Vending"/>
        <s v="Onda Grafe"/>
        <m u="1"/>
      </sharedItems>
    </cacheField>
    <cacheField name="Company Name" numFmtId="0">
      <sharedItems containsBlank="1"/>
    </cacheField>
    <cacheField name="Nif" numFmtId="0">
      <sharedItems containsBlank="1" containsMixedTypes="1" containsNumber="1" containsInteger="1" minValue="0" maxValue="97477630152"/>
    </cacheField>
    <cacheField name="Address" numFmtId="0">
      <sharedItems containsBlank="1" count="233">
        <s v="Rua Jose Gregorio Almeida 14, Quinta da Cucena, 2840-582 Aldeia de Paio Pires Seixal"/>
        <s v="Estr. do Seixalinho, 2870-491 Montijo"/>
        <s v="Herdade dos Catos - Gralheira CCI 1304, 7050-636 Cortiçadas de Lavre"/>
        <s v="Rua do Outeiro 154, Cebolais de Cima, Castelo Branco, Portugal"/>
        <s v="Empresarial Rua I - Lote 129, Apartado 1142 6001-901 Castelo Branco"/>
        <s v="Estrada Nacional 356, n.º 87, Maceirinha, 2405-026 Maceira LRA"/>
        <s v="Museu do Caramulo 3475-031 Caramulo"/>
        <s v="Zona Industrial de Albergaria-A-Velha, Arruamento H, Lote 4 3850-184 Albergaria-A-Velha"/>
        <s v="Av. da Aviação Portuguesa 82 - Lameiras 2715-776 Terrugem Snt"/>
        <s v="2445-045 Pataias"/>
        <s v="Av, Sra. Da Lapa, N84, Barreiralva, 2640416 Mafra"/>
        <s v="Avenida D. João V, Nº. 35, 1º., Dtº. 2610-087 Amadora"/>
        <s v="Estrada Nacional 10, Alverca Park, Corpo E, Fracção Ao 2619-501 Alverca do Ribatejo"/>
        <s v="Avenida da Aviação Portuguesa, Nº 55, Fação 2715-140 Pêro Pinheiro"/>
        <s v="Rua das Piçarras, 37, Maceira 2715-646 Maceira"/>
        <s v="R Jaime Afreixo 533 3700-144 Sao Joao Madeira Codex"/>
        <s v="Rua D. António Castro Meireles, 907 4435-666 Baguim do Monte"/>
        <s v="Avenida Juventude Desportiva Carregosense, Nº 202 3720-018 Carregosa Oaz"/>
        <s v="Zona Industrial de São Miguel Lts 33 e 34 3350-214 São Miguel de Poiares"/>
        <s v="Covão do Coelho 2395-001 Minde"/>
        <s v="Rua Estacão 9168, Rio De Moinhos Borba, 7150-368 Borba"/>
        <s v="Cercal 2490-115 Cercal"/>
        <s v="Rua Antonio Bravo, N.0 140"/>
        <s v="Doca Jardim do Tabaco, Terminal de Cruzeiros de Lisboa, Edifício Ne, 1º Piso 1100-651 Lisboa"/>
        <s v="Rua Vicente Vaz das Vacas, Nº 22 8500-746 Portimão"/>
        <s v="Tapadinho 4560-162 Guilhufe"/>
        <s v="Caramulo 3475-031 Caramulo"/>
        <s v="Quinta de Santa Rosa 2860-050 Alhos Vedros"/>
        <s v="Av. Estrada Real, N.º 1167-A 4620-787 Torno"/>
        <s v="Aveiro - Vagos -"/>
        <s v="Rua da Ferraria, Chãs 2415-178 Regueira de Pontes"/>
        <s v="Lugar do Areeiro 3850-200 Albergaria-A-Velha"/>
        <s v="Avenida D. Miguel, 340, Pavilhão E, Zona Industrial Baguim do Monte 4435-678 Baguim do Monte - Gondomar"/>
        <s v="R de Santa Luzia Nº 22 - Sala 32 3100-483 Pombal"/>
        <s v="Zona Industrial de Vimioso - Lote 42/45 5230-284 Vimioso"/>
        <s v="Rua Dom Dinis, N.º 110 3700-466 Arrifana Vfr"/>
        <s v="Vila Moreira (39.471324, -8.675141)"/>
        <s v="Rua do Padrão, 140 4760-743 Vilarinho das Cambas"/>
        <m/>
        <s v="R. José Salvador 90, 2715-311"/>
        <s v="Pinhal dos Frades, Ericeira (38.971454, -9.385205)"/>
        <s v="Av. Da Liberdade 153, 2765-004, Pêro Pinheiro"/>
        <s v="Rua da Gandra, nº 20, 4950-850 Mazedo e Cortes"/>
        <s v="Rua Das Cavadas, S/n, Pedrulheira, 243O-4O2 Marinha Grande"/>
        <s v="Zona lndustrial -Tuias 4630-489 Marco de Canaveses"/>
        <s v="Rua Zona Industrial - C/C 20 Bajo Santa Cita Santarém"/>
        <s v="Marmelais de Baixo Nº43, 2300-4O1 Tomar"/>
        <s v="R. 10 Zona Industrial 397, Rio Meão"/>
        <s v="Rua Manuel da Costa Correia Júnior, Zona Industrial Oaz 3720-517 Santiago de Riba-Ul"/>
        <s v="Av. dos Operários Conserveiros, Olhão"/>
        <s v="Rua dos seteais nº1 Algueirão, 2725-658 Nem Martins"/>
        <s v="Rio de Couros 2435 – 530 Rio de Couros"/>
        <s v="Zona Industrial Do Camprez, Chão De Couce, 3240-509 Ansião"/>
        <s v="Rua da Citela 10, Terrugem"/>
        <s v="Zona Industrial de Laundos 39, 4570-311 Laundos / Estufas agrícolas, Estrada de Valverde – Baiãs, 8200-429 Guia, Albufeira"/>
        <s v="Zona Industrial do Casal da Areia, Lote 17, Casal da Areia 2460-392 Alcobaça"/>
        <s v="Avenida do Brasil, 231 – São João da Madeira – Aveiro – 3700-070"/>
        <s v="Estrada de Manique, Alcabideche, 2645-999 Cascais"/>
        <s v="Rua Eduardo Paul, nº 520, Lugar de Lações de Baixo"/>
        <s v="Rua Luís Camões s/n, 2630-253 Arruda dos Vinhos, Portugal"/>
        <s v="Rua Afonso Marques, Nº 4 3430-004 Carregal do Sal"/>
        <s v="Rua da Vitória, 18, lj 1, Boavista - Bombarral – Leiria – 2540-575"/>
        <s v="Rua Casais de S. Gião, N.º 21, Torres Vedras 2560-249 Torres Vedras"/>
        <s v="Rua Indústria, 16, Freguesia de Oliveira do Bairro, Distrito de Aveiro"/>
        <s v="Rua da Figueirinha nº6, Telheiro"/>
        <s v="Rua Cidade Desportiva, S/N Monte Abraão 2745-012"/>
        <s v="R. Jornal de Sintra, 2710-450 Sintra"/>
        <s v="Rua 1º de Maio, 409 Fracção A e B 3700-541 Arrifana Vfr"/>
        <s v="Rua Principal – Lt 16 Santarém"/>
        <s v="Rua da Divina Providência 7875-054 Safara"/>
        <s v="Rua Deao Boavida 9639"/>
        <s v="Rua Principal, Nº 3, 3100-334 Pombal"/>
        <s v="R. de Minas 132, 4620-219"/>
        <s v="R. da Misericórdia, 2334-909 Entroncamento"/>
        <s v="Rua Maria Serrana 13, Entroncamento"/>
        <s v="Rua da Barroca 60 2330-108 Entroncamento"/>
        <s v="Rua Morgado da Povoa, 3, 2625-229 Pova de Santa Iria"/>
        <s v="Rua de Diu Alferrarede, 2200-045 Abrantes"/>
        <s v="Rua de Goa, Alferrarede 2200-023 Abrantes"/>
        <s v="Avenida Dr. João Afonso Calado da Maia 2040-333 Rio Maior"/>
        <s v="Rua Principal, Nº. 4 2500-637 Salir de Matos"/>
        <s v="Rua da Ribeira 230, Cortes Leiria, 2410 - 502"/>
        <s v="Rua Serra de Monchique Escola, 2975-174 Quinta do Conde"/>
        <s v="R. Misericórdia 60, 3400-443 Nogueira do Cravo"/>
        <s v="Av. Dona, Av. Dom Francisca Montanha Apartado 54 2130, Benavente"/>
        <s v="Rua Ary Dos Santos, 3, 1500-062 Lisboa"/>
        <s v="Rua Adolfo Coelho, 9, Lisboa, 1900-028 Lisboa"/>
        <s v="Quinta Inglesinhas Pera, S/N, Caparica, 2825-000 Almada"/>
        <s v="Travessa Doutor Felix Pereira, 190 RC LT2"/>
        <s v="Estrada das Moitas Altas nº 279, Pinheiros 2415-799 Leiria"/>
        <s v="Estr. das Moitas Altas 279, Leiria"/>
        <s v="Estrada da Maceira, 10, Azoia 2400-823 Leiria"/>
        <s v="R. César Augusto Gonçalves Ferreira 2615, 2615-391 Alverca do Ribatejo"/>
        <s v="Av. Infante Dom Pedro 58, 2615-149 Alverca do Ribatejo"/>
        <s v="IC 2, N1 Nº 212, 3105-253"/>
        <s v="Largo Santo Antonio 1, 6005-015 Alcains"/>
        <s v="Pq. Empresarial Primóvel Ed. D1, 2635-595 Rio de Mouro"/>
        <s v="Professor Henrique de Barros, nº8 e 8ª, 2685 – 338 Prior Velho"/>
        <s v="FRAVIZEL – Rua 5 de outubro SN 2025-161 Alcanede"/>
        <s v="R. da Prosela 88, 4470-808 Vila Nova da Telha"/>
        <s v="Rua Feixinho de Vides, 41, 8800-365 Tavira"/>
        <s v="Praceta Fontiela 90, 4430-832 Avintes"/>
        <s v="Rua Pedro Nunes, Nº.101, Zona Industrial 2500-303 Caldas da Rainha"/>
        <s v="Rua Cidade de Rabat"/>
        <s v="Coordenadas: 38.95925421849145, -8.621633359034018"/>
        <s v="Rua do Casalinho 10, Encarnação 2640 – 232 Encarnação"/>
        <s v="R. Dr. José Joaquim de Oliveira 24, 2200-365 Abrantes"/>
        <s v="Unnamed Road, 7050-467"/>
        <s v="Quinta das Pinheiras, 2204-906 Alferrarede, Abrantes"/>
        <s v="Herdade Fonte Paredes 7480-320 Ervedal, Avis"/>
        <s v="R. do Alto Pina 37, 2715-311 Pêro Pinheiro"/>
        <s v="Largo Doutor Afonso Oliveira Guimarães 2, Alcoentre, Lisboa"/>
        <s v="R. de França, 2430-028 Marinha Grande"/>
        <s v="Rua Maestro Alferes Álvaro Augusto Souza, 2715-666 Montelavar"/>
        <s v="45.76032, 9.05648) (GMT 1.0)"/>
        <s v="(45.5599079134, 9.74945039359) (GMT 1.0)"/>
        <s v="R. Nossa Sra. Carmo 4, 2900-268 Setúbal"/>
        <s v="Rua das Tomadas – Sintra – Código Postal 2715-240"/>
        <s v="R. da da Répulica da Coreia 9 , Ranholas - S. Pedro e Penaferrim"/>
        <s v="Centro de Empresas e Serviços, R. dos Almocreves Lote 31-C, 8125-493 Quarteira"/>
        <s v="Coordenadas: 39.44769776092395, -8.788605020121715"/>
        <s v="Coordenadas: 38.870945984551184, -8.870839291172386"/>
        <s v="Casal Quinta, nº 9001 2070-503 Valada"/>
        <s v="Av. 24 de Julho, 74-76 1200-869 Lisboa"/>
        <s v="Casl Gavião 9501 – 2140 – 209 Casal Gaviãozinho Chamusca"/>
        <s v="Estrada de Montargil 9016 7425-202 Foros de Arrão"/>
        <s v="Rotunda, Av. Cova dos Vidros 58, 2975-333 Q.ta do Conde"/>
        <s v="Coordenadas: 40.87666547909539, -8.457455646217362"/>
        <s v="Casal do Gavião Rega 9500 – 2140 – 209 – Casal Gaviãozinho - Chamusca"/>
        <s v="Doca Jardim do Tabaco Terminal de Cruzeiros de Lisboa, Av. Infante Dom Henrique, 1100-651 Lisboa"/>
        <s v="Ac. Particular 128, 2705 São João das Lampas"/>
        <s v="R. Lar e Centro de Dia 3, 2640-578 Mafra"/>
        <s v="R. de José Régio 614, 4490-648 Póvoa de Varzim"/>
        <s v="Lugar da Igreja, Peso da Régua 5040-523 Sedielos"/>
        <s v="R. Prof. Francisco Gentil 33, 1600-769 Lisboa"/>
        <s v="39.467125117777414, -8.94347248046"/>
        <s v="38.78163612327737, -9.097925558362107"/>
        <s v="Quinta de Vila Longa, 2125-000 Muge"/>
        <s v="Avenida da Aviação Portuguesa 2710-538 Sintra"/>
        <s v="39.656175074478405, -7.662481449989533"/>
        <s v="Valada, Santarém"/>
        <s v="Zona Industrial Casal da Areia, Rua D, Lote 46"/>
        <s v="IP2, 7100 Estremoz"/>
        <s v="Quinta da Cabeça Apartado 26 Olhão, 8701-906 Moncarapacho"/>
        <s v="Rua do Rio Minho 310, 2975-113 Quinta do Conde"/>
        <s v="Rua José Relvas 640, 2975-325, Quinta do Conde"/>
        <s v="Estrada Nacional km 98, 1, 2460-713 Aljubarrota (São Vincente)"/>
        <s v="Rua Sacadura Cabral, Nº11, Porto Alto 2135-299 Samora Correia"/>
        <s v="Zona Industrial de Oiã 28 Lote A27, 3770-059 Oliveira do Bairro"/>
        <s v="Praceta da Juventude, 14, 2975-339 Quinta do Conde"/>
        <s v="Estrada do Calhariz de Benfica, 1500-620 Lisboa"/>
        <s v="Estrada da Cumeada, Alpiarça"/>
        <s v="STIO Barracão Duque 9002, 2150-000 Golegâ"/>
        <s v="Quinta da Lagoalva de Cima, 2090-222 Alpiarça"/>
        <s v="Rua Alexandre Herculano 26, 3100-494 Pombal"/>
        <s v="Rua Principal, 9 Casal da Brejoeira 2560-406"/>
        <s v="Rua 8 de Dezembro, 3130-062 Gesteira, Soure"/>
        <s v="Rua Nossa Senhora da Vila Velha, 7460-113 Fronteira"/>
        <s v="Rua de Veiros, 7460-203 Aldeia de Vale Maceiras"/>
        <s v="Rua Amadeu Melim, 2785-114 São Domingos de Rana"/>
        <s v="Avenida Monsenhor Horácio de Araújo, Ronfe"/>
        <s v="Rua Leira d’Água, 231, 4480-484 Árvore – Vila do Conde"/>
        <s v="RUA MONTE , 519 TOUGUES"/>
        <s v="Estrada de Vau 71, 2510-434 Amoreira Óbidos"/>
        <s v="Estrada Vila Amélia 107, 2950-805 Q.ta do Anjo"/>
        <s v="Avenida 21 de Junho 7, 2565-007 Campelos"/>
        <s v="Tapada de Santo António, 7430-287 Gáfete "/>
        <s v="Quinta Galvoa, nº9117, 2070-503 Valada"/>
        <s v="Estrada N10, 2615-142 Alverca do Ribatejo"/>
        <s v="Av. Sérgio Vieira de Mello, 2970-187 Setúbal"/>
        <s v="Rua dos Salgueiros, 2910-493 Setúbal"/>
        <s v="Bairro Outeiros, 2330-254 Santo António das Areias, Portalegre"/>
        <s v="R. do Escaroupim, Marinhais, 2120-013 Escaroupim, Portugal "/>
        <s v="Rua Renato Leitão Lourenço, 31, 2580-335 Alenquer"/>
        <s v="Rua das Piçarras, 7450-228 Santo Aleixo"/>
        <s v="Rua dos Ribeiros, 2950-051 Palmela"/>
        <s v="N3-3, Santarém"/>
        <s v="N3-3, Valada, Santarém"/>
        <s v="R. Montepuez 1, 1800-275 "/>
        <s v="Av. Afonso Henriques 248, 4660-211 Resende"/>
        <s v="Zona Industrial de Salemas Fracção, 2670-741 Loures"/>
        <s v="R. José Bonaparte 609, 4430-438 Oliveira do Douro"/>
        <s v="Rua do Salitre 118/120 Lisboa, 1250-203"/>
        <s v="Tavira 8800-054 Carapeto, Faro"/>
        <s v="Edificio Stadium Park, Zona Indústrial da Taboeira, 3800-055 Aveiro"/>
        <s v="Rua do Outeiro, 3740-070"/>
        <s v="Da 317, R. Associação Pró-Cidadão Deficiente Integrado, 3740-133"/>
        <s v="Estrada do Gavião, 2140-224"/>
        <s v="Rua Adriano José de Oliveira, 10 2680-026 Camarate"/>
        <s v="Avenida Inf. Dom Henrique 4, Pombal"/>
        <s v="Rua do Norte 43 Fracção C, 2460-481, Alcobaça"/>
        <s v="Av. da Liberdade 3, 2955-114 Pinhal Novo"/>
        <s v="Rua dos Bombeiros Voluntários de Lagos 112, 8600-548"/>
        <s v="Rua do Mato Picão, n.º 3 – 2350-852 Zibreira "/>
        <s v="Travessa Fonte Mangas, 16, 2405-028"/>
        <s v="Rua Rosa dos Ventos, 9, 8200-428 Albufeira"/>
        <s v="R. do Miradouro 1455, 4585-917"/>
        <s v="Vale Romeiras, 9001 Alcácer do Sal, 7595-029 Torrão"/>
        <s v="Rua Abel Salazar, 69, 2º Esqº 2910-372 "/>
        <s v="Quinta do Passil - Vale do Passil, N118, 2890-182 Alcochete"/>
        <s v="Rua José Salvador 90, 2715-311 Almargem do Bispo"/>
        <s v="Amares, 4720-608"/>
        <s v="Rua Ferreira De Castro 29 Castelo De Paiva  4550-128 Castelo De Paiva "/>
        <s v="R. da Ribeira 1, 2560-084 Maceira"/>
        <s v="Av. Dr. Renato Araújo 1625, 3700-346 São João da Madeira"/>
        <s v="R. Dr. José Inácio de Castelo Branco 70, 3090-803 Santana"/>
        <s v="Rua Frei Pedro de Perelhal N 2754 Pav. D, 4750-620 Perelhal"/>
        <s v="39.1766534, -7.7836161"/>
        <s v="Vila Regina - Alto da Orada, lote nº1, Albufeira"/>
        <s v="Rua Prof. Mário Chicó - Edifício 1 - 1 F, 1600-643 Lisboa, Portugal"/>
        <s v="Monte da Tourega 7040-610 Vimieiro Arl. Arraiolos. Évora "/>
        <s v="R. Padre Martins 222, 2395-202 Minde"/>
        <s v="Rua Principal, 18, Casal Galharda 2540-685 S. Bartolomeu dos Galegos "/>
        <s v="Avenida dos Bombeiros, nº 649, Amarante"/>
        <s v="Rua Av 5 de Outubro, Torres Vedras 2565-710 Runa"/>
        <s v="Quinta Luxflor - CCI 1107, Estr. de Malpique, 2870-508 Sarilhos Grandes"/>
        <s v="Av. da Liberdade, 2715-311 Pêro Pinheiro"/>
        <s v="R. das Fisgas 442, 2645-001 Alcabideche"/>
        <s v="lote p -3B zona industrial, R. G, 6000-459 Castelo Branco"/>
        <s v="Rua António Basto Leitão, Nº 16 7430-226 Flor da Rosa"/>
        <s v="rua da Artilharia Um, nº 101, Colégio D. Estefânia, 1070-170 Lisboa"/>
        <s v="Rua do Florim nº113, 2080-620 Almeirim"/>
        <s v="Rua Nova nº10 1º , 7000-536"/>
        <s v="Av. Dos Bombeiros Voluntários, 2950-212 Palmela"/>
        <s v="Avda. de Elvas, s/n, 06006 Badajoz, Espanha"/>
        <s v="RUA GODINHO DE FARIA Nº492, RCº"/>
        <s v="ESTR SENHORA DA SAÚDE, SN 8005-148 FARO"/>
        <s v="SRA SAUDE, STIO ALMARGENS S/N 8005-148 FARO FARO"/>
        <s v="Praceta Dos Gaios, Praia De Falésia Albufeira 8200-380 Albufeira"/>
        <s v="Rua Papoila das Praias, 2925-759 Azeitão"/>
        <s v="RUA DOS SOBREIROS DA MARINHA , 289 QUINTA DA MARINHA 2750-008 CASCAIS"/>
        <s v="Rua Elias Garcia, N.º 131 2700-316 Amadora"/>
        <s v="Avenida Augusto Ferreira Moutinho Ramos 1010, Folgosa, 4425 307 Maia"/>
      </sharedItems>
    </cacheField>
    <cacheField name="Location" numFmtId="0">
      <sharedItems containsBlank="1" count="45">
        <s v="Castelo Branco"/>
        <s v="Setúbal"/>
        <s v="Évora"/>
        <s v="Leiria"/>
        <s v="Tondela"/>
        <m/>
        <s v="Sintra"/>
        <s v="Mafra"/>
        <s v="Aveiro"/>
        <s v="Porto"/>
        <s v="Arouca"/>
        <s v="Coimbra"/>
        <s v="Lisboa"/>
        <s v="Faro"/>
        <s v="Pombal"/>
        <s v="Bragança - Vimioso"/>
        <s v="Santarém"/>
        <s v="Vila Nova de Famalicão"/>
        <s v="Monção"/>
        <s v="Tomar"/>
        <s v="Oliveira de Azemeis"/>
        <s v="Braga"/>
        <s v="Algarve"/>
        <s v="São João da Madeira"/>
        <s v="Arruda dos Vinhos"/>
        <s v="Carregal do Sal"/>
        <s v="Óbidos - Leiria"/>
        <s v="Massamá"/>
        <s v="Safara"/>
        <s v="Alferrarede - Abrantes"/>
        <s v="Salir de Matos - Leiria"/>
        <s v="Quinta do Conde"/>
        <s v="Alverca"/>
        <s v="Tavira"/>
        <s v="Caldas da Rainha"/>
        <s v="Portalegre"/>
        <s v="Itália"/>
        <s v="Setubal"/>
        <s v="Vila Real"/>
        <s v="Alcobaça"/>
        <s v="Santarem"/>
        <s v="Viseu"/>
        <s v="Badajoz"/>
        <s v="Loures"/>
        <s v="Porto " u="1"/>
      </sharedItems>
    </cacheField>
    <cacheField name="Nº Panels" numFmtId="0">
      <sharedItems containsBlank="1" containsMixedTypes="1" containsNumber="1" containsInteger="1" minValue="10" maxValue="1824"/>
    </cacheField>
    <cacheField name="Kwp" numFmtId="0">
      <sharedItems containsBlank="1" containsMixedTypes="1" containsNumber="1" minValue="5.4" maxValue="873.81"/>
    </cacheField>
    <cacheField name=" Type of Contract" numFmtId="0">
      <sharedItems containsBlank="1" count="4">
        <s v="ESCO"/>
        <s v="EPC"/>
        <s v="ESCO BUYOUT"/>
        <m/>
      </sharedItems>
    </cacheField>
    <cacheField name="Sell To" numFmtId="0">
      <sharedItems containsBlank="1"/>
    </cacheField>
    <cacheField name="Duration" numFmtId="0">
      <sharedItems containsString="0" containsBlank="1" containsNumber="1" containsInteger="1" minValue="0" maxValue="20"/>
    </cacheField>
    <cacheField name="Duration Month2" numFmtId="0">
      <sharedItems containsSemiMixedTypes="0" containsString="0" containsNumber="1" containsInteger="1" minValue="0" maxValue="240"/>
    </cacheField>
    <cacheField name="Start Contract" numFmtId="0">
      <sharedItems containsDate="1" containsBlank="1" containsMixedTypes="1" minDate="2019-09-16T00:00:00" maxDate="2026-06-07T00:00:00"/>
    </cacheField>
    <cacheField name="Maintenance" numFmtId="14">
      <sharedItems containsBlank="1" count="3">
        <s v="yes"/>
        <s v="no"/>
        <m/>
      </sharedItems>
    </cacheField>
    <cacheField name="Type of Coverage" numFmtId="0">
      <sharedItems containsBlank="1"/>
    </cacheField>
    <cacheField name="Access" numFmtId="14">
      <sharedItems containsBlank="1" count="10">
        <s v="Cobertura"/>
        <s v="Escada"/>
        <s v="Escada Vertical"/>
        <m/>
        <s v="Não é necessário"/>
        <s v="Plataforma Elevatória dos Bombeiros"/>
        <s v="Acesso pela cobertura"/>
        <s v="?"/>
        <s v="Escada fixa"/>
        <s v="Nao é necessário"/>
      </sharedItems>
    </cacheField>
    <cacheField name="Maintenance comment" numFmtId="0">
      <sharedItems containsBlank="1" longText="1"/>
    </cacheField>
    <cacheField name="Status Detail" numFmtId="0">
      <sharedItems containsBlank="1"/>
    </cacheField>
    <cacheField name="Nome da Pessoa" numFmtId="0">
      <sharedItems containsBlank="1"/>
    </cacheField>
    <cacheField name="Cargo" numFmtId="0">
      <sharedItems containsBlank="1"/>
    </cacheField>
    <cacheField name="Email" numFmtId="0">
      <sharedItems containsBlank="1"/>
    </cacheField>
    <cacheField name="Telefone" numFmtId="0">
      <sharedItems containsBlank="1" containsMixedTypes="1" containsNumber="1" containsInteger="1" minValue="212137730" maxValue="969778474"/>
    </cacheField>
    <cacheField name="End Contract" numFmtId="14">
      <sharedItems containsDate="1" containsMixedTypes="1" minDate="2023-03-01T00:00:00" maxDate="2043-07-02T00:00:00"/>
    </cacheField>
    <cacheField name="Year of End Contract" numFmtId="0">
      <sharedItems containsMixedTypes="1" containsNumber="1" containsInteger="1" minValue="0" maxValue="2043" count="19">
        <n v="2026"/>
        <n v="2034"/>
        <n v="2035"/>
        <n v="2028"/>
        <s v=""/>
        <n v="2027"/>
        <n v="2036"/>
        <n v="2029"/>
        <n v="2041"/>
        <n v="2037"/>
        <n v="2025"/>
        <n v="2032"/>
        <n v="2038"/>
        <n v="2023"/>
        <n v="2033"/>
        <n v="2043"/>
        <n v="2024"/>
        <n v="2039"/>
        <n v="0" u="1"/>
      </sharedItems>
    </cacheField>
    <cacheField name="Active Contract" numFmtId="1">
      <sharedItems count="5">
        <s v="yes"/>
        <s v="no"/>
        <s v="-" u="1"/>
        <e v="#VALUE!" u="1"/>
        <s v="" u="1"/>
      </sharedItems>
    </cacheField>
    <cacheField name="Notes" numFmtId="1">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4">
  <r>
    <x v="0"/>
    <x v="0"/>
    <s v="A Colmeia do Minho, S.A.,"/>
    <n v="500001022"/>
    <x v="0"/>
    <x v="0"/>
    <n v="220"/>
    <n v="61.6"/>
    <x v="0"/>
    <s v="Solcorelios"/>
    <n v="7"/>
    <n v="84"/>
    <d v="2019-09-16T00:00:00"/>
    <x v="0"/>
    <s v="Sandwich"/>
    <x v="0"/>
    <m/>
    <s v="ACTIVE"/>
    <s v="António Diogo Jacinto"/>
    <s v="Presidente_x000a_do Conselho de Administragdo"/>
    <s v="pjacinto@acolmeiadominho.com.pt / geral@acolmeiadominho.com .pt"/>
    <n v="212279020"/>
    <d v="2026-09-16T00:00:00"/>
    <x v="0"/>
    <x v="0"/>
    <m/>
  </r>
  <r>
    <x v="1"/>
    <x v="1"/>
    <s v="Florineve - Produção e Comércio de Flores de Corte"/>
    <n v="510912974"/>
    <x v="1"/>
    <x v="1"/>
    <n v="272"/>
    <n v="89.8"/>
    <x v="0"/>
    <s v="Solcorelios"/>
    <n v="15"/>
    <n v="180"/>
    <d v="2019-12-04T00:00:00"/>
    <x v="0"/>
    <s v="Sandwich"/>
    <x v="1"/>
    <m/>
    <s v="ACTIVE"/>
    <s v="Victor Manuel de Amaral Araújo Abreu"/>
    <s v="Sócio-gerente"/>
    <s v="victor.araujo@florineve.pt / geral@florineve.pt"/>
    <n v="917275304"/>
    <d v="2034-12-04T00:00:00"/>
    <x v="1"/>
    <x v="0"/>
    <m/>
  </r>
  <r>
    <x v="2"/>
    <x v="2"/>
    <s v="Diálogos do Bosque, Unipessoal, LDA"/>
    <n v="510731570"/>
    <x v="2"/>
    <x v="2"/>
    <n v="90"/>
    <n v="29.7"/>
    <x v="0"/>
    <s v="Solcorelios"/>
    <n v="15"/>
    <n v="180"/>
    <d v="2020-01-01T00:00:00"/>
    <x v="0"/>
    <s v="Sandwich"/>
    <x v="1"/>
    <m/>
    <s v="ACTIVE"/>
    <s v=" "/>
    <s v="Gerente"/>
    <s v="nuno.pires@dialogosdobosque.pt / info@dialogosdobosque.pt"/>
    <s v="938654762 / 917285177"/>
    <d v="2035-01-01T00:00:00"/>
    <x v="2"/>
    <x v="0"/>
    <m/>
  </r>
  <r>
    <x v="3"/>
    <x v="3"/>
    <s v="A. Pires Lourenço &amp; Filhos S.A"/>
    <n v="502265906"/>
    <x v="3"/>
    <x v="0"/>
    <n v="684"/>
    <n v="307.8"/>
    <x v="1"/>
    <s v="Cliente"/>
    <n v="2"/>
    <n v="24"/>
    <d v="2024-07-01T00:00:00"/>
    <x v="0"/>
    <s v="Sandwich"/>
    <x v="2"/>
    <s v="To discuss with the client"/>
    <s v="ACTIVE"/>
    <s v="Vítor Manuel Rodrigues Lourenço"/>
    <s v="Gerente"/>
    <s v="apireslourenco@apireslourenco.pt / mario@apireslourenco.pt / victor@apireslourenco.pt"/>
    <n v="962546961"/>
    <d v="2026-07-01T00:00:00"/>
    <x v="0"/>
    <x v="0"/>
    <s v="Missing contract duration (EPC)"/>
  </r>
  <r>
    <x v="3"/>
    <x v="4"/>
    <s v="A. Pires Lourenço &amp; Filhos S.A"/>
    <n v="502265906"/>
    <x v="4"/>
    <x v="0"/>
    <n v="648"/>
    <n v="243"/>
    <x v="0"/>
    <s v="Solcorelios"/>
    <n v="8"/>
    <n v="96"/>
    <d v="2020-07-01T00:00:00"/>
    <x v="0"/>
    <s v="Sandwich"/>
    <x v="0"/>
    <m/>
    <s v="ACTIVE"/>
    <s v="Vítor Manuel Rodrigues Lourenço"/>
    <s v="Gerente"/>
    <s v="apireslourenco@apireslourenco.pt / mario@apireslourenco.pt / victor@apireslourenco.pt"/>
    <n v="272989489"/>
    <d v="2028-07-01T00:00:00"/>
    <x v="3"/>
    <x v="0"/>
    <m/>
  </r>
  <r>
    <x v="4"/>
    <x v="5"/>
    <s v="Usinage - Maquinação e Porta Moldes, Lda"/>
    <n v="505435748"/>
    <x v="5"/>
    <x v="3"/>
    <n v="360"/>
    <n v="138.6"/>
    <x v="2"/>
    <s v="Solcorelios"/>
    <n v="15"/>
    <n v="180"/>
    <d v="2020-11-01T00:00:00"/>
    <x v="1"/>
    <s v="Sandwich"/>
    <x v="1"/>
    <m/>
    <s v="ACTIVE"/>
    <s v="Pedro Miguel da Silva Rodrigues"/>
    <s v="Gerente"/>
    <s v="comercial@usinage.pt / geral@usinage.pt"/>
    <n v="917569054"/>
    <s v="-"/>
    <x v="4"/>
    <x v="1"/>
    <m/>
  </r>
  <r>
    <x v="5"/>
    <x v="6"/>
    <s v="Fundação Abel e João de Lacerda"/>
    <n v="500792640"/>
    <x v="6"/>
    <x v="4"/>
    <n v="68"/>
    <n v="26.18"/>
    <x v="0"/>
    <s v="Solcorelios"/>
    <n v="7"/>
    <n v="84"/>
    <d v="2020-10-01T00:00:00"/>
    <x v="0"/>
    <s v="Telha"/>
    <x v="1"/>
    <m/>
    <s v="ACTIVE"/>
    <s v="Tiago Patricio Lacerda pinto Basto Gouveia"/>
    <s v="Vogal da Direção/Diretor Delegado"/>
    <s v="tiago.gouveia@museu-caramulo.net / salvador.gouveia@museudocaramulo.pt"/>
    <n v="232861270"/>
    <d v="2027-10-01T00:00:00"/>
    <x v="5"/>
    <x v="0"/>
    <m/>
  </r>
  <r>
    <x v="6"/>
    <x v="7"/>
    <s v="Confrontan Sabores, Lda"/>
    <n v="509891500"/>
    <x v="7"/>
    <x v="5"/>
    <m/>
    <n v="45"/>
    <x v="0"/>
    <s v="Solcorelios"/>
    <n v="15"/>
    <n v="180"/>
    <m/>
    <x v="1"/>
    <m/>
    <x v="3"/>
    <m/>
    <s v="CANCELLED"/>
    <s v="António da Rocha Martins"/>
    <s v="Gerente"/>
    <m/>
    <m/>
    <s v="-"/>
    <x v="4"/>
    <x v="1"/>
    <m/>
  </r>
  <r>
    <x v="7"/>
    <x v="8"/>
    <s v="Marmores da Granja Lda"/>
    <n v="501754679"/>
    <x v="8"/>
    <x v="6"/>
    <n v="360"/>
    <n v="138.6"/>
    <x v="0"/>
    <s v="Solcorelios"/>
    <n v="15"/>
    <n v="180"/>
    <d v="2021-02-01T00:00:00"/>
    <x v="0"/>
    <s v="Sandwich"/>
    <x v="1"/>
    <m/>
    <s v="ACTIVE"/>
    <s v="Eugénia Maria Nunes Marcelino Firmino / Américo Manuel Ventura Firmino"/>
    <s v="Sócio-gerente"/>
    <s v="eugenia@marmoresgranja.pt / granja@marmoresgranja.pt"/>
    <s v="968064212/966475439"/>
    <d v="2036-02-01T00:00:00"/>
    <x v="6"/>
    <x v="0"/>
    <m/>
  </r>
  <r>
    <x v="8"/>
    <x v="9"/>
    <s v="Ah Pinhal do Rei, Lda"/>
    <n v="514968044"/>
    <x v="9"/>
    <x v="3"/>
    <n v="68"/>
    <n v="26.86"/>
    <x v="2"/>
    <s v="Solcorelios"/>
    <n v="8"/>
    <n v="96"/>
    <d v="2021-04-01T00:00:00"/>
    <x v="1"/>
    <s v="Sandwich"/>
    <x v="1"/>
    <m/>
    <s v="ACTIVE"/>
    <s v="Manuel Joaquim de Oliveira Brites"/>
    <s v="Gerente"/>
    <s v="mblello@hotmail.com"/>
    <n v="912378796"/>
    <s v="-"/>
    <x v="4"/>
    <x v="1"/>
    <m/>
  </r>
  <r>
    <x v="9"/>
    <x v="10"/>
    <s v="Lusobatata- Produtos de lV Gama, LDA"/>
    <n v="503722170"/>
    <x v="10"/>
    <x v="7"/>
    <n v="158"/>
    <n v="59.25"/>
    <x v="0"/>
    <s v="Solcorelios"/>
    <n v="7"/>
    <n v="84"/>
    <d v="2021-06-01T00:00:00"/>
    <x v="0"/>
    <s v="Sandwich"/>
    <x v="1"/>
    <m/>
    <s v="ACTIVE"/>
    <s v="Feliciano Ricardo Fernando"/>
    <s v="Gerente"/>
    <s v="geral@lusobatata.com / filipe.ricardo@lusobatata.com"/>
    <n v="939017210"/>
    <d v="2028-06-01T00:00:00"/>
    <x v="3"/>
    <x v="0"/>
    <m/>
  </r>
  <r>
    <x v="10"/>
    <x v="11"/>
    <s v="Solidus Soluções Para Ferramentas e Moldes, Lda."/>
    <n v="505030896"/>
    <x v="11"/>
    <x v="6"/>
    <n v="114"/>
    <n v="45.03"/>
    <x v="0"/>
    <s v="Solcorelios"/>
    <n v="15"/>
    <n v="180"/>
    <d v="2021-04-01T00:00:00"/>
    <x v="0"/>
    <s v="Sandwich"/>
    <x v="1"/>
    <m/>
    <s v="ACTIVE"/>
    <s v="Paulo Alexandre dos Santos Lourenço"/>
    <s v="Gerente"/>
    <s v="solidus@sapo.pt "/>
    <n v="912006543"/>
    <d v="2036-04-01T00:00:00"/>
    <x v="6"/>
    <x v="0"/>
    <m/>
  </r>
  <r>
    <x v="11"/>
    <x v="12"/>
    <s v="Natureza Em Congelados, Armazenagem e Comercialização de Produtos Alimentares Lda"/>
    <n v="505185016"/>
    <x v="12"/>
    <x v="5"/>
    <m/>
    <n v="385"/>
    <x v="0"/>
    <s v="Solcorelios"/>
    <n v="15"/>
    <n v="180"/>
    <m/>
    <x v="1"/>
    <m/>
    <x v="3"/>
    <m/>
    <s v="CANCELLED"/>
    <s v="Eurico do Carmo Cid"/>
    <s v="Gerente"/>
    <s v="euricocid@nclogistica.pt / filipacid@nclogistica.pt / fabianarodrigues@nclogistica.pt"/>
    <n v="219577123"/>
    <s v="-"/>
    <x v="4"/>
    <x v="1"/>
    <m/>
  </r>
  <r>
    <x v="12"/>
    <x v="13"/>
    <s v="Marmo J - Exportação, Importação, Mármores Unipessoal Lda"/>
    <n v="503995762"/>
    <x v="13"/>
    <x v="6"/>
    <n v="256"/>
    <n v="101.12"/>
    <x v="0"/>
    <s v="Solcorelios"/>
    <n v="15"/>
    <n v="180"/>
    <d v="2021-04-01T00:00:00"/>
    <x v="0"/>
    <s v="Sandwich"/>
    <x v="1"/>
    <m/>
    <s v="ACTIVE"/>
    <s v="Jorge Manuel Dos Santos Bernardes"/>
    <s v="Gerente"/>
    <s v="mara.cruz@marmoj.pt "/>
    <n v="912242073"/>
    <d v="2036-04-01T00:00:00"/>
    <x v="6"/>
    <x v="0"/>
    <m/>
  </r>
  <r>
    <x v="13"/>
    <x v="14"/>
    <s v="Roufimar Industria de Marmores, S.A"/>
    <n v="501782265"/>
    <x v="14"/>
    <x v="6"/>
    <n v="475"/>
    <n v="187.63"/>
    <x v="0"/>
    <s v="Solcorelios"/>
    <n v="15"/>
    <n v="180"/>
    <d v="2021-04-01T00:00:00"/>
    <x v="0"/>
    <s v="Sandwich"/>
    <x v="1"/>
    <m/>
    <s v="ACTIVE"/>
    <s v="Arnaldo José Bordalo Roussado_x000a_Ricardo"/>
    <s v="Presidente "/>
    <s v="info@roufinar.com"/>
    <s v="969056490_x000a_963685277"/>
    <d v="2036-04-01T00:00:00"/>
    <x v="6"/>
    <x v="0"/>
    <m/>
  </r>
  <r>
    <x v="14"/>
    <x v="15"/>
    <s v="Viarco-Industria de Lapis Lda"/>
    <n v="500751722"/>
    <x v="15"/>
    <x v="8"/>
    <n v="76"/>
    <n v="30.02"/>
    <x v="0"/>
    <s v="Solcorelios"/>
    <n v="15"/>
    <n v="180"/>
    <d v="2021-05-01T00:00:00"/>
    <x v="0"/>
    <s v="Sandwich"/>
    <x v="1"/>
    <m/>
    <s v="ACTIVE"/>
    <s v="José Miguel Vieira Araújo Riobom dos Santos"/>
    <s v="Gerente"/>
    <s v="geral@viarco.pt / anacosta@viarco.pt"/>
    <n v="918302947"/>
    <d v="2036-05-01T00:00:00"/>
    <x v="6"/>
    <x v="0"/>
    <m/>
  </r>
  <r>
    <x v="15"/>
    <x v="16"/>
    <s v="Gadelho de Castro, S.A"/>
    <n v="513203524"/>
    <x v="16"/>
    <x v="9"/>
    <n v="75"/>
    <n v="29.625"/>
    <x v="0"/>
    <s v="Solcorelios"/>
    <n v="15"/>
    <n v="180"/>
    <d v="2021-12-01T00:00:00"/>
    <x v="0"/>
    <s v="Cobertura + Telha"/>
    <x v="1"/>
    <m/>
    <s v="ACTIVE"/>
    <s v="António Castro de Jesus Gadelho_x000a_Diogo Gadelho"/>
    <s v="Administrador Único"/>
    <s v="geral@ozepacheco.pt"/>
    <n v="915913810"/>
    <d v="2036-12-01T00:00:00"/>
    <x v="6"/>
    <x v="0"/>
    <m/>
  </r>
  <r>
    <x v="16"/>
    <x v="17"/>
    <s v="Amadois-Calçado Lda"/>
    <n v="502480335"/>
    <x v="17"/>
    <x v="10"/>
    <n v="144"/>
    <n v="64.599999999999994"/>
    <x v="0"/>
    <s v="Solcorelios"/>
    <n v="7"/>
    <n v="84"/>
    <d v="2021-06-01T00:00:00"/>
    <x v="0"/>
    <s v="Sandwich"/>
    <x v="1"/>
    <m/>
    <s v="ACTIVE"/>
    <s v="Paulo André Aguiar de Melo Almeida_x000a_Miguel Melo"/>
    <s v="Gerente"/>
    <s v="mmelo@cruzeiro.pt "/>
    <n v="924434110"/>
    <d v="2028-06-01T00:00:00"/>
    <x v="3"/>
    <x v="0"/>
    <m/>
  </r>
  <r>
    <x v="17"/>
    <x v="18"/>
    <s v="Sociedade de Transportes Poiarense Lda"/>
    <n v="500269203"/>
    <x v="18"/>
    <x v="11"/>
    <n v="192"/>
    <n v="85.5"/>
    <x v="0"/>
    <s v="Solcorelios"/>
    <n v="8"/>
    <n v="96"/>
    <d v="2021-05-01T00:00:00"/>
    <x v="0"/>
    <s v="Sandwich"/>
    <x v="1"/>
    <m/>
    <s v="ACTIVE"/>
    <s v="Luisa Maria Henriques Simões / Jose Eduardo Henriques Simões / Vitor Fernando Cardoso De Carvalho"/>
    <s v="Gerentes"/>
    <s v="luisa.simoes@transportesrapido.com / mario.almeida@transportesrapido.com"/>
    <n v="966631463"/>
    <d v="2029-05-01T00:00:00"/>
    <x v="7"/>
    <x v="0"/>
    <m/>
  </r>
  <r>
    <x v="18"/>
    <x v="19"/>
    <s v="Granetos-Mármores e Granitos, S.A"/>
    <n v="501150617"/>
    <x v="19"/>
    <x v="3"/>
    <n v="360"/>
    <n v="163.80000000000001"/>
    <x v="2"/>
    <s v="Solcorelios"/>
    <n v="15"/>
    <n v="180"/>
    <d v="2021-09-01T00:00:00"/>
    <x v="1"/>
    <s v="Sandwich"/>
    <x v="1"/>
    <m/>
    <s v="ACTIVE"/>
    <s v="Madalena Da Conceição Castanheira Neto Cerejeira"/>
    <s v="Administrador"/>
    <s v="miguelcerejeira@granetos.pt"/>
    <s v="249 840 579"/>
    <s v="-"/>
    <x v="4"/>
    <x v="1"/>
    <m/>
  </r>
  <r>
    <x v="19"/>
    <x v="20"/>
    <s v="Inácio José Vinhas Corvelo"/>
    <n v="196141494"/>
    <x v="20"/>
    <x v="2"/>
    <n v="108"/>
    <n v="42.7"/>
    <x v="1"/>
    <s v="Cliente"/>
    <n v="0"/>
    <n v="0"/>
    <s v="-"/>
    <x v="1"/>
    <s v="Sandwich"/>
    <x v="1"/>
    <s v="To discuss with Oscar"/>
    <s v="ACTIVE"/>
    <s v="Inácio José Vinhas Corvelo"/>
    <s v="Gerente"/>
    <m/>
    <n v="961302782"/>
    <s v="-"/>
    <x v="4"/>
    <x v="1"/>
    <m/>
  </r>
  <r>
    <x v="20"/>
    <x v="21"/>
    <s v="Topeca-Produtos de Construção Civil Lda"/>
    <n v="502782374"/>
    <x v="21"/>
    <x v="3"/>
    <n v="160"/>
    <n v="72.8"/>
    <x v="1"/>
    <s v="Cliente"/>
    <n v="1"/>
    <n v="12"/>
    <d v="2026-06-06T00:00:00"/>
    <x v="0"/>
    <s v="Sandwich"/>
    <x v="1"/>
    <s v="Maintenance discussed yearly with the client"/>
    <s v="ACTIVE"/>
    <s v="Francisco Ferreira Nunes_x000a_César Nunes"/>
    <s v="Gerente"/>
    <s v="cesar.nunes@topeca.pt "/>
    <n v="938095499"/>
    <d v="2027-06-06T00:00:00"/>
    <x v="5"/>
    <x v="0"/>
    <s v="Sem certeza na quantidade de anos, imagino que seja 1"/>
  </r>
  <r>
    <x v="21"/>
    <x v="22"/>
    <s v="Mindtrooper, Unipessoal, Limitada"/>
    <n v="509875874"/>
    <x v="22"/>
    <x v="12"/>
    <m/>
    <n v="140"/>
    <x v="1"/>
    <s v="Cliente"/>
    <n v="0"/>
    <n v="0"/>
    <s v="-"/>
    <x v="1"/>
    <m/>
    <x v="3"/>
    <m/>
    <s v="ACTIVE"/>
    <m/>
    <m/>
    <m/>
    <m/>
    <s v="-"/>
    <x v="4"/>
    <x v="1"/>
    <m/>
  </r>
  <r>
    <x v="22"/>
    <x v="23"/>
    <s v="Liveworks, Lda"/>
    <n v="514345250"/>
    <x v="23"/>
    <x v="12"/>
    <n v="48"/>
    <n v="18"/>
    <x v="1"/>
    <s v="Cliente"/>
    <n v="0"/>
    <n v="0"/>
    <d v="2022-01-21T00:00:00"/>
    <x v="1"/>
    <s v="Cobertura"/>
    <x v="1"/>
    <s v="Maintenance discussed yearly with the client"/>
    <s v="ACTIVE"/>
    <s v="Manuel Bastos"/>
    <m/>
    <s v="manuel@heden.co"/>
    <n v="919237074"/>
    <s v="-"/>
    <x v="4"/>
    <x v="1"/>
    <m/>
  </r>
  <r>
    <x v="23"/>
    <x v="24"/>
    <s v="Horizontes Renovados Lda"/>
    <n v="508975913"/>
    <x v="24"/>
    <x v="13"/>
    <m/>
    <n v="42.7"/>
    <x v="1"/>
    <s v="Cliente"/>
    <n v="0"/>
    <n v="0"/>
    <d v="2022-12-27T00:00:00"/>
    <x v="1"/>
    <m/>
    <x v="3"/>
    <m/>
    <s v="CANCELLED"/>
    <s v="Paulo Pedrosa"/>
    <s v="Gerente"/>
    <m/>
    <m/>
    <s v="-"/>
    <x v="4"/>
    <x v="1"/>
    <m/>
  </r>
  <r>
    <x v="24"/>
    <x v="25"/>
    <s v="Betafiel-Artefactos de Betão de Penafiel S.A"/>
    <n v="500782016"/>
    <x v="25"/>
    <x v="5"/>
    <m/>
    <n v="85.5"/>
    <x v="0"/>
    <s v="Solcorelios"/>
    <n v="10"/>
    <n v="120"/>
    <m/>
    <x v="1"/>
    <m/>
    <x v="3"/>
    <m/>
    <s v="CANCELLED"/>
    <s v="Carlos Manuel Paquim da Costa"/>
    <s v="Presidente do conselho de administração"/>
    <s v="administracao@betafiel.pt"/>
    <m/>
    <s v="-"/>
    <x v="4"/>
    <x v="1"/>
    <m/>
  </r>
  <r>
    <x v="25"/>
    <x v="26"/>
    <s v="Multiaves-Avicola Internacional Lda"/>
    <n v="502882514"/>
    <x v="26"/>
    <x v="4"/>
    <n v="152"/>
    <n v="69.2"/>
    <x v="0"/>
    <s v="Solcorelios"/>
    <n v="15"/>
    <n v="180"/>
    <d v="2021-09-01T00:00:00"/>
    <x v="0"/>
    <s v="Solo"/>
    <x v="4"/>
    <m/>
    <s v="ACTIVE"/>
    <s v="Gonçalo José Sousa Ornellas de Avillez Pereira / João Maria Lopes de Figueiredo de Lacerda"/>
    <s v="Gerentes"/>
    <s v="g.avillez.pereira@multiaves.pt / joao.lacerda@ovoscaramulo.com"/>
    <s v="232.860.030"/>
    <d v="2036-09-01T00:00:00"/>
    <x v="6"/>
    <x v="0"/>
    <m/>
  </r>
  <r>
    <x v="26"/>
    <x v="27"/>
    <s v="Intervedros - Supermercados, Lda"/>
    <n v="513018590"/>
    <x v="27"/>
    <x v="1"/>
    <n v="408"/>
    <n v="183.6"/>
    <x v="0"/>
    <s v="Solcorelios"/>
    <n v="7"/>
    <n v="84"/>
    <d v="2021-10-01T00:00:00"/>
    <x v="0"/>
    <s v="Sandwich"/>
    <x v="1"/>
    <m/>
    <s v="ACTIVE"/>
    <s v="Hugo Almeida"/>
    <s v="Gerente"/>
    <s v="interuedrcs@gmail.com"/>
    <n v="968973531"/>
    <d v="2028-10-01T00:00:00"/>
    <x v="3"/>
    <x v="0"/>
    <m/>
  </r>
  <r>
    <x v="27"/>
    <x v="28"/>
    <s v="Serralharia Vieira Lda"/>
    <n v="501258060"/>
    <x v="28"/>
    <x v="9"/>
    <n v="100"/>
    <n v="45.5"/>
    <x v="0"/>
    <s v="Solcorelios"/>
    <n v="20"/>
    <n v="240"/>
    <d v="2021-10-01T00:00:00"/>
    <x v="0"/>
    <s v="Sandwich"/>
    <x v="1"/>
    <m/>
    <s v="ACTIVE"/>
    <s v="Vitor Hugo Moreira Vieira"/>
    <s v="Gerente"/>
    <s v="Vítorserralhariavieira@hotmail.com"/>
    <n v="917528030"/>
    <d v="2041-10-01T00:00:00"/>
    <x v="8"/>
    <x v="0"/>
    <m/>
  </r>
  <r>
    <x v="28"/>
    <x v="29"/>
    <s v="Colégio Diocesano de Nossa Senhora da Apresentação"/>
    <n v="502786078"/>
    <x v="29"/>
    <x v="8"/>
    <n v="340"/>
    <n v="111.30000000000001"/>
    <x v="0"/>
    <s v="Solcorelios"/>
    <n v="15"/>
    <n v="180"/>
    <d v="2021-11-01T00:00:00"/>
    <x v="0"/>
    <s v="Sandwich"/>
    <x v="2"/>
    <m/>
    <s v="ACTIVE"/>
    <s v="Luís Fernando Oliveira_x000a_David Malta/Ricardo Silva"/>
    <s v="Diretor"/>
    <s v="luísolíveira@colegiocalcao.org"/>
    <s v="931731853/925094080"/>
    <d v="2036-11-01T00:00:00"/>
    <x v="6"/>
    <x v="0"/>
    <m/>
  </r>
  <r>
    <x v="29"/>
    <x v="30"/>
    <s v="Absorvalor Lda"/>
    <n v="507685733"/>
    <x v="30"/>
    <x v="3"/>
    <n v="576"/>
    <n v="254.8"/>
    <x v="2"/>
    <s v="Solcorelios"/>
    <n v="15"/>
    <n v="180"/>
    <d v="2021-12-01T00:00:00"/>
    <x v="1"/>
    <s v="Sandwich"/>
    <x v="1"/>
    <m/>
    <s v="ACTIVE"/>
    <s v="Muhammad Abdul Satar / Bernardino Manuel Amaro dos Santos_x000a_Carla"/>
    <s v="Gerentes"/>
    <m/>
    <n v="910983469"/>
    <s v="-"/>
    <x v="4"/>
    <x v="1"/>
    <m/>
  </r>
  <r>
    <x v="30"/>
    <x v="31"/>
    <s v="M.C. Rios, S.A"/>
    <n v="502893575"/>
    <x v="31"/>
    <x v="5"/>
    <m/>
    <n v="172.9"/>
    <x v="0"/>
    <s v="Solcorelios"/>
    <n v="15"/>
    <n v="180"/>
    <m/>
    <x v="1"/>
    <m/>
    <x v="3"/>
    <m/>
    <s v="CANCELLED"/>
    <s v="Maria Leonor Duarte Rios Pires / Carlos Alberto Rodrigues Duarte Rios"/>
    <s v="Vogal "/>
    <m/>
    <m/>
    <s v="-"/>
    <x v="4"/>
    <x v="1"/>
    <m/>
  </r>
  <r>
    <x v="31"/>
    <x v="32"/>
    <s v="Vidraria Central do Porto, S.A"/>
    <n v="503502707"/>
    <x v="32"/>
    <x v="9"/>
    <n v="80"/>
    <n v="36.4"/>
    <x v="1"/>
    <s v="Cliente"/>
    <n v="0"/>
    <n v="0"/>
    <s v="-"/>
    <x v="1"/>
    <s v="Sandwich"/>
    <x v="1"/>
    <s v="Maintenance discussed yearly with the client"/>
    <s v="ACTIVE"/>
    <s v="Nuno Amilcar Fragoso / Vítor Manuel da Fonseca Pereira"/>
    <s v="Presidente / Vogal"/>
    <m/>
    <m/>
    <s v="-"/>
    <x v="4"/>
    <x v="1"/>
    <m/>
  </r>
  <r>
    <x v="32"/>
    <x v="33"/>
    <s v="Sicobrita - Extracção e Britagem de Pedra S.A"/>
    <n v="501277676"/>
    <x v="33"/>
    <x v="14"/>
    <n v="1824"/>
    <n v="820.80000000000007"/>
    <x v="0"/>
    <s v="Solcorelios"/>
    <n v="15"/>
    <n v="180"/>
    <d v="2022-07-01T00:00:00"/>
    <x v="0"/>
    <s v="Solo"/>
    <x v="4"/>
    <m/>
    <s v="ACTIVE"/>
    <s v="Armando_x000a_Jose Manuel Bugalhão Carrilho_x000a_Patricio_x000a_Artur"/>
    <s v="Presidente do conselho de administração"/>
    <s v="armando.vieira@sicobrita.pt "/>
    <s v="969507300_x000a_916036244_x000a_963063582_x000a_963642561"/>
    <d v="2037-07-01T00:00:00"/>
    <x v="9"/>
    <x v="0"/>
    <m/>
  </r>
  <r>
    <x v="33"/>
    <x v="34"/>
    <s v="Cooperativa Agro-Pecuária Mirandesa Crl"/>
    <n v="501416382"/>
    <x v="34"/>
    <x v="15"/>
    <n v="144"/>
    <n v="76.319999999999993"/>
    <x v="0"/>
    <s v="Solcorelios"/>
    <n v="15"/>
    <n v="180"/>
    <d v="2021-11-01T00:00:00"/>
    <x v="0"/>
    <s v="Sandwich"/>
    <x v="1"/>
    <m/>
    <s v="ACTIVE"/>
    <s v="Nuno Paulo_x000a_António Manuel Luís / José Abílio João"/>
    <s v="Presidente / Tesoureiro"/>
    <s v="nunorpaulo@mirandesa.pt"/>
    <n v="966969869"/>
    <d v="2036-11-01T00:00:00"/>
    <x v="6"/>
    <x v="0"/>
    <m/>
  </r>
  <r>
    <x v="34"/>
    <x v="35"/>
    <s v="Jovi-Sola – Pré fabricados para calçado, Lda"/>
    <n v="504277219"/>
    <x v="35"/>
    <x v="5"/>
    <m/>
    <n v="45.1"/>
    <x v="0"/>
    <s v="Solcorelios"/>
    <n v="15"/>
    <n v="180"/>
    <m/>
    <x v="1"/>
    <m/>
    <x v="3"/>
    <m/>
    <s v="CANCELLED"/>
    <s v="Vítor Manuel Francisco"/>
    <s v="Gerente"/>
    <s v="jovi-sola@sapo.pt"/>
    <m/>
    <s v="-"/>
    <x v="4"/>
    <x v="1"/>
    <m/>
  </r>
  <r>
    <x v="35"/>
    <x v="36"/>
    <s v="JOAQUIM PINHEIRO SANTOS,SUCESSORES LDA"/>
    <n v="500152624"/>
    <x v="36"/>
    <x v="16"/>
    <n v="413"/>
    <n v="218.9"/>
    <x v="1"/>
    <s v="Cliente"/>
    <n v="2"/>
    <n v="24"/>
    <d v="2023-07-01T00:00:00"/>
    <x v="0"/>
    <s v="Sandwich"/>
    <x v="1"/>
    <s v="To discuss with the client"/>
    <s v="ACTIVE"/>
    <s v="Nuno Santos"/>
    <m/>
    <s v="curtir@sapo.pt"/>
    <n v="939720430"/>
    <d v="2025-07-01T00:00:00"/>
    <x v="10"/>
    <x v="1"/>
    <s v="Não ha registo de contrato estar renovado"/>
  </r>
  <r>
    <x v="36"/>
    <x v="37"/>
    <s v="Ferraz &amp; Ferreira, Lda."/>
    <n v="500876746"/>
    <x v="37"/>
    <x v="17"/>
    <n v="272"/>
    <n v="144.16"/>
    <x v="0"/>
    <s v="Solcorelios"/>
    <n v="10"/>
    <n v="120"/>
    <d v="2022-06-01T00:00:00"/>
    <x v="0"/>
    <s v="Cobertura + Sandwich"/>
    <x v="1"/>
    <m/>
    <s v="ACTIVE"/>
    <s v="Paula Ana Maria Fluckiger Ferraz Coutinho"/>
    <s v="Gerente"/>
    <s v="paulaferrazferreira.com.pt"/>
    <s v="252301350_x000a_252301351_x000a_914981896_x000a_914933459"/>
    <d v="2032-06-01T00:00:00"/>
    <x v="11"/>
    <x v="0"/>
    <m/>
  </r>
  <r>
    <x v="37"/>
    <x v="38"/>
    <s v="Lidl &amp; Companhia"/>
    <n v="503340855"/>
    <x v="38"/>
    <x v="5"/>
    <s v="316(bragança)+332(lousã)+33(moução)+316(porto)+333(tomar)+333(covilhã)+333(viana do castelo)"/>
    <n v="873.81"/>
    <x v="1"/>
    <s v="Cliente"/>
    <n v="0"/>
    <n v="0"/>
    <s v="-"/>
    <x v="1"/>
    <s v="Cobertura"/>
    <x v="1"/>
    <m/>
    <s v="ACTIVE"/>
    <m/>
    <m/>
    <m/>
    <m/>
    <s v="-"/>
    <x v="4"/>
    <x v="1"/>
    <m/>
  </r>
  <r>
    <x v="38"/>
    <x v="39"/>
    <s v="Estevão Luis Salvador Lda"/>
    <n v="502786639"/>
    <x v="39"/>
    <x v="16"/>
    <n v="924"/>
    <n v="498.96"/>
    <x v="1"/>
    <s v="Cliente"/>
    <n v="0"/>
    <n v="0"/>
    <s v="-"/>
    <x v="1"/>
    <s v="Sandwich"/>
    <x v="1"/>
    <s v="To discuss with Oscar"/>
    <s v="ACTIVE"/>
    <s v="Oscar Vale"/>
    <m/>
    <s v="oscar.vale@partilhextrema.pt"/>
    <n v="912253249"/>
    <s v="-"/>
    <x v="4"/>
    <x v="1"/>
    <m/>
  </r>
  <r>
    <x v="39"/>
    <x v="40"/>
    <s v="Estevão Luis Salvador Lda"/>
    <n v="502786639"/>
    <x v="40"/>
    <x v="3"/>
    <n v="278"/>
    <s v="150.12"/>
    <x v="1"/>
    <s v="Cliente"/>
    <n v="0"/>
    <n v="0"/>
    <s v="-"/>
    <x v="1"/>
    <s v="Sandwich"/>
    <x v="1"/>
    <s v="To discuss with Oscar"/>
    <s v="ACTIVE"/>
    <s v="Oscar Vale"/>
    <m/>
    <s v="oscar.vale@partilhextrema.pt"/>
    <n v="912253249"/>
    <s v="-"/>
    <x v="4"/>
    <x v="1"/>
    <m/>
  </r>
  <r>
    <x v="40"/>
    <x v="41"/>
    <s v="Marmores Galrão-Eduardo Galrão Jorge &amp; Filhos S.A."/>
    <n v="500091161"/>
    <x v="41"/>
    <x v="6"/>
    <n v="792"/>
    <n v="431.64"/>
    <x v="0"/>
    <s v="Solcorelios"/>
    <n v="15"/>
    <n v="180"/>
    <d v="2023-07-01T00:00:00"/>
    <x v="0"/>
    <s v="Sandwich"/>
    <x v="1"/>
    <m/>
    <s v="ACTIVE"/>
    <s v="José Manuel Rodrigues Galrão Jorge / Augusto Manuel de Oliveira Diniz / Paulo Hortensio Jorge Diniz/ Ricardo Diniz"/>
    <s v="Presidente do conselho de administração / Vogal do conselho de administração"/>
    <s v="jroseiro@galrao.com / jgalraoj@galrao.com"/>
    <n v="910410024"/>
    <d v="2038-07-01T00:00:00"/>
    <x v="12"/>
    <x v="0"/>
    <m/>
  </r>
  <r>
    <x v="41"/>
    <x v="42"/>
    <s v="Granitos Galrão, Norte, Limitada"/>
    <n v="502247185"/>
    <x v="42"/>
    <x v="18"/>
    <n v="684"/>
    <n v="307.8"/>
    <x v="0"/>
    <s v="Solcorelios"/>
    <n v="15"/>
    <n v="180"/>
    <d v="2022-09-01T00:00:00"/>
    <x v="0"/>
    <s v="Sandwich"/>
    <x v="1"/>
    <m/>
    <s v="ACTIVE"/>
    <s v="José Manuel Rodrigues Galrão Jorge / Augusto Manuel de Oliveira Diniz / Paulo Hortensio Jorge Diniz"/>
    <s v="Presidente do conselho de administração / Vogal do conselho de administração"/>
    <s v="jroseiro@galrao.com / jgalraoj@galrao.com"/>
    <s v="918705411_x000a_966826769"/>
    <d v="2037-09-01T00:00:00"/>
    <x v="9"/>
    <x v="0"/>
    <m/>
  </r>
  <r>
    <x v="42"/>
    <x v="43"/>
    <s v="Ardavi-Maquinação E Comercialização De Artefactos Metal..."/>
    <n v="502605545"/>
    <x v="43"/>
    <x v="3"/>
    <n v="136"/>
    <n v="72.760000000000005"/>
    <x v="0"/>
    <s v="Solcorelios"/>
    <n v="15"/>
    <n v="180"/>
    <d v="2022-03-01T00:00:00"/>
    <x v="0"/>
    <s v="Sandwich"/>
    <x v="1"/>
    <m/>
    <s v="ACTIVE"/>
    <s v="Hugo David Gonçalves Simões / Aldina Alves Gonçalves Simões"/>
    <s v="Gerentes"/>
    <s v="joao.mendes@ardavi.pt"/>
    <n v="967272016"/>
    <d v="2037-03-01T00:00:00"/>
    <x v="9"/>
    <x v="0"/>
    <m/>
  </r>
  <r>
    <x v="43"/>
    <x v="44"/>
    <s v="Textil Do Marco S.A."/>
    <n v="501534008"/>
    <x v="44"/>
    <x v="9"/>
    <n v="120"/>
    <n v="63.6"/>
    <x v="1"/>
    <s v="Cliente"/>
    <n v="0"/>
    <n v="0"/>
    <s v="-"/>
    <x v="1"/>
    <s v="Cobertura"/>
    <x v="1"/>
    <s v="To discuss with the client"/>
    <s v="ACTIVE"/>
    <s v="Oskar Andreas Falley"/>
    <s v="Presidente"/>
    <m/>
    <n v="255534434"/>
    <s v="-"/>
    <x v="4"/>
    <x v="1"/>
    <m/>
  </r>
  <r>
    <x v="44"/>
    <x v="45"/>
    <s v="Diamantino Coelho &amp; Filho S.A."/>
    <n v="502099666"/>
    <x v="45"/>
    <x v="19"/>
    <n v="480"/>
    <n v="256.8"/>
    <x v="0"/>
    <s v="Solcorelios"/>
    <n v="10"/>
    <n v="120"/>
    <d v="2022-04-01T00:00:00"/>
    <x v="0"/>
    <s v="Sandwich"/>
    <x v="1"/>
    <m/>
    <s v="ACTIVE"/>
    <s v="Carlos Manuel Vicente Coelho"/>
    <s v="Presidente"/>
    <s v="ccoelho@diaco.pt"/>
    <s v="932255257_x000a_916597424"/>
    <d v="2032-04-01T00:00:00"/>
    <x v="11"/>
    <x v="0"/>
    <m/>
  </r>
  <r>
    <x v="44"/>
    <x v="46"/>
    <s v="Diamantino Coelho &amp; Filho S.A."/>
    <n v="502099666"/>
    <x v="46"/>
    <x v="16"/>
    <n v="34"/>
    <n v="18.02"/>
    <x v="1"/>
    <s v="Cliente"/>
    <n v="0"/>
    <n v="0"/>
    <s v="-"/>
    <x v="1"/>
    <s v="Chapa ou Sandwich"/>
    <x v="1"/>
    <s v="To discuss with the client"/>
    <s v="ACTIVE"/>
    <s v="Carlos Manuel Vicente Coelho/Luis"/>
    <s v="Presidente/responsável agriloja"/>
    <s v="ccoelho@diaco.pt"/>
    <s v="932255257/933800521"/>
    <s v="-"/>
    <x v="4"/>
    <x v="1"/>
    <m/>
  </r>
  <r>
    <x v="44"/>
    <x v="47"/>
    <s v="Diamantino Coelho &amp; Filho S.A."/>
    <n v="0"/>
    <x v="38"/>
    <x v="16"/>
    <n v="10"/>
    <n v="5.4"/>
    <x v="1"/>
    <s v="Cliente"/>
    <n v="0"/>
    <n v="0"/>
    <s v="-"/>
    <x v="1"/>
    <s v="Telha"/>
    <x v="1"/>
    <s v="To discuss with the client"/>
    <s v="ACTIVE"/>
    <s v="Carlos Manuel Vicente Coelho"/>
    <s v="Presidente"/>
    <s v="ccoelho@diaco.pt"/>
    <n v="932255257"/>
    <s v="-"/>
    <x v="4"/>
    <x v="1"/>
    <m/>
  </r>
  <r>
    <x v="45"/>
    <x v="48"/>
    <s v="Pinhão &amp; Irmão Lda"/>
    <n v="501271716"/>
    <x v="47"/>
    <x v="8"/>
    <n v="285"/>
    <n v="127.6"/>
    <x v="1"/>
    <s v="Cliente"/>
    <n v="2"/>
    <n v="24"/>
    <d v="2024-03-09T00:00:00"/>
    <x v="0"/>
    <s v="Sandwich"/>
    <x v="1"/>
    <s v="2 years - Complete O&amp;M"/>
    <s v="ACTIVE"/>
    <s v="Rui Pinhão"/>
    <s v="Gerente"/>
    <s v="rui.pinhao@pinhao.pt"/>
    <n v="937891282"/>
    <d v="2026-03-09T00:00:00"/>
    <x v="0"/>
    <x v="1"/>
    <m/>
  </r>
  <r>
    <x v="46"/>
    <x v="49"/>
    <s v="Jetesetecar - Equipamentos Auto Lda"/>
    <n v="503194387"/>
    <x v="48"/>
    <x v="20"/>
    <n v="198"/>
    <n v="89.1"/>
    <x v="0"/>
    <s v="Solcorelios"/>
    <n v="15"/>
    <n v="180"/>
    <d v="2022-08-01T00:00:00"/>
    <x v="0"/>
    <s v="Sandwich"/>
    <x v="2"/>
    <m/>
    <s v="ACTIVE"/>
    <s v="Adelino da Costa Sá_x000a_Pedro Santos"/>
    <s v="Gerente"/>
    <s v="pedro.santos@jetesetecar.com"/>
    <n v="913385462"/>
    <d v="2037-08-01T00:00:00"/>
    <x v="9"/>
    <x v="0"/>
    <m/>
  </r>
  <r>
    <x v="47"/>
    <x v="50"/>
    <s v="Estevão Luis Salvador Lda"/>
    <n v="502786639"/>
    <x v="38"/>
    <x v="21"/>
    <n v="126"/>
    <n v="68.040000000000006"/>
    <x v="1"/>
    <s v="Cliente"/>
    <n v="0"/>
    <n v="0"/>
    <s v="-"/>
    <x v="1"/>
    <s v="Sandwich"/>
    <x v="1"/>
    <s v="To discuss with Oscar"/>
    <s v="ACTIVE"/>
    <s v="Oscar Vale"/>
    <m/>
    <s v="oscar.vale@partilhextrema.pt"/>
    <n v="912253249"/>
    <s v="-"/>
    <x v="4"/>
    <x v="1"/>
    <m/>
  </r>
  <r>
    <x v="48"/>
    <x v="51"/>
    <s v="Vatel-Companhia De Produtos Alimentares S.A."/>
    <n v="502644699"/>
    <x v="49"/>
    <x v="13"/>
    <n v="288"/>
    <n v="129.6"/>
    <x v="1"/>
    <s v="Cliente"/>
    <n v="0"/>
    <n v="0"/>
    <d v="2023-03-01T00:00:00"/>
    <x v="0"/>
    <s v="Sandwich"/>
    <x v="1"/>
    <s v="Maintenance contract"/>
    <s v="ACTIVE"/>
    <s v="Rui Branco"/>
    <m/>
    <s v="rui.branco@k-plus-s.com"/>
    <n v="289710168"/>
    <d v="2023-03-01T00:00:00"/>
    <x v="13"/>
    <x v="1"/>
    <s v="Não ha registo de contrato estar renovado"/>
  </r>
  <r>
    <x v="49"/>
    <x v="52"/>
    <s v="Tecnisata - Indústria Metalomecânica S.A."/>
    <n v="500280614"/>
    <x v="50"/>
    <x v="12"/>
    <n v="270"/>
    <n v="147.15"/>
    <x v="0"/>
    <s v="Solcorelios"/>
    <n v="15"/>
    <n v="180"/>
    <d v="2023-01-01T00:00:00"/>
    <x v="0"/>
    <s v="Sandwich"/>
    <x v="1"/>
    <m/>
    <s v="ACTIVE"/>
    <s v="Maria Helena Pereira Filipe / Pedro Miguel Ribeiro Teixeira"/>
    <s v="Vogal do Conselho de Administração"/>
    <s v="tecnisata@tecnisata.pt"/>
    <n v="910081951"/>
    <d v="2038-01-01T00:00:00"/>
    <x v="12"/>
    <x v="0"/>
    <m/>
  </r>
  <r>
    <x v="50"/>
    <x v="53"/>
    <s v="Moviportas-Fábrica De Móveis E Portas De Rio De Couros Lda"/>
    <n v="500441731"/>
    <x v="51"/>
    <x v="16"/>
    <n v="270"/>
    <n v="147.15"/>
    <x v="1"/>
    <s v="Cliente"/>
    <n v="0"/>
    <n v="0"/>
    <s v="-"/>
    <x v="1"/>
    <s v="Sandwich"/>
    <x v="1"/>
    <s v="To discuss with the client"/>
    <s v="ACTIVE"/>
    <s v="Joaquim Marques Gomes"/>
    <s v="Gerente"/>
    <s v="moviportas@gmail.com"/>
    <n v="919840229"/>
    <s v="-"/>
    <x v="4"/>
    <x v="1"/>
    <m/>
  </r>
  <r>
    <x v="51"/>
    <x v="54"/>
    <s v="Moviportas-Fábrica De Móveis E Portas De Rio De Couros Lda"/>
    <n v="500441731"/>
    <x v="52"/>
    <x v="3"/>
    <n v="85"/>
    <n v="43.325000000000003"/>
    <x v="1"/>
    <s v="Cliente"/>
    <n v="0"/>
    <n v="0"/>
    <s v="-"/>
    <x v="1"/>
    <s v="Sandwich"/>
    <x v="1"/>
    <s v="To discuss with the client"/>
    <s v="ACTIVE"/>
    <s v="Joaquim Marques Gomes"/>
    <s v="Gerente"/>
    <s v="moviportas@gmail.com"/>
    <n v="919840229"/>
    <s v="-"/>
    <x v="4"/>
    <x v="1"/>
    <m/>
  </r>
  <r>
    <x v="52"/>
    <x v="55"/>
    <s v="Moviportas-Fábrica De Móveis E Portas De Rio De Couros Lda"/>
    <n v="0"/>
    <x v="38"/>
    <x v="16"/>
    <n v="18"/>
    <n v="8.1"/>
    <x v="1"/>
    <s v="Cliente"/>
    <n v="0"/>
    <n v="0"/>
    <s v="-"/>
    <x v="1"/>
    <s v="Sandwich"/>
    <x v="1"/>
    <s v="To discuss with the client"/>
    <s v="ACTIVE"/>
    <s v="Joaquim Marques Gomes"/>
    <s v="Gerente"/>
    <s v="moviportas@gmail.com"/>
    <n v="919840229"/>
    <s v="-"/>
    <x v="4"/>
    <x v="1"/>
    <m/>
  </r>
  <r>
    <x v="53"/>
    <x v="56"/>
    <s v="Homeupdate, Lda"/>
    <n v="510504965"/>
    <x v="53"/>
    <x v="6"/>
    <n v="180"/>
    <n v="81"/>
    <x v="0"/>
    <s v="Solcorelios"/>
    <n v="10"/>
    <n v="120"/>
    <d v="2023-01-01T00:00:00"/>
    <x v="0"/>
    <s v="Sandwich"/>
    <x v="1"/>
    <m/>
    <s v="ACTIVE"/>
    <s v="Joaquim Marques Gomes"/>
    <s v="Gerente"/>
    <s v="sandra.ferreira@homeupdate.pt"/>
    <n v="935522884"/>
    <d v="2033-01-01T00:00:00"/>
    <x v="14"/>
    <x v="0"/>
    <m/>
  </r>
  <r>
    <x v="54"/>
    <x v="57"/>
    <s v="Estevão Luis Salvador Lda"/>
    <n v="502786639"/>
    <x v="54"/>
    <x v="22"/>
    <n v="94"/>
    <n v="116.64"/>
    <x v="1"/>
    <s v="Cliente"/>
    <n v="0"/>
    <n v="0"/>
    <d v="2022-08-25T00:00:00"/>
    <x v="1"/>
    <s v="Sandwich"/>
    <x v="1"/>
    <s v="To discuss with Oscar"/>
    <s v="ACTIVE"/>
    <s v="Oscar Vale"/>
    <m/>
    <s v="oscar.vale@partilhextrema.pt"/>
    <n v="912253249"/>
    <s v="-"/>
    <x v="4"/>
    <x v="1"/>
    <m/>
  </r>
  <r>
    <x v="55"/>
    <x v="58"/>
    <s v="Dayton Progress - Perfuradores, Lda"/>
    <n v="505416921"/>
    <x v="55"/>
    <x v="3"/>
    <n v="560"/>
    <n v="336"/>
    <x v="0"/>
    <s v="Solcorelios"/>
    <n v="10"/>
    <n v="120"/>
    <d v="2025-05-09T00:00:00"/>
    <x v="0"/>
    <s v="Sandwich"/>
    <x v="1"/>
    <m/>
    <s v="ACTIVE"/>
    <s v="João Miguel Correia Pascoal"/>
    <s v="Gerente"/>
    <s v="JPascoal@daytonprogress.pt / Carolino@daytonprogress.pt"/>
    <s v="."/>
    <d v="2035-05-09T00:00:00"/>
    <x v="2"/>
    <x v="0"/>
    <m/>
  </r>
  <r>
    <x v="56"/>
    <x v="59"/>
    <s v="Rap - Industrial Lda"/>
    <n v="506178374"/>
    <x v="56"/>
    <x v="23"/>
    <n v="168"/>
    <n v="91.56"/>
    <x v="0"/>
    <s v="Solcorelios"/>
    <n v="15"/>
    <n v="180"/>
    <d v="2022-12-01T00:00:00"/>
    <x v="0"/>
    <s v="Sandwich"/>
    <x v="1"/>
    <m/>
    <s v="ACTIVE"/>
    <s v="Manuel Augusto Silva Tavares"/>
    <s v="Gerente"/>
    <s v="manueltavares@arautorap.com / pedrotavares@arautorap.com"/>
    <n v="966938380"/>
    <d v="2037-12-01T00:00:00"/>
    <x v="9"/>
    <x v="0"/>
    <m/>
  </r>
  <r>
    <x v="57"/>
    <x v="60"/>
    <m/>
    <m/>
    <x v="38"/>
    <x v="5"/>
    <m/>
    <m/>
    <x v="0"/>
    <s v="Solcorelios"/>
    <m/>
    <n v="0"/>
    <m/>
    <x v="1"/>
    <m/>
    <x v="3"/>
    <m/>
    <s v="CANCELLED"/>
    <m/>
    <m/>
    <m/>
    <m/>
    <s v="-"/>
    <x v="4"/>
    <x v="1"/>
    <m/>
  </r>
  <r>
    <x v="58"/>
    <x v="61"/>
    <s v="Corkplas - Indústria De Transformação E Comércio De Plásticos E Derivados De Cortiça Lda"/>
    <n v="506252914"/>
    <x v="57"/>
    <x v="12"/>
    <n v="30"/>
    <n v="16.399999999999999"/>
    <x v="1"/>
    <s v="Cliente"/>
    <n v="0"/>
    <n v="0"/>
    <s v="-"/>
    <x v="1"/>
    <s v="Sandwich"/>
    <x v="1"/>
    <s v="To discuss with the client"/>
    <s v="ACTIVE"/>
    <s v="Nuno Miguel Laginha Catarino dos Santos"/>
    <s v="Gerente"/>
    <m/>
    <m/>
    <s v="-"/>
    <x v="4"/>
    <x v="1"/>
    <m/>
  </r>
  <r>
    <x v="59"/>
    <x v="62"/>
    <s v="Corkplas - Indústria De Transformação E Comércio De Plásticos E Derivados De Cortiça Lda"/>
    <n v="506252914"/>
    <x v="57"/>
    <x v="12"/>
    <n v="56"/>
    <n v="30.5"/>
    <x v="1"/>
    <s v="Cliente"/>
    <n v="0"/>
    <n v="0"/>
    <s v="-"/>
    <x v="1"/>
    <s v="Sandwich"/>
    <x v="1"/>
    <s v="To discuss with the client"/>
    <s v="ACTIVE"/>
    <s v="Nuno Miguel Laginha Catarino dos Santos"/>
    <s v="Gerente"/>
    <m/>
    <m/>
    <s v="-"/>
    <x v="4"/>
    <x v="1"/>
    <m/>
  </r>
  <r>
    <x v="60"/>
    <x v="63"/>
    <s v="Jeteprodesign, Lda"/>
    <n v="510808212"/>
    <x v="58"/>
    <x v="5"/>
    <n v="182"/>
    <n v="81.900000000000006"/>
    <x v="0"/>
    <s v="Solcorelios"/>
    <n v="15"/>
    <n v="180"/>
    <m/>
    <x v="1"/>
    <m/>
    <x v="3"/>
    <m/>
    <s v="ON HOLD"/>
    <s v="Gabriel Fernando da Costa Fortuna /Adelino da Costa Sá"/>
    <s v="Gerente"/>
    <s v="geral@jeteprodesign.com / gabriel.fortuna@jeteprodesign.com"/>
    <s v="."/>
    <s v="-"/>
    <x v="4"/>
    <x v="1"/>
    <m/>
  </r>
  <r>
    <x v="61"/>
    <x v="64"/>
    <s v="Associação Dos Bombeiros Voluntarios De Arruda Dos Vinhos"/>
    <n v="501137092"/>
    <x v="59"/>
    <x v="24"/>
    <n v="54"/>
    <n v="29.43"/>
    <x v="0"/>
    <s v="Solcorelios"/>
    <n v="15"/>
    <n v="180"/>
    <d v="2023-01-01T00:00:00"/>
    <x v="0"/>
    <s v="Sandwich"/>
    <x v="5"/>
    <m/>
    <s v="ACTIVE"/>
    <s v="Rui José dos santos silva / Carla José Granja Lima e sílva"/>
    <s v="Presidenye da direção / Tesoureiro da direção"/>
    <s v="secretaria@bv-arruda.pt"/>
    <s v="263975114_x000a_917601545"/>
    <d v="2038-01-01T00:00:00"/>
    <x v="12"/>
    <x v="0"/>
    <m/>
  </r>
  <r>
    <x v="62"/>
    <x v="65"/>
    <s v="Encontrus-Sociedade Hoteleira Lda"/>
    <n v="502930942"/>
    <x v="60"/>
    <x v="25"/>
    <n v="124"/>
    <n v="67.58"/>
    <x v="0"/>
    <s v="Solcorelios"/>
    <n v="15"/>
    <n v="180"/>
    <d v="2023-04-01T00:00:00"/>
    <x v="0"/>
    <s v="Sandwich"/>
    <x v="1"/>
    <m/>
    <s v="ACTIVE"/>
    <s v="João Carlos de Figueiredo Alves"/>
    <s v="Gerente"/>
    <s v="financeiro@encontrus.com / nunoalves@encontrus.com"/>
    <n v="967139306"/>
    <d v="2038-04-01T00:00:00"/>
    <x v="12"/>
    <x v="0"/>
    <m/>
  </r>
  <r>
    <x v="63"/>
    <x v="66"/>
    <s v="Licofrutos, Unipessoal Lda"/>
    <n v="509090990"/>
    <x v="61"/>
    <x v="26"/>
    <n v="160"/>
    <n v="72"/>
    <x v="0"/>
    <s v="Solcorelios"/>
    <n v="10"/>
    <n v="120"/>
    <d v="2022-12-01T00:00:00"/>
    <x v="0"/>
    <s v="Sandwich"/>
    <x v="1"/>
    <m/>
    <s v="ACTIVE"/>
    <s v="João Manuel Correia Rodrigues"/>
    <s v="Gerente"/>
    <s v="licofrutos@gmail.com"/>
    <n v="936174154"/>
    <d v="2032-12-01T00:00:00"/>
    <x v="11"/>
    <x v="0"/>
    <m/>
  </r>
  <r>
    <x v="64"/>
    <x v="67"/>
    <s v="Pancrisp-Industria De Panificação Lda"/>
    <n v="502680296"/>
    <x v="62"/>
    <x v="3"/>
    <n v="306"/>
    <n v="137.69999999999999"/>
    <x v="0"/>
    <s v="Solcorelios"/>
    <n v="20"/>
    <n v="240"/>
    <d v="2023-07-01T00:00:00"/>
    <x v="0"/>
    <s v="Carport e Sandwich"/>
    <x v="1"/>
    <m/>
    <s v="ACTIVE"/>
    <s v="Fernando Crispim / Ângela (secretaria)"/>
    <s v="Gerente / secretaria"/>
    <s v="fjfcrispim@sapo.pt"/>
    <n v="914731811"/>
    <d v="2043-07-01T00:00:00"/>
    <x v="15"/>
    <x v="0"/>
    <m/>
  </r>
  <r>
    <x v="65"/>
    <x v="68"/>
    <s v="Barbotina-Fábrica de Artigos Cerâmicos S.A"/>
    <n v="502295147"/>
    <x v="63"/>
    <x v="5"/>
    <m/>
    <n v="441.5"/>
    <x v="0"/>
    <s v="Solcorelios"/>
    <n v="10"/>
    <n v="120"/>
    <m/>
    <x v="1"/>
    <m/>
    <x v="3"/>
    <m/>
    <s v="CANCELLED"/>
    <s v="António José Santiago dos Reis Moita"/>
    <s v="Administrador Único"/>
    <s v="antonio@barbotina.com"/>
    <m/>
    <s v="-"/>
    <x v="4"/>
    <x v="1"/>
    <m/>
  </r>
  <r>
    <x v="66"/>
    <x v="69"/>
    <s v="Itecmo - Indústria De Fabricação De Moldes Lda"/>
    <n v="501493603"/>
    <x v="64"/>
    <x v="3"/>
    <n v="225"/>
    <n v="101.25"/>
    <x v="0"/>
    <s v="Solcorelios"/>
    <n v="15"/>
    <n v="180"/>
    <d v="2023-02-01T00:00:00"/>
    <x v="0"/>
    <s v="Sandwich"/>
    <x v="1"/>
    <m/>
    <s v="ACTIVE"/>
    <s v="Miguel da Silva Ascenso / Paulo Cristóvão da Silva Pinto"/>
    <s v="Gerente"/>
    <s v="m.ascenso@itecmo.pt / itecmo@itecmo.pt"/>
    <n v="914330176"/>
    <d v="2038-02-01T00:00:00"/>
    <x v="12"/>
    <x v="0"/>
    <m/>
  </r>
  <r>
    <x v="67"/>
    <x v="70"/>
    <s v="Real Sport Clube"/>
    <n v="501084819"/>
    <x v="65"/>
    <x v="27"/>
    <n v="112"/>
    <n v="61.4"/>
    <x v="0"/>
    <s v="Solcorelios"/>
    <n v="10"/>
    <n v="120"/>
    <d v="2023-07-01T00:00:00"/>
    <x v="0"/>
    <s v="Cobertura Plana"/>
    <x v="6"/>
    <m/>
    <s v="ACTIVE"/>
    <s v="José Adelino Marques Ramos / Francisco José Ferreira de Lima Freire"/>
    <s v="Presidente / Vice-Presidente Financeiro"/>
    <s v="departamentofinanceiro@realsportclube.com"/>
    <s v="969011518_x000a_926656720_x000a_919778199"/>
    <d v="2033-07-01T00:00:00"/>
    <x v="14"/>
    <x v="0"/>
    <m/>
  </r>
  <r>
    <x v="68"/>
    <x v="71"/>
    <s v="Agrovácuo Preparação E Embalagem De Produtos Horticolas Lda"/>
    <n v="505248417"/>
    <x v="66"/>
    <x v="12"/>
    <n v="94"/>
    <n v="42.3"/>
    <x v="1"/>
    <s v="Cliente"/>
    <m/>
    <n v="0"/>
    <s v="-"/>
    <x v="1"/>
    <s v="Sandwich"/>
    <x v="1"/>
    <s v="To discuss with the client"/>
    <s v="ACTIVE"/>
    <s v="Gonçalo Manuel Duarte Simões"/>
    <s v="Gerente"/>
    <m/>
    <n v="965352795"/>
    <s v="-"/>
    <x v="4"/>
    <x v="1"/>
    <m/>
  </r>
  <r>
    <x v="69"/>
    <x v="72"/>
    <s v="Maryasa - Importação E Exportação, Unipessoal Lda"/>
    <n v="510352855"/>
    <x v="67"/>
    <x v="23"/>
    <n v="384"/>
    <n v="172.8"/>
    <x v="0"/>
    <s v="Solcorelios"/>
    <n v="15"/>
    <n v="180"/>
    <d v="2023-07-01T00:00:00"/>
    <x v="0"/>
    <s v="Sandwich"/>
    <x v="1"/>
    <m/>
    <s v="ACTIVE"/>
    <s v="Manuel Andrade Ferreira da Silva"/>
    <s v="Gerente"/>
    <s v="geral@maryasa.com / producao@maryasa.com"/>
    <n v="966371326"/>
    <d v="2038-07-01T00:00:00"/>
    <x v="12"/>
    <x v="0"/>
    <m/>
  </r>
  <r>
    <x v="70"/>
    <x v="73"/>
    <s v="Diamantino Coelho &amp; Filho S.A."/>
    <n v="502099666"/>
    <x v="46"/>
    <x v="16"/>
    <m/>
    <n v="30.1"/>
    <x v="1"/>
    <s v="Cliente"/>
    <n v="0"/>
    <n v="0"/>
    <s v="-"/>
    <x v="1"/>
    <s v="Sandwich"/>
    <x v="1"/>
    <s v="To discuss with the client"/>
    <s v="ACTIVE"/>
    <s v="Carlos Manuel Vicente Coelho"/>
    <s v="Predidente"/>
    <m/>
    <s v="932255257_x000a_916597424"/>
    <s v="-"/>
    <x v="4"/>
    <x v="1"/>
    <m/>
  </r>
  <r>
    <x v="70"/>
    <x v="74"/>
    <s v="Diamantino Coelho &amp; Filho S.A."/>
    <n v="502099666"/>
    <x v="45"/>
    <x v="16"/>
    <n v="66"/>
    <n v="35.97"/>
    <x v="1"/>
    <s v="Cliente"/>
    <n v="0"/>
    <n v="0"/>
    <s v="-"/>
    <x v="1"/>
    <s v="Sandwich"/>
    <x v="1"/>
    <s v="To discuss with the client"/>
    <s v="ACTIVE"/>
    <s v="Carlos Manuel Vicente Coelho"/>
    <s v="Predidente"/>
    <m/>
    <s v="932255257_x000a_916597424"/>
    <s v="-"/>
    <x v="4"/>
    <x v="1"/>
    <m/>
  </r>
  <r>
    <x v="70"/>
    <x v="75"/>
    <s v="Diamantino Coelho &amp; Filho S.A."/>
    <n v="502099666"/>
    <x v="68"/>
    <x v="16"/>
    <n v="704"/>
    <s v="316.8"/>
    <x v="1"/>
    <s v="Cliente"/>
    <n v="0"/>
    <n v="0"/>
    <d v="2023-02-01T00:00:00"/>
    <x v="1"/>
    <s v="Sandwich"/>
    <x v="1"/>
    <s v="To discuss with the client"/>
    <s v="ACTIVE"/>
    <s v="Carlos Manuel Vicente Coelho"/>
    <s v="Predidente"/>
    <m/>
    <s v="932255257_x000a_916597424"/>
    <s v="-"/>
    <x v="4"/>
    <x v="1"/>
    <m/>
  </r>
  <r>
    <x v="71"/>
    <x v="76"/>
    <s v="Casa Da Divina Providencia E De Maria Auxiliadora(Centro Paroquial De Safara)"/>
    <n v="502312254"/>
    <x v="69"/>
    <x v="28"/>
    <n v="92"/>
    <n v="50.6"/>
    <x v="0"/>
    <s v="Solcorelios II"/>
    <n v="15"/>
    <n v="180"/>
    <d v="2023-06-01T00:00:00"/>
    <x v="0"/>
    <s v="Solo"/>
    <x v="4"/>
    <m/>
    <s v="ACTIVE"/>
    <s v="Rui Luís Ferreira Sousa / Maria Almeida dos Santos Pereira Rodrigues / Florência Fonseca Valente"/>
    <s v="Presidente / Secretária / Tesoureira"/>
    <s v="geral@larsafara.pt"/>
    <n v="933261098"/>
    <d v="2038-06-01T00:00:00"/>
    <x v="12"/>
    <x v="0"/>
    <m/>
  </r>
  <r>
    <x v="72"/>
    <x v="77"/>
    <s v="Santa Casa Da Misericordia De Alpedrinha"/>
    <n v="500986894"/>
    <x v="70"/>
    <x v="0"/>
    <n v="83"/>
    <n v="40.67"/>
    <x v="0"/>
    <s v="Solcorelios II"/>
    <n v="15"/>
    <n v="180"/>
    <d v="2023-03-01T00:00:00"/>
    <x v="0"/>
    <s v="Telha"/>
    <x v="6"/>
    <m/>
    <s v="ACTIVE"/>
    <s v="Maria do Carmo Sanches de Oliveira / Luís dos Santos de Aguiar"/>
    <s v="Provedora / Tesoureiro"/>
    <s v="scmalpedrinha@sapo.pt"/>
    <n v="965360258"/>
    <d v="2038-03-01T00:00:00"/>
    <x v="12"/>
    <x v="0"/>
    <m/>
  </r>
  <r>
    <x v="73"/>
    <x v="78"/>
    <s v="Associação Sócio-Cultural Recreativa Educativa Da Cumieira E Circunvizinhas"/>
    <n v="503071625"/>
    <x v="71"/>
    <x v="3"/>
    <n v="104"/>
    <n v="47.7"/>
    <x v="0"/>
    <s v="Solcorelios II"/>
    <n v="15"/>
    <n v="180"/>
    <d v="2023-05-01T00:00:00"/>
    <x v="0"/>
    <s v="Telha"/>
    <x v="6"/>
    <m/>
    <s v="ACTIVE"/>
    <s v="Joaquim da Silva / António Vítor da Silva Lopes"/>
    <s v="Presidente / Tesoureiro"/>
    <s v="geral@acumieira.com"/>
    <n v="236212072"/>
    <d v="2038-05-01T00:00:00"/>
    <x v="12"/>
    <x v="0"/>
    <m/>
  </r>
  <r>
    <x v="74"/>
    <x v="79"/>
    <s v="Ângulos E Argumentos Lda"/>
    <n v="513003657"/>
    <x v="72"/>
    <x v="9"/>
    <n v="78"/>
    <n v="38.22"/>
    <x v="1"/>
    <s v="Cliente"/>
    <n v="0"/>
    <n v="0"/>
    <d v="2023-06-01T00:00:00"/>
    <x v="1"/>
    <s v="Cobertura Plana"/>
    <x v="2"/>
    <s v="To discuss with Rui Nunes"/>
    <s v="ACTIVE"/>
    <s v="Rui Bessa"/>
    <m/>
    <m/>
    <n v="968700937"/>
    <s v="-"/>
    <x v="4"/>
    <x v="1"/>
    <m/>
  </r>
  <r>
    <x v="75"/>
    <x v="80"/>
    <s v="Santa Casa Da Misericordia Do Entroncamento"/>
    <n v="500876088"/>
    <x v="73"/>
    <x v="16"/>
    <n v="182"/>
    <n v="99"/>
    <x v="1"/>
    <s v="Cliente"/>
    <n v="0"/>
    <n v="0"/>
    <d v="2023-04-01T00:00:00"/>
    <x v="1"/>
    <s v="Telha/ Cobertura Plana"/>
    <x v="6"/>
    <s v="To discuss with Rui Nunes"/>
    <s v="ACTIVE"/>
    <s v="Vitor Bertelo / José Paulino Manutenção"/>
    <m/>
    <m/>
    <s v="939900147 / 913576424"/>
    <s v="-"/>
    <x v="4"/>
    <x v="1"/>
    <m/>
  </r>
  <r>
    <x v="76"/>
    <x v="81"/>
    <s v="Santa Casa Da Misericordia Do Entroncamento"/>
    <n v="500876088"/>
    <x v="74"/>
    <x v="16"/>
    <n v="250"/>
    <n v="115"/>
    <x v="1"/>
    <s v="Cliente"/>
    <n v="0"/>
    <n v="0"/>
    <d v="2023-05-01T00:00:00"/>
    <x v="1"/>
    <s v="Telha"/>
    <x v="1"/>
    <s v="To discuss with Rui Nunes"/>
    <s v="ACTIVE"/>
    <s v="Vitor Bertelo / José Paulino Manutenção"/>
    <m/>
    <m/>
    <s v="939900147 / 913576424"/>
    <s v="-"/>
    <x v="4"/>
    <x v="1"/>
    <m/>
  </r>
  <r>
    <x v="77"/>
    <x v="82"/>
    <s v="Santa Casa Da Misericordia Do Entroncamento"/>
    <n v="500876088"/>
    <x v="75"/>
    <x v="16"/>
    <n v="100"/>
    <n v="49"/>
    <x v="1"/>
    <s v="Cliente"/>
    <n v="0"/>
    <n v="0"/>
    <d v="2023-03-01T00:00:00"/>
    <x v="1"/>
    <s v="Cobertura Plana"/>
    <x v="6"/>
    <s v="To discuss with Rui Nunes"/>
    <s v="ACTIVE"/>
    <s v="Bárbara"/>
    <m/>
    <m/>
    <s v="931123964/249729240"/>
    <s v="-"/>
    <x v="4"/>
    <x v="1"/>
    <m/>
  </r>
  <r>
    <x v="78"/>
    <x v="83"/>
    <s v="Aripsi-Associação De Reformados E Idosos Da Póvoa De Santa Iria"/>
    <n v="502570660"/>
    <x v="76"/>
    <x v="12"/>
    <n v="150"/>
    <n v="73.5"/>
    <x v="0"/>
    <s v="Solcorelios II"/>
    <n v="15"/>
    <n v="180"/>
    <d v="2023-03-01T00:00:00"/>
    <x v="0"/>
    <s v="Cobertura Plana"/>
    <x v="6"/>
    <m/>
    <s v="ACTIVE"/>
    <s v="Luís Vieira / Maria Fernanda Joaquina António"/>
    <s v="Presidente da Direcção / Tesoureira"/>
    <s v="geral@aripsi.pt"/>
    <n v="965382444"/>
    <d v="2038-03-01T00:00:00"/>
    <x v="12"/>
    <x v="0"/>
    <m/>
  </r>
  <r>
    <x v="79"/>
    <x v="84"/>
    <s v="Centro Social De Alferrarede"/>
    <n v="500851085"/>
    <x v="77"/>
    <x v="29"/>
    <n v="33"/>
    <n v="16.2"/>
    <x v="0"/>
    <s v="Solcorelios II"/>
    <n v="15"/>
    <n v="180"/>
    <d v="2023-04-01T00:00:00"/>
    <x v="0"/>
    <s v="Sandwich"/>
    <x v="1"/>
    <m/>
    <s v="ACTIVE"/>
    <s v="José Cruz Bartolomeu / Fátima Gonçalves dos Santos"/>
    <s v="Presidente / Tesoureiro"/>
    <s v="centrosocialalferrarede@gmail.com"/>
    <n v="961327945"/>
    <d v="2038-04-01T00:00:00"/>
    <x v="12"/>
    <x v="0"/>
    <m/>
  </r>
  <r>
    <x v="80"/>
    <x v="85"/>
    <s v="Centro Social De Alferrarede"/>
    <n v="500851085"/>
    <x v="78"/>
    <x v="29"/>
    <n v="44"/>
    <n v="21.56"/>
    <x v="0"/>
    <s v="Solcorelios II"/>
    <n v="15"/>
    <n v="180"/>
    <d v="2023-04-01T00:00:00"/>
    <x v="0"/>
    <s v="Sandwich"/>
    <x v="1"/>
    <m/>
    <s v="ACTIVE"/>
    <s v="José Cruz Bartolomeu / Fátima Gonçalves dos Santos"/>
    <s v="Presidente / Tesoureiro"/>
    <s v="centrosocialalferrarede@gmail.com"/>
    <n v="961327944"/>
    <d v="2038-04-01T00:00:00"/>
    <x v="12"/>
    <x v="0"/>
    <m/>
  </r>
  <r>
    <x v="81"/>
    <x v="86"/>
    <s v="Associação Humanitária De Bombeiros Voluntários De Rio Maior"/>
    <n v="501302433"/>
    <x v="79"/>
    <x v="16"/>
    <n v="56"/>
    <n v="27.44"/>
    <x v="0"/>
    <s v="Solcorelios II"/>
    <n v="15"/>
    <n v="180"/>
    <d v="2023-02-01T00:00:00"/>
    <x v="0"/>
    <s v="Sandwich"/>
    <x v="5"/>
    <m/>
    <s v="ACTIVE"/>
    <s v="António Manuel de Carvalho Quevedo / José Carlos Abadesso dos Santos"/>
    <s v="Presidente / Tesoureiro"/>
    <s v="geral@bvrm.pt"/>
    <n v="243999510"/>
    <d v="2038-02-01T00:00:00"/>
    <x v="12"/>
    <x v="0"/>
    <m/>
  </r>
  <r>
    <x v="82"/>
    <x v="87"/>
    <s v="Asesm - Associação De Solidariedade E Educação De Salir De Matos"/>
    <n v="500878684"/>
    <x v="80"/>
    <x v="30"/>
    <n v="35"/>
    <n v="19.3"/>
    <x v="0"/>
    <s v="Solcorelios II"/>
    <n v="15"/>
    <n v="180"/>
    <d v="2023-01-06T00:00:00"/>
    <x v="0"/>
    <s v="Cobertura Plana"/>
    <x v="1"/>
    <m/>
    <s v="ACTIVE"/>
    <s v="Pedro Miguel Paulo Rebelo / Maria José Canas de Oliveira"/>
    <s v="Presidente / Tesoureiro"/>
    <s v="asesm-geral@sapo.pt "/>
    <s v="918 268 963/_x000a_262 839 550"/>
    <d v="2038-01-06T00:00:00"/>
    <x v="12"/>
    <x v="0"/>
    <m/>
  </r>
  <r>
    <x v="83"/>
    <x v="88"/>
    <s v="Vidigal Wines, S.A."/>
    <n v="500299676"/>
    <x v="81"/>
    <x v="3"/>
    <n v="272"/>
    <n v="125.1"/>
    <x v="1"/>
    <s v="Cliente"/>
    <n v="0"/>
    <n v="0"/>
    <s v="-"/>
    <x v="1"/>
    <s v="Telha e Sandwich"/>
    <x v="1"/>
    <s v="To discuss with the client"/>
    <s v="ACTIVE"/>
    <s v="Manuel Martinho Franco Lavaredas Bio / Ana Maria Figueira Godinho Bio"/>
    <s v="Presidente / Vice-Presidente "/>
    <m/>
    <s v="927605949_x000a_930682070"/>
    <s v="-"/>
    <x v="4"/>
    <x v="1"/>
    <m/>
  </r>
  <r>
    <x v="84"/>
    <x v="89"/>
    <s v="Agrupamento De Escolas Da Boa Água"/>
    <n v="600083780"/>
    <x v="82"/>
    <x v="31"/>
    <n v="94"/>
    <n v="51.7"/>
    <x v="0"/>
    <s v="Solcorelios II"/>
    <n v="10"/>
    <n v="120"/>
    <d v="2023-06-01T00:00:00"/>
    <x v="0"/>
    <s v="Sandwich"/>
    <x v="1"/>
    <m/>
    <s v="ACTIVE"/>
    <s v="Nuno Manuel Polido Mantas"/>
    <s v="Diretor"/>
    <s v="direcao@aeboaagua.org"/>
    <n v="925404760"/>
    <d v="2033-06-01T00:00:00"/>
    <x v="14"/>
    <x v="0"/>
    <m/>
  </r>
  <r>
    <x v="85"/>
    <x v="90"/>
    <s v="Santa Casa Da Misericordia De Galizes"/>
    <n v="500876851"/>
    <x v="83"/>
    <x v="11"/>
    <n v="120"/>
    <n v="52.8"/>
    <x v="1"/>
    <s v="Cliente"/>
    <n v="0"/>
    <n v="0"/>
    <s v="-"/>
    <x v="1"/>
    <s v="Telha"/>
    <x v="1"/>
    <s v="To discuss with Rui Nunes"/>
    <s v="ACTIVE"/>
    <s v="Carlos"/>
    <s v="Gestão"/>
    <s v="gestao@scmgalizes.com"/>
    <n v="238671257"/>
    <s v="-"/>
    <x v="4"/>
    <x v="1"/>
    <m/>
  </r>
  <r>
    <x v="86"/>
    <x v="91"/>
    <s v="Coopérnico - Cooperativa De Desenvolvimento Sustentável Crl"/>
    <n v="510852270"/>
    <x v="84"/>
    <x v="16"/>
    <n v="423"/>
    <n v="177.09"/>
    <x v="1"/>
    <s v="Cliente"/>
    <n v="0"/>
    <n v="0"/>
    <s v="-"/>
    <x v="1"/>
    <s v="Telha"/>
    <x v="1"/>
    <s v="To discuss with the client"/>
    <s v="ACTIVE"/>
    <s v="Nuno (Manutenção) / João Santos (Coopérnico)"/>
    <m/>
    <s v="producao@coopernico.org"/>
    <s v="926995319 / 967189750"/>
    <s v="-"/>
    <x v="4"/>
    <x v="1"/>
    <m/>
  </r>
  <r>
    <x v="87"/>
    <x v="92"/>
    <s v="Appacdm De Lisboa - Associação Portuguesa De Pais E Amigos Do Cidadão Deficiente Mental"/>
    <n v="504646788"/>
    <x v="85"/>
    <x v="12"/>
    <n v="44"/>
    <n v="24.2"/>
    <x v="0"/>
    <s v="Solcorelios II"/>
    <n v="15"/>
    <n v="180"/>
    <d v="2023-06-01T00:00:00"/>
    <x v="0"/>
    <s v="Sandwich"/>
    <x v="1"/>
    <m/>
    <s v="ACTIVE"/>
    <s v="Mário José Santos de Matos / Luís Fernando Pintão Cascais Xavier"/>
    <s v="Presidente / Vice-Presidente "/>
    <s v="dir.pedralvas@appacdm-lisboa.pt"/>
    <s v="217621180 / 919203686"/>
    <d v="2038-06-01T00:00:00"/>
    <x v="12"/>
    <x v="0"/>
    <m/>
  </r>
  <r>
    <x v="88"/>
    <x v="93"/>
    <s v="Appacdm De Lisboa - Associação Portuguesa De Pais E Amigos Do Cidadão Deficiente Mental"/>
    <n v="504646788"/>
    <x v="86"/>
    <x v="12"/>
    <n v="36"/>
    <n v="25.1"/>
    <x v="0"/>
    <s v="Solcorelios II"/>
    <n v="15"/>
    <n v="180"/>
    <d v="2023-07-01T00:00:00"/>
    <x v="0"/>
    <s v="Telha"/>
    <x v="1"/>
    <m/>
    <s v="ACTIVE"/>
    <s v="Mário José Santos de Matos / Luís Fernando Pintão Cascais Xavier"/>
    <s v="Presidente / Vice-Presidente "/>
    <s v="atrimonio@appacdm-lisboa.pt"/>
    <n v="218163270"/>
    <d v="2038-07-01T00:00:00"/>
    <x v="12"/>
    <x v="0"/>
    <m/>
  </r>
  <r>
    <x v="89"/>
    <x v="94"/>
    <s v="Appacdm De Lisboa - Associação Portuguesa De Pais E Amigos Do Cidadão Deficiente Mental"/>
    <n v="504646788"/>
    <x v="87"/>
    <x v="12"/>
    <n v="44"/>
    <n v="20.5"/>
    <x v="0"/>
    <s v="Solcorelios II"/>
    <n v="15"/>
    <n v="180"/>
    <m/>
    <x v="1"/>
    <s v="Solo"/>
    <x v="4"/>
    <s v="To discuss with Rui Nunes"/>
    <s v="ON HOLD"/>
    <s v="Mário José Santos de Matos / Luís Fernando Pintão Cascais Xavier"/>
    <s v="Presidente / Vice-Presidente "/>
    <s v="."/>
    <m/>
    <s v="-"/>
    <x v="4"/>
    <x v="1"/>
    <m/>
  </r>
  <r>
    <x v="90"/>
    <x v="95"/>
    <s v="Appacdm De Lisboa - Associação Portuguesa De Pais E Amigos Do Cidadão Deficiente Mental"/>
    <n v="504646788"/>
    <x v="88"/>
    <x v="3"/>
    <m/>
    <n v="16.2"/>
    <x v="0"/>
    <s v="Solcorelios II"/>
    <n v="15"/>
    <n v="180"/>
    <m/>
    <x v="1"/>
    <m/>
    <x v="3"/>
    <m/>
    <s v="CANCELLED"/>
    <s v="Mário José Santos de Matos / Luís Fernando Pintão Cascais Xavier"/>
    <s v="Presidente / Vice-Presidente "/>
    <s v="."/>
    <m/>
    <s v="-"/>
    <x v="4"/>
    <x v="1"/>
    <m/>
  </r>
  <r>
    <x v="91"/>
    <x v="96"/>
    <s v="Cercilei - Cooperativa De Ensino E Reabilitação De Cidadãos Inadaptados De Leiria Crl"/>
    <n v="500594147"/>
    <x v="89"/>
    <x v="3"/>
    <n v="103"/>
    <n v="53"/>
    <x v="1"/>
    <s v="Cliente"/>
    <n v="0"/>
    <n v="0"/>
    <d v="2023-06-01T00:00:00"/>
    <x v="1"/>
    <s v="Telha"/>
    <x v="1"/>
    <s v="To discuss with Rui Nunes"/>
    <s v="ACTIVE"/>
    <s v="Ricardo Alexandre"/>
    <m/>
    <s v="ricardo.alexandre@cerlicei.pt"/>
    <n v="961900171"/>
    <s v="-"/>
    <x v="4"/>
    <x v="1"/>
    <m/>
  </r>
  <r>
    <x v="92"/>
    <x v="97"/>
    <s v="Cercilei - Cooperativa De Ensino E Reabilitação De Cidadãos Inadaptados De Leiria Crl"/>
    <n v="500594147"/>
    <x v="90"/>
    <x v="3"/>
    <n v="61"/>
    <n v="29.9"/>
    <x v="1"/>
    <s v="Cliente"/>
    <n v="0"/>
    <n v="0"/>
    <d v="2023-03-01T00:00:00"/>
    <x v="1"/>
    <s v="Telha"/>
    <x v="1"/>
    <s v="To discuss with Rui Nunes"/>
    <s v="ACTIVE"/>
    <s v="Ricardo Alexandre"/>
    <m/>
    <s v="ricardo.alexandre@cerlicei.pt"/>
    <s v="244482590/914495464"/>
    <s v="-"/>
    <x v="4"/>
    <x v="1"/>
    <m/>
  </r>
  <r>
    <x v="93"/>
    <x v="98"/>
    <m/>
    <m/>
    <x v="38"/>
    <x v="5"/>
    <n v="202"/>
    <m/>
    <x v="3"/>
    <m/>
    <m/>
    <n v="0"/>
    <m/>
    <x v="1"/>
    <s v="Telha"/>
    <x v="1"/>
    <m/>
    <s v="CANCELLED"/>
    <m/>
    <m/>
    <m/>
    <m/>
    <s v="-"/>
    <x v="4"/>
    <x v="1"/>
    <m/>
  </r>
  <r>
    <x v="94"/>
    <x v="99"/>
    <s v="O Casarão - Hotelaria E Turismo Lda"/>
    <n v="503780774"/>
    <x v="91"/>
    <x v="3"/>
    <n v="200"/>
    <n v="111.1"/>
    <x v="0"/>
    <s v="Solcorelios II"/>
    <n v="10"/>
    <n v="120"/>
    <d v="2023-09-01T00:00:00"/>
    <x v="0"/>
    <s v="Solo"/>
    <x v="4"/>
    <m/>
    <s v="ACTIVE"/>
    <s v="Dinis de Almeida Leitão Rodrigues"/>
    <s v="Gerente"/>
    <s v="dinis.rodrigues@ocasarao.pt"/>
    <n v="935704040"/>
    <d v="2033-09-01T00:00:00"/>
    <x v="14"/>
    <x v="0"/>
    <m/>
  </r>
  <r>
    <x v="95"/>
    <x v="100"/>
    <m/>
    <m/>
    <x v="38"/>
    <x v="5"/>
    <n v="292"/>
    <m/>
    <x v="3"/>
    <m/>
    <m/>
    <n v="0"/>
    <m/>
    <x v="1"/>
    <s v="Solo"/>
    <x v="4"/>
    <m/>
    <s v="CANCELLED"/>
    <m/>
    <m/>
    <m/>
    <m/>
    <s v="-"/>
    <x v="4"/>
    <x v="1"/>
    <m/>
  </r>
  <r>
    <x v="96"/>
    <x v="101"/>
    <s v="Futebol Clube De Alverca"/>
    <n v="501379550"/>
    <x v="92"/>
    <x v="32"/>
    <n v="292"/>
    <n v="159.1"/>
    <x v="0"/>
    <s v="Solcorelios II"/>
    <n v="10"/>
    <n v="120"/>
    <d v="2023-12-01T00:00:00"/>
    <x v="0"/>
    <s v="Sandwich"/>
    <x v="1"/>
    <m/>
    <s v="ACTIVE"/>
    <s v="Fernando Sérgio Nunes Orge / Eduardo Manuel Gomes Mota"/>
    <s v="Presidente da Direção / Presidente da Direção"/>
    <s v="direcao@fcalverca.pt / secretaria@fcalverca.pt"/>
    <n v="926064688"/>
    <d v="2033-12-01T00:00:00"/>
    <x v="14"/>
    <x v="0"/>
    <m/>
  </r>
  <r>
    <x v="97"/>
    <x v="102"/>
    <s v="Futebol Clube De Alverca - Futebol, Sad"/>
    <n v="515946400"/>
    <x v="93"/>
    <x v="32"/>
    <n v="56"/>
    <n v="30.52"/>
    <x v="0"/>
    <s v="Solcorelios II"/>
    <n v="10"/>
    <n v="120"/>
    <d v="2023-12-01T00:00:00"/>
    <x v="0"/>
    <s v="Sandwich"/>
    <x v="1"/>
    <m/>
    <s v="ACTIVE"/>
    <s v="Fernando Sérgio Nunes Orge / Eduardo Manuel Gomes Mota"/>
    <s v="Presidente da Direção / Presidente da Direção"/>
    <s v="direcao@fcalverca.pt / secretaria@fcalverca.pt"/>
    <n v="926064688"/>
    <d v="2033-12-01T00:00:00"/>
    <x v="14"/>
    <x v="0"/>
    <m/>
  </r>
  <r>
    <x v="98"/>
    <x v="103"/>
    <s v="Textil Do Marco S.A."/>
    <n v="501534008"/>
    <x v="44"/>
    <x v="9"/>
    <n v="240"/>
    <n v="129.6"/>
    <x v="1"/>
    <s v="Cliente"/>
    <n v="0"/>
    <n v="0"/>
    <s v="-"/>
    <x v="1"/>
    <s v="Cobertura Plana"/>
    <x v="1"/>
    <s v="To discuss with the client"/>
    <s v="ACTIVE"/>
    <s v="Andreas Falley"/>
    <m/>
    <s v="afalley@temasa.pt"/>
    <n v="917511527"/>
    <s v="-"/>
    <x v="4"/>
    <x v="1"/>
    <m/>
  </r>
  <r>
    <x v="99"/>
    <x v="104"/>
    <s v="Motassis - Plásticos S.A."/>
    <n v="500197954"/>
    <x v="94"/>
    <x v="3"/>
    <n v="595"/>
    <n v="302.5"/>
    <x v="1"/>
    <s v="Cliente"/>
    <n v="1"/>
    <n v="12"/>
    <d v="2023-12-18T00:00:00"/>
    <x v="0"/>
    <s v="Sandwich"/>
    <x v="1"/>
    <s v="1 ano de O&amp;M (2025)"/>
    <s v="ACTIVE"/>
    <s v="Adelino da Mota Assis / Dina Maria de Assis Mota"/>
    <s v="Presidente"/>
    <m/>
    <n v="918948380"/>
    <d v="2024-12-18T00:00:00"/>
    <x v="16"/>
    <x v="1"/>
    <m/>
  </r>
  <r>
    <x v="100"/>
    <x v="105"/>
    <s v="Fabricas Lusitana-Produtos Alimentares S.A."/>
    <n v="500348863"/>
    <x v="95"/>
    <x v="0"/>
    <n v="595"/>
    <n v="324.3"/>
    <x v="1"/>
    <s v="Cliente"/>
    <n v="1"/>
    <n v="12"/>
    <d v="2024-09-26T00:00:00"/>
    <x v="0"/>
    <s v="Sandwich"/>
    <x v="1"/>
    <s v="1 ano O&amp;M vendido"/>
    <s v="ACTIVE"/>
    <s v="António Infante da Câmara Trigueiros de Aragão / Diogo de Portugal Trigueiros de Aragão"/>
    <s v="Administrador / Presidente do Conselho de Administração"/>
    <s v="ata@taglobal.pt"/>
    <n v="939851108"/>
    <d v="2025-09-26T00:00:00"/>
    <x v="10"/>
    <x v="1"/>
    <m/>
  </r>
  <r>
    <x v="101"/>
    <x v="106"/>
    <s v="Pinkplate Impressão, S.A."/>
    <n v="501913769"/>
    <x v="96"/>
    <x v="12"/>
    <n v="595"/>
    <n v="327.3"/>
    <x v="1"/>
    <s v="Cliente"/>
    <n v="2"/>
    <n v="24"/>
    <d v="2023-08-08T00:00:00"/>
    <x v="0"/>
    <s v="Chapa"/>
    <x v="1"/>
    <s v="2 years - Complete O&amp;M (como descrito no contrato)"/>
    <s v="ACTIVE"/>
    <s v="João Faden / António Craveiro"/>
    <s v="Administrador"/>
    <s v="p.martins@pinkplate.pt"/>
    <n v="917368440"/>
    <d v="2025-08-08T00:00:00"/>
    <x v="10"/>
    <x v="1"/>
    <m/>
  </r>
  <r>
    <x v="102"/>
    <x v="107"/>
    <s v="AGA - Álcool E Géneros Alimentares S.A."/>
    <n v="500727457"/>
    <x v="97"/>
    <x v="12"/>
    <n v="290"/>
    <n v="133.4"/>
    <x v="1"/>
    <s v="Cliente"/>
    <n v="0"/>
    <n v="0"/>
    <s v="-"/>
    <x v="1"/>
    <s v="Sandwich"/>
    <x v="1"/>
    <s v="To discuss with the client"/>
    <s v="ACTIVE"/>
    <s v="Leonor Maria Neves Fernandes Carvalho"/>
    <s v="Procuradora com poderes para o ato"/>
    <s v="."/>
    <n v="918494621"/>
    <s v="-"/>
    <x v="4"/>
    <x v="1"/>
    <m/>
  </r>
  <r>
    <x v="103"/>
    <x v="108"/>
    <s v="Fravizel - Equipamentos Metalomecânicos, S.A."/>
    <n v="504277383"/>
    <x v="98"/>
    <x v="16"/>
    <n v="1022"/>
    <n v="449.7"/>
    <x v="1"/>
    <s v="Cliente"/>
    <n v="0"/>
    <n v="0"/>
    <s v="-"/>
    <x v="1"/>
    <s v="Sandwich"/>
    <x v="1"/>
    <s v="To discuss with the client"/>
    <s v="ACTIVE"/>
    <s v="Eliseu Manuel Vicente Frazão"/>
    <s v="Gerente"/>
    <m/>
    <n v="918680303"/>
    <s v="-"/>
    <x v="4"/>
    <x v="1"/>
    <m/>
  </r>
  <r>
    <x v="104"/>
    <x v="109"/>
    <s v="Appacdm Da Maia - Associação Portuguesa De Pais E Amigos Do Cidadão Deficiente Mental"/>
    <n v="502200979"/>
    <x v="99"/>
    <x v="9"/>
    <n v="55"/>
    <n v="30"/>
    <x v="1"/>
    <s v="Cliente"/>
    <n v="0"/>
    <n v="0"/>
    <s v="-"/>
    <x v="1"/>
    <s v="Cobertura Plana"/>
    <x v="1"/>
    <s v="To discuss with Rui Nunes"/>
    <s v="ACTIVE"/>
    <s v="Vitor Oliveira"/>
    <m/>
    <s v="vitor.oliveira@appacdmmaia.org"/>
    <s v="229613180 / 969275445"/>
    <s v="-"/>
    <x v="4"/>
    <x v="1"/>
    <m/>
  </r>
  <r>
    <x v="105"/>
    <x v="110"/>
    <s v="Fundação Irene Rolo"/>
    <n v="501426892"/>
    <x v="100"/>
    <x v="33"/>
    <n v="147"/>
    <n v="53"/>
    <x v="0"/>
    <s v="Solcorelios II"/>
    <n v="10"/>
    <n v="120"/>
    <d v="2023-11-01T00:00:00"/>
    <x v="0"/>
    <s v="Cobertura Plana"/>
    <x v="1"/>
    <m/>
    <s v="ACTIVE"/>
    <s v="Carla Maria Amaro Pires / Frederico Carreira do Carmo / Abílio José Matias Lopes"/>
    <s v="Presidente do Concelho de Administração / Tesoureiro / Secretário"/>
    <s v="geral@fir.pt"/>
    <n v="281324800"/>
    <d v="2033-11-01T00:00:00"/>
    <x v="14"/>
    <x v="0"/>
    <m/>
  </r>
  <r>
    <x v="106"/>
    <x v="111"/>
    <s v="José Oliveira Moura Costa &amp; Ca Lda"/>
    <n v="500945586"/>
    <x v="101"/>
    <x v="9"/>
    <n v="142"/>
    <n v="78.099999999999994"/>
    <x v="1"/>
    <s v="Cliente"/>
    <n v="4"/>
    <n v="48"/>
    <d v="2023-10-23T00:00:00"/>
    <x v="0"/>
    <s v="Sandwich"/>
    <x v="1"/>
    <s v="4 anos de O&amp;M que so deve começar a partir do 2º ano depois de concluida a instalação"/>
    <s v="ACTIVE"/>
    <s v="Nuno do Amaral Correia Ricardo Romão"/>
    <s v="Gerente"/>
    <s v="rromao@pontual.eu"/>
    <n v="961557014"/>
    <d v="2027-10-23T00:00:00"/>
    <x v="5"/>
    <x v="0"/>
    <m/>
  </r>
  <r>
    <x v="107"/>
    <x v="112"/>
    <s v="Neutripuro - Lavagens Industriais , Lda"/>
    <n v="508619041"/>
    <x v="102"/>
    <x v="34"/>
    <n v="248"/>
    <n v="141.36000000000001"/>
    <x v="0"/>
    <s v="Solcorelios II"/>
    <n v="15"/>
    <n v="180"/>
    <d v="2024-07-01T00:00:00"/>
    <x v="0"/>
    <s v="Sandwich"/>
    <x v="1"/>
    <m/>
    <s v="ACTIVE"/>
    <s v="João Carlos Correia Gameiro Silva"/>
    <s v="Gerente"/>
    <s v="pedro.rebelo@neutripuro.com"/>
    <n v="916163015"/>
    <d v="2039-07-01T00:00:00"/>
    <x v="17"/>
    <x v="0"/>
    <m/>
  </r>
  <r>
    <x v="108"/>
    <x v="113"/>
    <s v="Condomínio Do Prédio Sito Na Rua Cidade Rabat Nº 54-A, 54, 54-B, 56-A, 56, 56-B 56-C"/>
    <n v="901663964"/>
    <x v="103"/>
    <x v="12"/>
    <n v="274"/>
    <n v="156.18"/>
    <x v="1"/>
    <s v="Cliente"/>
    <n v="1"/>
    <n v="12"/>
    <d v="2024-05-01T00:00:00"/>
    <x v="0"/>
    <s v="Cobertura Plana"/>
    <x v="6"/>
    <s v="1 ano de O&amp;M "/>
    <s v="ACTIVE"/>
    <s v="Joaquim"/>
    <s v="Responsável pela Urbanização"/>
    <s v="pedro.antunes@urbicare.pt"/>
    <n v="919309216"/>
    <d v="2025-05-01T00:00:00"/>
    <x v="10"/>
    <x v="1"/>
    <s v="Registo de fatura (1 de abril de 25 ate 31 de março de 26)"/>
  </r>
  <r>
    <x v="109"/>
    <x v="114"/>
    <s v="Sociedade Agrícola Do Cascavel, Lda"/>
    <n v="502136120"/>
    <x v="104"/>
    <x v="16"/>
    <n v="910"/>
    <n v="500.5"/>
    <x v="1"/>
    <s v="Cliente"/>
    <n v="0"/>
    <n v="0"/>
    <s v="-"/>
    <x v="1"/>
    <s v="Solo"/>
    <x v="4"/>
    <m/>
    <s v="ACTIVE"/>
    <s v="Hélio Roberto Sá Torres Lima"/>
    <s v="Administrador Único"/>
    <m/>
    <s v="932343809_x000a_939501296"/>
    <s v="-"/>
    <x v="4"/>
    <x v="1"/>
    <m/>
  </r>
  <r>
    <x v="110"/>
    <x v="115"/>
    <s v="Atlantic House - Compra, Venda E Arrendamento De Imóveis, Lda"/>
    <n v="514471840"/>
    <x v="105"/>
    <x v="12"/>
    <n v="402"/>
    <n v="173.22"/>
    <x v="1"/>
    <s v="Cliente"/>
    <n v="0"/>
    <n v="0"/>
    <s v="-"/>
    <x v="1"/>
    <s v="Solo"/>
    <x v="4"/>
    <m/>
    <s v="ACTIVE"/>
    <s v="Carlos Pedro Coelho Sardinha / Custódio Rodrigues Alves"/>
    <s v="Gerente"/>
    <m/>
    <n v="964372709"/>
    <s v="-"/>
    <x v="4"/>
    <x v="1"/>
    <m/>
  </r>
  <r>
    <x v="111"/>
    <x v="116"/>
    <s v="Santa Casa Da Misericordia De Abrantes"/>
    <n v="500239878"/>
    <x v="106"/>
    <x v="16"/>
    <n v="68"/>
    <n v="29.9"/>
    <x v="1"/>
    <s v="Cliente"/>
    <n v="0"/>
    <n v="0"/>
    <s v="-"/>
    <x v="1"/>
    <s v="Sandwich"/>
    <x v="1"/>
    <m/>
    <s v="ACTIVE"/>
    <m/>
    <m/>
    <m/>
    <m/>
    <s v="-"/>
    <x v="4"/>
    <x v="1"/>
    <m/>
  </r>
  <r>
    <x v="112"/>
    <x v="117"/>
    <s v="Centro Social Paroquial De Santo Antonio De Lavre"/>
    <n v="501441450"/>
    <x v="107"/>
    <x v="2"/>
    <n v="76"/>
    <n v="33.4"/>
    <x v="1"/>
    <s v="Cliente"/>
    <n v="0"/>
    <n v="0"/>
    <s v="-"/>
    <x v="1"/>
    <s v="Telha"/>
    <x v="1"/>
    <m/>
    <s v="ACTIVE"/>
    <s v="Daniel Lisboa"/>
    <m/>
    <s v="cspsa.lavre@gmail.com"/>
    <n v="932770010"/>
    <s v="-"/>
    <x v="4"/>
    <x v="1"/>
    <m/>
  </r>
  <r>
    <x v="113"/>
    <x v="118"/>
    <s v="Cria-Centro De Recuperação E Integração De Abrantes"/>
    <n v="501064869"/>
    <x v="108"/>
    <x v="16"/>
    <n v="90"/>
    <n v="39.6"/>
    <x v="1"/>
    <s v="Cliente"/>
    <n v="0"/>
    <n v="0"/>
    <s v="-"/>
    <x v="1"/>
    <s v="Telha"/>
    <x v="1"/>
    <m/>
    <s v="ACTIVE"/>
    <s v="Carlos"/>
    <m/>
    <s v="geral@cria.com.pt / CSolar.cria@proton.me"/>
    <n v="969778474"/>
    <s v="-"/>
    <x v="4"/>
    <x v="1"/>
    <m/>
  </r>
  <r>
    <x v="114"/>
    <x v="119"/>
    <s v="Herdade Fonte Paredes - Sag, Lda"/>
    <n v="504905104"/>
    <x v="109"/>
    <x v="35"/>
    <n v="136"/>
    <n v="59.8"/>
    <x v="1"/>
    <s v="Cliente"/>
    <n v="0"/>
    <n v="0"/>
    <s v="-"/>
    <x v="1"/>
    <s v="Sandwich"/>
    <x v="1"/>
    <m/>
    <s v="ACTIVE"/>
    <s v="Rui Manuel Almeida Cerejo"/>
    <s v="Gerente"/>
    <m/>
    <m/>
    <s v="-"/>
    <x v="4"/>
    <x v="1"/>
    <m/>
  </r>
  <r>
    <x v="115"/>
    <x v="120"/>
    <s v="Centro Social De Pero Pinheiro"/>
    <n v="502272708"/>
    <x v="110"/>
    <x v="5"/>
    <n v="48"/>
    <m/>
    <x v="1"/>
    <s v="Cliente"/>
    <m/>
    <n v="0"/>
    <m/>
    <x v="1"/>
    <s v="Telha"/>
    <x v="1"/>
    <m/>
    <s v="CANCELLED"/>
    <s v="Fernando Alberto Cardoso Vieira"/>
    <s v="Gerente"/>
    <m/>
    <m/>
    <s v="-"/>
    <x v="4"/>
    <x v="1"/>
    <m/>
  </r>
  <r>
    <x v="116"/>
    <x v="121"/>
    <s v="Associação Humanitária De Bombeiros Voluntários De Alcoentre"/>
    <n v="501130179"/>
    <x v="111"/>
    <x v="16"/>
    <n v="48"/>
    <n v="27.4"/>
    <x v="0"/>
    <s v="Solcorelios II"/>
    <n v="15"/>
    <n v="180"/>
    <d v="2024-04-01T00:00:00"/>
    <x v="0"/>
    <s v="Sandwich"/>
    <x v="1"/>
    <m/>
    <s v="ACTIVE"/>
    <s v="António Manuel da ConceiçãoLoureiro / André Filipe Nascimento Silva"/>
    <s v="Presidente da direção / Vice-Presidente da direção"/>
    <s v="secretaria.bvalcoentre@gmail.com"/>
    <n v="263480131"/>
    <d v="2039-04-01T00:00:00"/>
    <x v="17"/>
    <x v="0"/>
    <m/>
  </r>
  <r>
    <x v="117"/>
    <x v="122"/>
    <s v="Iber-Oleff - Componentes Técnicos Em Plástico S.A."/>
    <n v="503078212"/>
    <x v="112"/>
    <x v="3"/>
    <n v="480"/>
    <n v="257.39999999999998"/>
    <x v="1"/>
    <s v="Cliente"/>
    <n v="0"/>
    <n v="0"/>
    <s v="-"/>
    <x v="1"/>
    <s v="Sandwich"/>
    <x v="1"/>
    <m/>
    <s v="ACTIVE"/>
    <s v="Vitor"/>
    <s v="Responsável"/>
    <s v="vitor.lopes@iber-oleff.pt"/>
    <n v="924431079"/>
    <s v="-"/>
    <x v="4"/>
    <x v="1"/>
    <m/>
  </r>
  <r>
    <x v="118"/>
    <x v="123"/>
    <s v="Associação Humanitária De Bombeiros Voluntários De Montelavar"/>
    <n v="501440623"/>
    <x v="113"/>
    <x v="12"/>
    <n v="81"/>
    <n v="40"/>
    <x v="0"/>
    <s v="Solcorelios II"/>
    <n v="15"/>
    <n v="180"/>
    <d v="2024-08-01T00:00:00"/>
    <x v="0"/>
    <s v="Sandwich"/>
    <x v="1"/>
    <m/>
    <s v="ACTIVE"/>
    <s v="Manuel Fernando das Candeias Filipe  / José Manuel da Silva"/>
    <s v="Presidente da direção / Tesoureiro"/>
    <s v="secretaria.comando@bv-montelavar.pt"/>
    <n v="924133562"/>
    <d v="2039-08-01T00:00:00"/>
    <x v="17"/>
    <x v="0"/>
    <m/>
  </r>
  <r>
    <x v="119"/>
    <x v="124"/>
    <s v="Gadelho De Castro, S.A."/>
    <n v="513203524"/>
    <x v="38"/>
    <x v="9"/>
    <n v="45"/>
    <n v="20.7"/>
    <x v="1"/>
    <s v="Cliente"/>
    <n v="0"/>
    <n v="0"/>
    <s v="-"/>
    <x v="1"/>
    <s v="Carport"/>
    <x v="1"/>
    <m/>
    <s v="ON HOLD"/>
    <s v="Diogo Gadelho"/>
    <m/>
    <m/>
    <n v="915913810"/>
    <s v="-"/>
    <x v="4"/>
    <x v="1"/>
    <m/>
  </r>
  <r>
    <x v="120"/>
    <x v="125"/>
    <s v="Mabe S.R.L."/>
    <n v="2969620133"/>
    <x v="114"/>
    <x v="36"/>
    <n v="45"/>
    <n v="19.8"/>
    <x v="1"/>
    <s v="Cliente"/>
    <n v="0"/>
    <n v="0"/>
    <s v="-"/>
    <x v="1"/>
    <s v="Sandwich"/>
    <x v="1"/>
    <m/>
    <s v="ACTIVE"/>
    <s v="Turati Davide"/>
    <s v="Sócio-Administrador"/>
    <m/>
    <m/>
    <s v="-"/>
    <x v="4"/>
    <x v="1"/>
    <m/>
  </r>
  <r>
    <x v="121"/>
    <x v="126"/>
    <s v="Bassani Battista S.N.C."/>
    <n v="363387002"/>
    <x v="115"/>
    <x v="36"/>
    <n v="42"/>
    <n v="18.899999999999999"/>
    <x v="1"/>
    <s v="Cliente"/>
    <n v="0"/>
    <n v="0"/>
    <s v="-"/>
    <x v="1"/>
    <s v="Telha"/>
    <x v="1"/>
    <m/>
    <s v="ACTIVE"/>
    <s v="Battista Bassani"/>
    <s v="Sócio-Administrador"/>
    <m/>
    <m/>
    <s v="-"/>
    <x v="4"/>
    <x v="1"/>
    <m/>
  </r>
  <r>
    <x v="122"/>
    <x v="127"/>
    <s v="Fondazione Opera San Camillo"/>
    <n v="97477630152"/>
    <x v="38"/>
    <x v="36"/>
    <n v="336"/>
    <n v="168.4"/>
    <x v="1"/>
    <s v="Cliente"/>
    <n v="0"/>
    <n v="0"/>
    <s v="-"/>
    <x v="1"/>
    <s v="Telha"/>
    <x v="1"/>
    <m/>
    <s v="ACTIVE"/>
    <s v="Virginio Bebber"/>
    <s v="Representante Legal"/>
    <m/>
    <m/>
    <s v="-"/>
    <x v="4"/>
    <x v="1"/>
    <m/>
  </r>
  <r>
    <x v="123"/>
    <x v="128"/>
    <s v="Centro Social Paroquial De Nossa Senhora Da Anunciada"/>
    <n v="500877092"/>
    <x v="116"/>
    <x v="37"/>
    <n v="54"/>
    <n v="30.8"/>
    <x v="1"/>
    <s v="Cliente"/>
    <n v="0"/>
    <n v="0"/>
    <s v="-"/>
    <x v="1"/>
    <s v="Telha"/>
    <x v="1"/>
    <m/>
    <s v="ACTIVE"/>
    <m/>
    <m/>
    <m/>
    <m/>
    <s v="-"/>
    <x v="4"/>
    <x v="1"/>
    <m/>
  </r>
  <r>
    <x v="124"/>
    <x v="129"/>
    <s v="Agrovarandas, Lda"/>
    <n v="503360902"/>
    <x v="38"/>
    <x v="5"/>
    <n v="36"/>
    <n v="20"/>
    <x v="1"/>
    <s v="Cliente"/>
    <n v="0"/>
    <n v="0"/>
    <s v="-"/>
    <x v="1"/>
    <s v="Sandwich"/>
    <x v="1"/>
    <m/>
    <s v="ACTIVE"/>
    <m/>
    <m/>
    <m/>
    <m/>
    <s v="-"/>
    <x v="4"/>
    <x v="1"/>
    <m/>
  </r>
  <r>
    <x v="125"/>
    <x v="130"/>
    <s v="Agrovácuo Preparação E Embalagem De Produtos Horticolas Lda"/>
    <n v="505248417"/>
    <x v="117"/>
    <x v="12"/>
    <n v="30"/>
    <n v="13.2"/>
    <x v="1"/>
    <s v="Cliente"/>
    <n v="6"/>
    <n v="72"/>
    <s v="-"/>
    <x v="1"/>
    <s v="Sandwich"/>
    <x v="1"/>
    <s v="Contrato - 6 anos manutençao"/>
    <s v="ACTIVE"/>
    <s v="Gonçalo Manuel Duarte Simões"/>
    <s v="Gerente"/>
    <m/>
    <n v="965352795"/>
    <s v="-"/>
    <x v="4"/>
    <x v="1"/>
    <m/>
  </r>
  <r>
    <x v="126"/>
    <x v="131"/>
    <s v="Videtra - Vidreira De Sintra Lda"/>
    <n v="500298068"/>
    <x v="118"/>
    <x v="12"/>
    <n v="160"/>
    <n v="91.2"/>
    <x v="1"/>
    <s v="Cliente"/>
    <n v="0"/>
    <n v="0"/>
    <s v="-"/>
    <x v="1"/>
    <s v="Sandwich"/>
    <x v="1"/>
    <m/>
    <s v="ACTIVE"/>
    <s v="Carlos Manuel Martinho Gaspar Miranda"/>
    <s v="Gerente"/>
    <m/>
    <n v="917366463"/>
    <s v="-"/>
    <x v="4"/>
    <x v="1"/>
    <m/>
  </r>
  <r>
    <x v="127"/>
    <x v="132"/>
    <s v="Alvarsol-Sociedade de Lavandarias do Algarve Lda"/>
    <n v="501512071"/>
    <x v="119"/>
    <x v="13"/>
    <n v="194"/>
    <s v="110.6"/>
    <x v="0"/>
    <s v="Solcorelios II"/>
    <n v="15"/>
    <n v="180"/>
    <d v="2024-08-01T00:00:00"/>
    <x v="0"/>
    <s v="Sandwich"/>
    <x v="1"/>
    <m/>
    <s v="ACTIVE"/>
    <s v="Reinaldo Manuel Bernardo Teixeira_x000a_Orlando"/>
    <s v="Gerente"/>
    <s v="DIRECAO@ALVARSOL.PT"/>
    <s v="962010660/961375395"/>
    <d v="2039-08-01T00:00:00"/>
    <x v="17"/>
    <x v="0"/>
    <m/>
  </r>
  <r>
    <x v="128"/>
    <x v="133"/>
    <s v="Américo Duarte Paixão, Lda"/>
    <n v="505348357"/>
    <x v="120"/>
    <x v="16"/>
    <n v="88"/>
    <n v="50.2"/>
    <x v="1"/>
    <s v="Cliente"/>
    <n v="0"/>
    <n v="0"/>
    <s v="-"/>
    <x v="1"/>
    <s v="Sandwich"/>
    <x v="1"/>
    <m/>
    <s v="ACTIVE"/>
    <s v="Hélio Roberto Sá Torres Lima"/>
    <s v="Administrador Único"/>
    <m/>
    <m/>
    <s v="-"/>
    <x v="4"/>
    <x v="1"/>
    <m/>
  </r>
  <r>
    <x v="129"/>
    <x v="134"/>
    <s v="Ignoramus-Produtos Naturais, Limitada"/>
    <n v="501539204"/>
    <x v="121"/>
    <x v="16"/>
    <n v="224"/>
    <n v="127.7"/>
    <x v="1"/>
    <s v="Cliente"/>
    <n v="0"/>
    <n v="0"/>
    <s v="-"/>
    <x v="1"/>
    <s v="Solo"/>
    <x v="4"/>
    <m/>
    <s v="ACTIVE"/>
    <s v="Hélio Roberto Sá Torres Lima"/>
    <s v="Administrador Único"/>
    <m/>
    <m/>
    <s v="-"/>
    <x v="4"/>
    <x v="1"/>
    <m/>
  </r>
  <r>
    <x v="130"/>
    <x v="135"/>
    <m/>
    <n v="106873415"/>
    <x v="122"/>
    <x v="16"/>
    <n v="176"/>
    <n v="100.2"/>
    <x v="1"/>
    <s v="Cliente"/>
    <n v="0"/>
    <n v="0"/>
    <s v="-"/>
    <x v="1"/>
    <s v="Chapa ou Sandwich"/>
    <x v="1"/>
    <m/>
    <s v="ACTIVE"/>
    <m/>
    <m/>
    <m/>
    <n v="967870346"/>
    <s v="-"/>
    <x v="4"/>
    <x v="1"/>
    <m/>
  </r>
  <r>
    <x v="131"/>
    <x v="136"/>
    <s v="Banco de Investimento Global S.A"/>
    <n v="504655256"/>
    <x v="123"/>
    <x v="12"/>
    <n v="67"/>
    <n v="38.200000000000003"/>
    <x v="1"/>
    <s v="Cliente"/>
    <n v="0"/>
    <n v="0"/>
    <d v="2024-03-07T00:00:00"/>
    <x v="0"/>
    <s v="Cobertura Plana"/>
    <x v="4"/>
    <s v="Eles adjudicarão plano de manutenção para 1 ano "/>
    <s v="ACTIVE"/>
    <s v="Vitor Manuel Carvalho Luis /Ana Rita da Costa Gil Simões"/>
    <s v="Administrador Executivo"/>
    <s v="luis.farias@big.pt / jorge.correia@big.pt"/>
    <n v="213305543"/>
    <d v="2024-03-07T00:00:00"/>
    <x v="16"/>
    <x v="1"/>
    <s v="Sem registo de manuntenção contratual"/>
  </r>
  <r>
    <x v="132"/>
    <x v="137"/>
    <s v="Agromania, Unipessoal lda"/>
    <n v="507857682"/>
    <x v="124"/>
    <x v="16"/>
    <n v="144"/>
    <n v="82.1"/>
    <x v="1"/>
    <s v="Cliente"/>
    <n v="0"/>
    <n v="0"/>
    <s v="-"/>
    <x v="1"/>
    <s v="Solo"/>
    <x v="6"/>
    <m/>
    <s v="ACTIVE"/>
    <s v="Roberto Rafael Dias Martins"/>
    <s v="Gerente"/>
    <m/>
    <n v="934079329"/>
    <s v="-"/>
    <x v="4"/>
    <x v="1"/>
    <m/>
  </r>
  <r>
    <x v="133"/>
    <x v="138"/>
    <s v="Agroarrão, Unipessoal lda"/>
    <n v="516235842"/>
    <x v="125"/>
    <x v="16"/>
    <n v="68"/>
    <n v="38.799999999999997"/>
    <x v="1"/>
    <s v="Cliente"/>
    <n v="0"/>
    <n v="0"/>
    <s v="-"/>
    <x v="1"/>
    <s v="Solo"/>
    <x v="4"/>
    <m/>
    <s v="ACTIVE"/>
    <s v="Jorge Manuel Costa Espadinha"/>
    <s v="Gerente"/>
    <m/>
    <n v="919077887"/>
    <s v="-"/>
    <x v="4"/>
    <x v="1"/>
    <m/>
  </r>
  <r>
    <x v="134"/>
    <x v="139"/>
    <s v="Junta de Freguesia da Quinta do Conde"/>
    <n v="509017070"/>
    <x v="126"/>
    <x v="37"/>
    <n v="18"/>
    <n v="9.1"/>
    <x v="1"/>
    <s v="Cliente"/>
    <n v="0"/>
    <n v="0"/>
    <s v="-"/>
    <x v="1"/>
    <s v="Telha"/>
    <x v="1"/>
    <m/>
    <s v="ACTIVE"/>
    <s v="Carlos Alberto Pólvora dos Anjos Cruz"/>
    <s v="Presidente da Junta de Freguesia"/>
    <m/>
    <n v="935122181"/>
    <s v="-"/>
    <x v="4"/>
    <x v="1"/>
    <m/>
  </r>
  <r>
    <x v="135"/>
    <x v="140"/>
    <s v="Miniplás, Unipessoal Lda"/>
    <n v="513976728"/>
    <x v="127"/>
    <x v="9"/>
    <n v="126"/>
    <n v="71.819999999999993"/>
    <x v="1"/>
    <s v="Cliente"/>
    <n v="0"/>
    <n v="0"/>
    <s v="-"/>
    <x v="1"/>
    <s v="Sandwich"/>
    <x v="6"/>
    <m/>
    <s v="ACTIVE"/>
    <s v="Vitor Leonel de Almeida"/>
    <s v="Gerente"/>
    <m/>
    <n v="918606975"/>
    <s v="-"/>
    <x v="4"/>
    <x v="1"/>
    <m/>
  </r>
  <r>
    <x v="136"/>
    <x v="141"/>
    <s v="Colvi, Sociedade Agrícula, Limitada"/>
    <n v="506769291"/>
    <x v="128"/>
    <x v="16"/>
    <n v="150"/>
    <n v="54.15"/>
    <x v="1"/>
    <s v="Cliente"/>
    <n v="0"/>
    <n v="0"/>
    <s v="-"/>
    <x v="1"/>
    <s v="Solo"/>
    <x v="4"/>
    <m/>
    <s v="ACTIVE"/>
    <s v="Maria Odete Oliveira da Rosa Alves da Silva"/>
    <s v="Gerente"/>
    <m/>
    <n v="919700084"/>
    <s v="-"/>
    <x v="4"/>
    <x v="1"/>
    <m/>
  </r>
  <r>
    <x v="137"/>
    <x v="142"/>
    <s v="Lcp - Lisbon Cruise Port, Lda"/>
    <n v="513010505"/>
    <x v="129"/>
    <x v="12"/>
    <n v="580"/>
    <n v="330.6"/>
    <x v="1"/>
    <s v="Cliente"/>
    <m/>
    <n v="0"/>
    <m/>
    <x v="1"/>
    <s v="Sandwich"/>
    <x v="1"/>
    <m/>
    <s v="ON HOLD"/>
    <m/>
    <m/>
    <m/>
    <m/>
    <s v="-"/>
    <x v="4"/>
    <x v="1"/>
    <m/>
  </r>
  <r>
    <x v="138"/>
    <x v="143"/>
    <s v="Centro Social Paroquial de S.joão das Lampas"/>
    <n v="500060789"/>
    <x v="130"/>
    <x v="12"/>
    <n v="96"/>
    <n v="54.7"/>
    <x v="1"/>
    <s v="Cliente"/>
    <n v="0"/>
    <n v="0"/>
    <s v="-"/>
    <x v="1"/>
    <s v="Sandwich"/>
    <x v="6"/>
    <m/>
    <s v="ACTIVE"/>
    <s v="José Parente"/>
    <m/>
    <s v="jose.parente@cspsaojoaodaslampas.com"/>
    <n v="939087312"/>
    <s v="-"/>
    <x v="4"/>
    <x v="1"/>
    <m/>
  </r>
  <r>
    <x v="139"/>
    <x v="144"/>
    <s v="Centro Social Paroquial de Mafra"/>
    <n v="502061146"/>
    <x v="131"/>
    <x v="12"/>
    <n v="121"/>
    <n v="69"/>
    <x v="1"/>
    <s v="Cliente"/>
    <n v="0"/>
    <n v="0"/>
    <s v="-"/>
    <x v="1"/>
    <s v="Sandwich"/>
    <x v="1"/>
    <m/>
    <s v="ACTIVE"/>
    <m/>
    <m/>
    <m/>
    <m/>
    <s v="-"/>
    <x v="4"/>
    <x v="1"/>
    <m/>
  </r>
  <r>
    <x v="140"/>
    <x v="145"/>
    <s v="Movimento de Apoio de Pais e Amigos Ao Diminuído Intelectual"/>
    <n v="501211756"/>
    <x v="132"/>
    <x v="9"/>
    <n v="196"/>
    <n v="111.7"/>
    <x v="1"/>
    <s v="Cliente"/>
    <n v="0"/>
    <n v="0"/>
    <s v="-"/>
    <x v="1"/>
    <s v="Cobertura Plana"/>
    <x v="1"/>
    <m/>
    <s v="ACTIVE"/>
    <m/>
    <m/>
    <m/>
    <m/>
    <s v="-"/>
    <x v="4"/>
    <x v="1"/>
    <m/>
  </r>
  <r>
    <x v="141"/>
    <x v="146"/>
    <s v="Associação Cultural e Beneficiente Santa Maria de Sedielos"/>
    <n v="501272690"/>
    <x v="133"/>
    <x v="38"/>
    <n v="128"/>
    <n v="73"/>
    <x v="1"/>
    <s v="Cliente"/>
    <n v="0"/>
    <n v="0"/>
    <s v="-"/>
    <x v="1"/>
    <s v="Solo e Telha"/>
    <x v="1"/>
    <m/>
    <s v="ACTIVE"/>
    <s v="Presidente Sedielos"/>
    <s v="Presidente"/>
    <m/>
    <n v="913456795"/>
    <s v="-"/>
    <x v="4"/>
    <x v="1"/>
    <m/>
  </r>
  <r>
    <x v="142"/>
    <x v="147"/>
    <s v="Freguesia do Lumiar"/>
    <n v="508415110"/>
    <x v="134"/>
    <x v="12"/>
    <n v="13"/>
    <n v="7.04"/>
    <x v="1"/>
    <s v="Cliente"/>
    <n v="0"/>
    <n v="0"/>
    <s v="-"/>
    <x v="1"/>
    <s v="Telha"/>
    <x v="1"/>
    <m/>
    <s v="ACTIVE"/>
    <m/>
    <m/>
    <m/>
    <m/>
    <s v="-"/>
    <x v="4"/>
    <x v="1"/>
    <m/>
  </r>
  <r>
    <x v="143"/>
    <x v="148"/>
    <s v="Marmocan-Mármores dos Candeeiros LDA"/>
    <n v="502435712"/>
    <x v="135"/>
    <x v="39"/>
    <n v="192"/>
    <n v="109.44"/>
    <x v="1"/>
    <s v="Cliente"/>
    <n v="0"/>
    <n v="0"/>
    <s v="-"/>
    <x v="1"/>
    <s v="Sandwich"/>
    <x v="3"/>
    <m/>
    <s v="ACTIVE"/>
    <s v="Hélder Ribeiro dos Santos Costa"/>
    <s v="Gerente"/>
    <m/>
    <n v="919613988"/>
    <s v="-"/>
    <x v="4"/>
    <x v="1"/>
    <m/>
  </r>
  <r>
    <x v="144"/>
    <x v="149"/>
    <s v="Condomínio Avenida da Peregrinação 4"/>
    <n v="901172146"/>
    <x v="136"/>
    <x v="12"/>
    <n v="42"/>
    <n v="17.010000000000002"/>
    <x v="1"/>
    <s v="Cliente"/>
    <n v="0"/>
    <n v="0"/>
    <s v="-"/>
    <x v="1"/>
    <s v="Telha"/>
    <x v="6"/>
    <m/>
    <s v="ACTIVE"/>
    <s v="João António Igreja de Azevedo /Maria de Jesus Gaspar Pereira / João Miguel Pereira de Lacerda Matos"/>
    <s v="Administrador de condomínio"/>
    <m/>
    <n v="916136454"/>
    <s v="-"/>
    <x v="4"/>
    <x v="1"/>
    <m/>
  </r>
  <r>
    <x v="145"/>
    <x v="150"/>
    <s v="Agro-Pecuaria do Porto-Alto, Sociedade de Agricultura de Grupo Limitada"/>
    <n v="501615385"/>
    <x v="137"/>
    <x v="16"/>
    <n v="138"/>
    <n v="60.7"/>
    <x v="1"/>
    <s v="Cliente"/>
    <n v="0"/>
    <n v="0"/>
    <s v="-"/>
    <x v="1"/>
    <s v="Sandwich"/>
    <x v="1"/>
    <m/>
    <s v="ACTIVE"/>
    <s v="Hélio Roberto Sá Torres Lima"/>
    <s v="Administrador único"/>
    <m/>
    <s v="916896268_x000a_917641554"/>
    <s v="-"/>
    <x v="4"/>
    <x v="1"/>
    <m/>
  </r>
  <r>
    <x v="146"/>
    <x v="151"/>
    <s v="Associação Humanitária dos Bombeiros Voluntarios de Sintra"/>
    <n v="501131981"/>
    <x v="138"/>
    <x v="12"/>
    <n v="116"/>
    <n v="66.099999999999994"/>
    <x v="0"/>
    <s v="Solcorelios II"/>
    <n v="10"/>
    <n v="120"/>
    <s v="-"/>
    <x v="1"/>
    <m/>
    <x v="3"/>
    <m/>
    <s v="ON HOLD"/>
    <s v="José António Bento Marques / António José Pires Encarnação"/>
    <s v="Presidente / Vice-Presidente"/>
    <s v="sgeral@abvsintra.pt"/>
    <m/>
    <s v="-"/>
    <x v="4"/>
    <x v="1"/>
    <m/>
  </r>
  <r>
    <x v="147"/>
    <x v="152"/>
    <s v="Lourenço &amp; Filhos LDA"/>
    <n v="504704915"/>
    <x v="139"/>
    <x v="0"/>
    <n v="64"/>
    <n v="36.049999999999997"/>
    <x v="1"/>
    <s v="Cliente"/>
    <n v="0"/>
    <n v="0"/>
    <s v="-"/>
    <x v="1"/>
    <s v="Sandwich"/>
    <x v="1"/>
    <m/>
    <s v="ACTIVE"/>
    <s v="Fatima Alexandra Dias Lourenço / Pedro Manuel Pires Fernandes"/>
    <s v="Gerente"/>
    <m/>
    <m/>
    <s v="-"/>
    <x v="4"/>
    <x v="1"/>
    <m/>
  </r>
  <r>
    <x v="148"/>
    <x v="153"/>
    <s v="António Evaristo Gonçalves - Sociedade Agrícola, Unipessoal Lda"/>
    <n v="508776597"/>
    <x v="140"/>
    <x v="16"/>
    <n v="130"/>
    <n v="74.099999999999994"/>
    <x v="0"/>
    <s v="Solcorelios II"/>
    <n v="10"/>
    <n v="120"/>
    <d v="2024-08-01T00:00:00"/>
    <x v="0"/>
    <s v="Sandwich"/>
    <x v="1"/>
    <m/>
    <s v="ACTIVE"/>
    <s v="Luís Feijoca"/>
    <m/>
    <s v="luisfeijoca@hotmail.com"/>
    <n v="967870346"/>
    <d v="2034-08-01T00:00:00"/>
    <x v="1"/>
    <x v="0"/>
    <m/>
  </r>
  <r>
    <x v="149"/>
    <x v="154"/>
    <s v="António Evaristo Gonçalves - Sociedade Agrícola, Unipessoal Lda"/>
    <n v="508776597"/>
    <x v="140"/>
    <x v="16"/>
    <n v="270"/>
    <n v="153.80000000000001"/>
    <x v="0"/>
    <s v="Solcorelios II"/>
    <n v="10"/>
    <n v="120"/>
    <d v="2024-08-01T00:00:00"/>
    <x v="0"/>
    <s v="Solo"/>
    <x v="4"/>
    <m/>
    <s v="ACTIVE"/>
    <s v="Luís Feijoca"/>
    <m/>
    <s v="luisfeijoca@hotmail.com"/>
    <n v="967870346"/>
    <d v="2034-08-01T00:00:00"/>
    <x v="1"/>
    <x v="0"/>
    <m/>
  </r>
  <r>
    <x v="150"/>
    <x v="155"/>
    <s v="Modelvision, Unipessoal, Lda"/>
    <n v="510170684"/>
    <x v="141"/>
    <x v="3"/>
    <n v="72"/>
    <n v="41"/>
    <x v="1"/>
    <s v="Cliente"/>
    <n v="0"/>
    <n v="0"/>
    <s v="-"/>
    <x v="1"/>
    <s v="Chapa"/>
    <x v="1"/>
    <m/>
    <s v="ACTIVE"/>
    <s v="Nélia Luísa Faria Ascenso"/>
    <s v="Gerente"/>
    <s v="modelvision.modelvision@gmail.com"/>
    <m/>
    <s v="-"/>
    <x v="4"/>
    <x v="1"/>
    <m/>
  </r>
  <r>
    <x v="151"/>
    <x v="156"/>
    <s v="Liga dos Combatentes"/>
    <n v="500816905"/>
    <x v="142"/>
    <x v="2"/>
    <n v="144"/>
    <n v="82.1"/>
    <x v="1"/>
    <s v="Cliente"/>
    <n v="0"/>
    <n v="0"/>
    <s v="-"/>
    <x v="1"/>
    <s v="Cobertura Plana"/>
    <x v="1"/>
    <m/>
    <s v="ACTIVE"/>
    <m/>
    <m/>
    <m/>
    <m/>
    <s v="-"/>
    <x v="4"/>
    <x v="1"/>
    <m/>
  </r>
  <r>
    <x v="152"/>
    <x v="157"/>
    <s v="António Evaristo Gonçalves - Sociedade Agrícola, Unipessoal Lda"/>
    <n v="508776597"/>
    <x v="140"/>
    <x v="16"/>
    <n v="252"/>
    <n v="141.4"/>
    <x v="1"/>
    <s v="Cliente"/>
    <n v="0"/>
    <n v="0"/>
    <s v="-"/>
    <x v="1"/>
    <s v="Sandwich"/>
    <x v="1"/>
    <m/>
    <s v="ACTIVE"/>
    <s v="Luís Feijoca"/>
    <m/>
    <s v="luisfeijoca@hotmail.com"/>
    <n v="967870346"/>
    <s v="-"/>
    <x v="4"/>
    <x v="1"/>
    <m/>
  </r>
  <r>
    <x v="153"/>
    <x v="158"/>
    <s v="Viveiros Monterosa, LDA"/>
    <n v="500640793"/>
    <x v="143"/>
    <x v="22"/>
    <n v="76"/>
    <n v="43.7"/>
    <x v="1"/>
    <s v="Cliente"/>
    <n v="2"/>
    <n v="24"/>
    <d v="2024-10-22T00:00:00"/>
    <x v="0"/>
    <s v="Car Park"/>
    <x v="1"/>
    <s v="2 anos de O&amp;M (primeira limpeza em 2025)"/>
    <s v="ACTIVE"/>
    <s v="Carlos Águas Rodrigues/Antonio cruz (tecnico manutenção)"/>
    <m/>
    <s v="carlos@monterosa.pt"/>
    <s v="914923249/966646334 "/>
    <d v="2026-10-22T00:00:00"/>
    <x v="0"/>
    <x v="0"/>
    <m/>
  </r>
  <r>
    <x v="154"/>
    <x v="159"/>
    <s v="Centro Comunitário Da Quinta Da Conde"/>
    <n v="501938249"/>
    <x v="144"/>
    <x v="37"/>
    <n v="36"/>
    <n v="20.52"/>
    <x v="1"/>
    <s v="Cliente"/>
    <n v="0"/>
    <n v="0"/>
    <s v="-"/>
    <x v="1"/>
    <s v="Cobertura Plana"/>
    <x v="1"/>
    <m/>
    <s v="ACTIVE"/>
    <s v="Rita Gaspar"/>
    <m/>
    <s v="geral@ccqc.pt"/>
    <n v="212137730"/>
    <s v="-"/>
    <x v="4"/>
    <x v="1"/>
    <m/>
  </r>
  <r>
    <x v="155"/>
    <x v="160"/>
    <s v="Centro Comunitário Da Quinta Da Conde"/>
    <n v="501938250"/>
    <x v="145"/>
    <x v="37"/>
    <n v="60"/>
    <n v="34.200000000000003"/>
    <x v="1"/>
    <s v="Cliente"/>
    <n v="0"/>
    <n v="0"/>
    <s v="-"/>
    <x v="1"/>
    <s v="Sandwich"/>
    <x v="1"/>
    <m/>
    <s v="ACTIVE"/>
    <s v="Rita Gaspar"/>
    <m/>
    <s v="geral@ccqc.pt"/>
    <n v="212137730"/>
    <s v="-"/>
    <x v="4"/>
    <x v="1"/>
    <m/>
  </r>
  <r>
    <x v="156"/>
    <x v="161"/>
    <s v="Lareiras Sousa Lda."/>
    <n v="502962801"/>
    <x v="146"/>
    <x v="3"/>
    <n v="119"/>
    <n v="68.400000000000006"/>
    <x v="0"/>
    <s v="Solcorelius"/>
    <n v="15"/>
    <n v="180"/>
    <d v="2024-07-01T00:00:00"/>
    <x v="0"/>
    <s v="Sandwich"/>
    <x v="1"/>
    <m/>
    <s v="ACTIVE"/>
    <s v="Daniela"/>
    <m/>
    <s v="lareiras.sousa@sapo.pt"/>
    <s v="912903824/912531672 (ligar para monitorização)"/>
    <d v="2039-07-01T00:00:00"/>
    <x v="17"/>
    <x v="0"/>
    <m/>
  </r>
  <r>
    <x v="157"/>
    <x v="162"/>
    <s v="Protecnil - Sociedade Técnica Construções, S.A"/>
    <n v="501461396"/>
    <x v="147"/>
    <x v="16"/>
    <n v="75"/>
    <n v="43.13"/>
    <x v="1"/>
    <s v="Cliente"/>
    <n v="0"/>
    <n v="0"/>
    <s v="-"/>
    <x v="1"/>
    <s v="Sandwich"/>
    <x v="1"/>
    <m/>
    <s v="ACTIVE"/>
    <s v="Bruno"/>
    <m/>
    <s v="bruno@protecnil.pt"/>
    <s v="939 089 005"/>
    <s v="-"/>
    <x v="4"/>
    <x v="1"/>
    <m/>
  </r>
  <r>
    <x v="158"/>
    <x v="163"/>
    <s v="DESCUT - Design, Lda."/>
    <m/>
    <x v="148"/>
    <x v="8"/>
    <n v="80"/>
    <n v="46"/>
    <x v="0"/>
    <s v="Solcorelius"/>
    <m/>
    <n v="0"/>
    <m/>
    <x v="1"/>
    <m/>
    <x v="3"/>
    <m/>
    <s v="ON HOLD"/>
    <m/>
    <m/>
    <m/>
    <m/>
    <s v="-"/>
    <x v="4"/>
    <x v="1"/>
    <m/>
  </r>
  <r>
    <x v="159"/>
    <x v="164"/>
    <s v="Esboços e Esquadrias, Unipessoal Lda."/>
    <n v="517233720"/>
    <x v="149"/>
    <x v="37"/>
    <n v="112"/>
    <n v="64.400000000000006"/>
    <x v="1"/>
    <s v="Cliente"/>
    <n v="0"/>
    <n v="0"/>
    <s v="-"/>
    <x v="1"/>
    <s v="Sandwich"/>
    <x v="1"/>
    <m/>
    <s v="ACTIVE"/>
    <s v="Fernando_x000a_Rui Timóteo"/>
    <m/>
    <s v="Fernando.Jorge@energyco.pt"/>
    <s v="910125910_x000a_916981963"/>
    <s v="-"/>
    <x v="4"/>
    <x v="1"/>
    <m/>
  </r>
  <r>
    <x v="160"/>
    <x v="165"/>
    <m/>
    <m/>
    <x v="150"/>
    <x v="12"/>
    <n v="48"/>
    <n v="27.6"/>
    <x v="1"/>
    <s v="Cliente"/>
    <n v="0"/>
    <n v="0"/>
    <s v="-"/>
    <x v="1"/>
    <s v="Cobertura Plana"/>
    <x v="6"/>
    <m/>
    <s v="ACTIVE"/>
    <s v="Fábio Santos"/>
    <m/>
    <s v="fabiosantos@visabeiraglobal.com"/>
    <n v="924765427"/>
    <s v="-"/>
    <x v="4"/>
    <x v="1"/>
    <m/>
  </r>
  <r>
    <x v="161"/>
    <x v="166"/>
    <s v="Sociedade Agrícola da Perna Molhada, S.A."/>
    <n v="502657359"/>
    <x v="151"/>
    <x v="16"/>
    <n v="64"/>
    <n v="38.4"/>
    <x v="1"/>
    <s v="Cliente"/>
    <n v="0"/>
    <n v="0"/>
    <s v="-"/>
    <x v="1"/>
    <s v="Solo"/>
    <x v="1"/>
    <m/>
    <s v="ACTIVE"/>
    <s v="Inês Chaves"/>
    <m/>
    <s v="ineschaves@lagoalva.pt"/>
    <s v="919 099 323"/>
    <s v="-"/>
    <x v="4"/>
    <x v="1"/>
    <m/>
  </r>
  <r>
    <x v="162"/>
    <x v="167"/>
    <s v="Sociedade Agrícola do Barracão do Duque, S.A."/>
    <n v="502660090"/>
    <x v="152"/>
    <x v="16"/>
    <n v="64"/>
    <n v="38.4"/>
    <x v="1"/>
    <s v="Cliente"/>
    <n v="0"/>
    <n v="0"/>
    <s v="-"/>
    <x v="1"/>
    <s v="Solo"/>
    <x v="1"/>
    <m/>
    <s v="ACTIVE"/>
    <s v="Inês Chaves"/>
    <m/>
    <s v="ineschaves@lagoalva.pt"/>
    <s v="920 099 323"/>
    <s v="-"/>
    <x v="4"/>
    <x v="1"/>
    <m/>
  </r>
  <r>
    <x v="163"/>
    <x v="168"/>
    <s v="Sociedade Agrícola da Quinta da Lagoalva de Cima, S.A."/>
    <n v="502660074"/>
    <x v="153"/>
    <x v="16"/>
    <n v="64"/>
    <n v="38.4"/>
    <x v="1"/>
    <s v="Cliente"/>
    <n v="0"/>
    <n v="0"/>
    <s v="-"/>
    <x v="1"/>
    <s v="Solo"/>
    <x v="1"/>
    <m/>
    <s v="ACTIVE"/>
    <s v="Inês Chaves"/>
    <m/>
    <s v="ineschaves@lagoalva.pt"/>
    <s v="921 099 323"/>
    <s v="-"/>
    <x v="4"/>
    <x v="1"/>
    <m/>
  </r>
  <r>
    <x v="164"/>
    <x v="169"/>
    <s v="Hotel Pombalense, S.A"/>
    <n v="504971824"/>
    <x v="154"/>
    <x v="3"/>
    <n v="34"/>
    <n v="19.55"/>
    <x v="1"/>
    <s v="Cliente"/>
    <n v="0"/>
    <n v="0"/>
    <s v="-"/>
    <x v="1"/>
    <s v="Cobertura Plana"/>
    <x v="6"/>
    <m/>
    <s v="ACTIVE"/>
    <s v="Zelinda"/>
    <m/>
    <s v="backoffice@hotelpombalense.pt"/>
    <n v="968010191"/>
    <s v="-"/>
    <x v="4"/>
    <x v="1"/>
    <m/>
  </r>
  <r>
    <x v="165"/>
    <x v="170"/>
    <s v="Hortofinal - Produção e Comércio de Produtos Hortícolas, Lda"/>
    <n v="505401169"/>
    <x v="155"/>
    <x v="12"/>
    <n v="214"/>
    <n v="123.1"/>
    <x v="1"/>
    <s v="Cliente"/>
    <n v="0"/>
    <n v="0"/>
    <s v="-"/>
    <x v="1"/>
    <s v="Sandwich"/>
    <x v="6"/>
    <m/>
    <s v="ACTIVE"/>
    <s v="Nuno Filipe"/>
    <m/>
    <s v="nuno.filipe@freskus.pt"/>
    <s v="910 644 080"/>
    <s v="-"/>
    <x v="4"/>
    <x v="1"/>
    <m/>
  </r>
  <r>
    <x v="166"/>
    <x v="171"/>
    <s v="Fundação Maria Luísa Ruas"/>
    <n v="500874964"/>
    <x v="156"/>
    <x v="11"/>
    <n v="108"/>
    <n v="62.1"/>
    <x v="1"/>
    <s v="Cliente"/>
    <n v="0"/>
    <n v="0"/>
    <s v="-"/>
    <x v="1"/>
    <s v="Cobertura Plana"/>
    <x v="6"/>
    <m/>
    <s v="ACTIVE"/>
    <m/>
    <m/>
    <s v="geral@fmlruas.com"/>
    <n v="239502013"/>
    <s v="-"/>
    <x v="4"/>
    <x v="1"/>
    <m/>
  </r>
  <r>
    <x v="167"/>
    <x v="172"/>
    <s v="Santa Casa da Misericórdia de Fronteira"/>
    <n v="501132880"/>
    <x v="157"/>
    <x v="35"/>
    <n v="104"/>
    <n v="59.8"/>
    <x v="1"/>
    <s v="Cliente"/>
    <n v="0"/>
    <n v="0"/>
    <s v="-"/>
    <x v="1"/>
    <s v="Telha"/>
    <x v="1"/>
    <m/>
    <s v="ACTIVE"/>
    <s v="Anabela Brandão"/>
    <m/>
    <s v="scmfronteira.tss-anabelabrandao@sapo.pt"/>
    <n v="962650050"/>
    <s v="-"/>
    <x v="4"/>
    <x v="1"/>
    <m/>
  </r>
  <r>
    <x v="168"/>
    <x v="173"/>
    <m/>
    <m/>
    <x v="158"/>
    <x v="35"/>
    <n v="15"/>
    <n v="8.18"/>
    <x v="1"/>
    <s v="Cliente"/>
    <n v="0"/>
    <n v="0"/>
    <s v="-"/>
    <x v="1"/>
    <s v="Telha"/>
    <x v="1"/>
    <m/>
    <s v="ACTIVE"/>
    <s v="Anabela Brandão"/>
    <m/>
    <s v="scmfronteira.tss-anabelabrandao@sapo.pt"/>
    <n v="962650050"/>
    <s v="-"/>
    <x v="4"/>
    <x v="1"/>
    <m/>
  </r>
  <r>
    <x v="169"/>
    <x v="174"/>
    <s v="Santos Júlios - Metal Distendido, Lda"/>
    <n v="500191689"/>
    <x v="159"/>
    <x v="12"/>
    <n v="42"/>
    <n v="24.15"/>
    <x v="1"/>
    <s v="Cliente"/>
    <n v="0"/>
    <n v="0"/>
    <s v="--"/>
    <x v="1"/>
    <s v="Chapa"/>
    <x v="1"/>
    <m/>
    <s v="ACTIVE"/>
    <s v="José"/>
    <m/>
    <s v="comercialsul@metaldistendido.com"/>
    <s v="21 4440320"/>
    <s v="-"/>
    <x v="4"/>
    <x v="1"/>
    <m/>
  </r>
  <r>
    <x v="170"/>
    <x v="175"/>
    <s v="Centro Paroquial de Ronfe"/>
    <n v="501449906"/>
    <x v="160"/>
    <x v="21"/>
    <n v="56"/>
    <n v="32.200000000000003"/>
    <x v="1"/>
    <s v="Cliente"/>
    <n v="0"/>
    <n v="0"/>
    <s v="-"/>
    <x v="1"/>
    <s v="Cobertura Plana"/>
    <x v="1"/>
    <m/>
    <s v="ACTIVE"/>
    <m/>
    <m/>
    <s v="cspr.coordenacao.geral@gmail.com"/>
    <n v="253531188"/>
    <s v="-"/>
    <x v="4"/>
    <x v="1"/>
    <m/>
  </r>
  <r>
    <x v="171"/>
    <x v="176"/>
    <s v="J. Ferreira &amp; Oliveira Lda."/>
    <n v="501266127"/>
    <x v="161"/>
    <x v="9"/>
    <n v="22"/>
    <n v="12.1"/>
    <x v="1"/>
    <s v="Cliente"/>
    <n v="0"/>
    <n v="0"/>
    <s v="-"/>
    <x v="1"/>
    <s v="Sandwich"/>
    <x v="3"/>
    <m/>
    <s v="ACTIVE"/>
    <s v="Ricardo Ferreira"/>
    <m/>
    <m/>
    <n v="918624670"/>
    <s v="-"/>
    <x v="4"/>
    <x v="1"/>
    <m/>
  </r>
  <r>
    <x v="172"/>
    <x v="177"/>
    <s v="J. Ferreira &amp; Oliveira Lda."/>
    <n v="222276975"/>
    <x v="162"/>
    <x v="9"/>
    <n v="12"/>
    <n v="6.6"/>
    <x v="1"/>
    <s v="Cliente"/>
    <n v="0"/>
    <n v="0"/>
    <s v="-"/>
    <x v="1"/>
    <s v="Cobertura Plana"/>
    <x v="3"/>
    <m/>
    <s v="ACTIVE"/>
    <s v="Paulo Ferreira"/>
    <m/>
    <m/>
    <n v="914398983"/>
    <s v="-"/>
    <x v="4"/>
    <x v="1"/>
    <m/>
  </r>
  <r>
    <x v="173"/>
    <x v="178"/>
    <s v="J. Ferreira &amp; Oliveira Lda."/>
    <n v="501266127"/>
    <x v="161"/>
    <x v="9"/>
    <n v="18"/>
    <n v="9.81"/>
    <x v="1"/>
    <s v="Cliente"/>
    <n v="0"/>
    <n v="0"/>
    <s v="-"/>
    <x v="1"/>
    <s v="Cobertura Plana"/>
    <x v="3"/>
    <m/>
    <s v="ACTIVE"/>
    <s v="Ricardo Ferreira"/>
    <m/>
    <m/>
    <n v="918624670"/>
    <s v="-"/>
    <x v="4"/>
    <x v="1"/>
    <m/>
  </r>
  <r>
    <x v="174"/>
    <x v="179"/>
    <s v="Entre Vinhas e Mar"/>
    <n v="509657648"/>
    <x v="163"/>
    <x v="12"/>
    <n v="20"/>
    <n v="11.4"/>
    <x v="1"/>
    <s v="Cliente"/>
    <n v="0"/>
    <n v="0"/>
    <s v="-"/>
    <x v="1"/>
    <s v="Telha"/>
    <x v="1"/>
    <m/>
    <s v="ACTIVE"/>
    <s v="Paula Monteiro "/>
    <s v="Proprietária"/>
    <s v="paula.monteiro@entrevinhasemar.com"/>
    <n v="965054506"/>
    <s v="-"/>
    <x v="4"/>
    <x v="1"/>
    <m/>
  </r>
  <r>
    <x v="175"/>
    <x v="180"/>
    <s v="Parabólica - Reparações e Manutenções de Veiculos, Lda"/>
    <n v="212134700"/>
    <x v="164"/>
    <x v="12"/>
    <n v="28"/>
    <n v="15.96"/>
    <x v="1"/>
    <s v="Cliente"/>
    <n v="0"/>
    <n v="0"/>
    <s v="-"/>
    <x v="1"/>
    <s v="Sandwich"/>
    <x v="3"/>
    <m/>
    <s v="ACTIVE"/>
    <s v="Vanessa Ramos"/>
    <m/>
    <s v="vanessa.ramos@parabolica.com.pt"/>
    <n v="932134700"/>
    <s v="-"/>
    <x v="4"/>
    <x v="1"/>
    <m/>
  </r>
  <r>
    <x v="176"/>
    <x v="181"/>
    <s v="Alegrivárias, Lda."/>
    <s v="514 814 730"/>
    <x v="165"/>
    <x v="12"/>
    <n v="22"/>
    <n v="12.7"/>
    <x v="1"/>
    <s v="Cliente"/>
    <n v="0"/>
    <n v="0"/>
    <s v="-"/>
    <x v="1"/>
    <s v="Sandwich"/>
    <x v="1"/>
    <m/>
    <s v="ACTIVE"/>
    <s v="João Tomé"/>
    <m/>
    <s v="geral@alegrivarias.pt"/>
    <n v="927714687"/>
    <s v="-"/>
    <x v="4"/>
    <x v="1"/>
    <m/>
  </r>
  <r>
    <x v="177"/>
    <x v="182"/>
    <s v="Sociedade Industrial da Herdade da Maia"/>
    <n v="501841865"/>
    <x v="166"/>
    <x v="35"/>
    <n v="256"/>
    <n v="153.6"/>
    <x v="1"/>
    <s v="Cliente"/>
    <n v="0"/>
    <n v="0"/>
    <s v="-"/>
    <x v="1"/>
    <s v="Solo"/>
    <x v="4"/>
    <m/>
    <s v="ACTIVE"/>
    <s v="Ruben_x000a_Eng. Inês_x000a_João Capelão"/>
    <m/>
    <m/>
    <s v="918136668_x000a_963227480_x000a_963556429"/>
    <s v="-"/>
    <x v="4"/>
    <x v="1"/>
    <m/>
  </r>
  <r>
    <x v="178"/>
    <x v="183"/>
    <s v="António Evaristo Gonçalves - Quinta Galvoa"/>
    <n v="508776597"/>
    <x v="167"/>
    <x v="16"/>
    <n v="96"/>
    <n v="55.2"/>
    <x v="0"/>
    <s v="Solcorelius"/>
    <n v="10"/>
    <n v="120"/>
    <d v="2025-03-01T00:00:00"/>
    <x v="0"/>
    <s v="Solo"/>
    <x v="1"/>
    <m/>
    <s v="ACTIVE"/>
    <s v="Luís Feijoca"/>
    <m/>
    <s v="luisfeijoca@hotmail.com"/>
    <n v="967870346"/>
    <d v="2035-03-01T00:00:00"/>
    <x v="2"/>
    <x v="0"/>
    <m/>
  </r>
  <r>
    <x v="179"/>
    <x v="184"/>
    <s v="Luís Batista Gonçalves"/>
    <n v="508776597"/>
    <x v="167"/>
    <x v="16"/>
    <n v="96"/>
    <n v="55.2"/>
    <x v="0"/>
    <s v="Solcorelius"/>
    <n v="10"/>
    <n v="120"/>
    <d v="2025-03-01T00:00:00"/>
    <x v="0"/>
    <s v="Solo"/>
    <x v="1"/>
    <m/>
    <s v="ACTIVE"/>
    <s v="Luís Feijoca"/>
    <m/>
    <s v="luisfeijoca@hotmail.com"/>
    <n v="967870346"/>
    <d v="2035-03-01T00:00:00"/>
    <x v="2"/>
    <x v="0"/>
    <m/>
  </r>
  <r>
    <x v="180"/>
    <x v="185"/>
    <s v="Santos &amp; Ferreira, Lda."/>
    <n v="501358331"/>
    <x v="168"/>
    <x v="12"/>
    <n v="61"/>
    <n v="34.799999999999997"/>
    <x v="0"/>
    <s v="Solcorelius"/>
    <n v="10"/>
    <n v="120"/>
    <d v="2025-01-01T00:00:00"/>
    <x v="0"/>
    <s v="Sandwich"/>
    <x v="1"/>
    <m/>
    <s v="ACTIVE"/>
    <s v="David Santos "/>
    <s v="Gerente"/>
    <s v="geral@santos-ferreira.mail.pt"/>
    <n v="966198332"/>
    <d v="2035-01-01T00:00:00"/>
    <x v="2"/>
    <x v="0"/>
    <m/>
  </r>
  <r>
    <x v="181"/>
    <x v="186"/>
    <s v="Intermarche Sesimbra"/>
    <n v="503666653"/>
    <x v="169"/>
    <x v="1"/>
    <n v="369"/>
    <n v="213"/>
    <x v="1"/>
    <s v="Cliente"/>
    <n v="1"/>
    <n v="12"/>
    <d v="2025-12-31T00:00:00"/>
    <x v="0"/>
    <s v="Sandwich"/>
    <x v="1"/>
    <m/>
    <s v="ACTIVE"/>
    <m/>
    <m/>
    <m/>
    <m/>
    <d v="2026-12-31T00:00:00"/>
    <x v="0"/>
    <x v="0"/>
    <m/>
  </r>
  <r>
    <x v="182"/>
    <x v="187"/>
    <s v="LATI Setúbal"/>
    <n v="501087451"/>
    <x v="170"/>
    <x v="1"/>
    <n v="132"/>
    <n v="79.2"/>
    <x v="1"/>
    <s v="Cliente"/>
    <n v="0"/>
    <n v="0"/>
    <s v="-"/>
    <x v="1"/>
    <s v="Sandwich"/>
    <x v="3"/>
    <m/>
    <s v="ACTIVE"/>
    <s v="Carlos"/>
    <m/>
    <m/>
    <n v="963653949"/>
    <s v="-"/>
    <x v="4"/>
    <x v="1"/>
    <m/>
  </r>
  <r>
    <x v="183"/>
    <x v="188"/>
    <s v="APPACDM de Portalegre"/>
    <n v="504646834"/>
    <x v="171"/>
    <x v="35"/>
    <n v="36"/>
    <n v="20.52"/>
    <x v="1"/>
    <s v="Cliente"/>
    <n v="0"/>
    <n v="0"/>
    <s v="-"/>
    <x v="1"/>
    <s v="Cobertura Plana"/>
    <x v="3"/>
    <m/>
    <s v="ACTIVE"/>
    <s v="Emilia"/>
    <m/>
    <m/>
    <n v="912620256"/>
    <s v="-"/>
    <x v="4"/>
    <x v="1"/>
    <m/>
  </r>
  <r>
    <x v="184"/>
    <x v="189"/>
    <s v="Sociedade Agricola Casa Agrofeliz"/>
    <n v="503326119"/>
    <x v="172"/>
    <x v="16"/>
    <n v="128"/>
    <n v="73"/>
    <x v="1"/>
    <s v="Cliente"/>
    <n v="0"/>
    <n v="0"/>
    <s v="-"/>
    <x v="1"/>
    <s v="Chapa"/>
    <x v="3"/>
    <m/>
    <s v="ACTIVE"/>
    <s v="Manuel Felizardo"/>
    <m/>
    <s v="Engenheirofelizardo@gmail.com"/>
    <n v="917242010"/>
    <s v="-"/>
    <x v="4"/>
    <x v="1"/>
    <m/>
  </r>
  <r>
    <x v="185"/>
    <x v="190"/>
    <s v="Santa Casa da Mesericórdia de Alenquer"/>
    <n v="50085227"/>
    <x v="173"/>
    <x v="12"/>
    <n v="140"/>
    <n v="80.5"/>
    <x v="1"/>
    <s v="Cliente"/>
    <n v="0"/>
    <n v="0"/>
    <s v="-"/>
    <x v="1"/>
    <s v="Solo"/>
    <x v="3"/>
    <m/>
    <s v="ACTIVE"/>
    <m/>
    <m/>
    <m/>
    <m/>
    <s v="-"/>
    <x v="4"/>
    <x v="1"/>
    <m/>
  </r>
  <r>
    <x v="186"/>
    <x v="191"/>
    <s v="Centro Social Paroquial de Santo Aleixo"/>
    <n v="502051663"/>
    <x v="174"/>
    <x v="35"/>
    <n v="112"/>
    <n v="50.92"/>
    <x v="1"/>
    <s v="Cliente"/>
    <n v="0"/>
    <n v="0"/>
    <s v="-"/>
    <x v="1"/>
    <s v="Sandwich"/>
    <x v="3"/>
    <m/>
    <s v="ACTIVE"/>
    <s v="Ana Margarida"/>
    <m/>
    <m/>
    <n v="966123699"/>
    <s v="-"/>
    <x v="4"/>
    <x v="1"/>
    <m/>
  </r>
  <r>
    <x v="187"/>
    <x v="192"/>
    <s v="Fundação Jean Émilie Anizan"/>
    <s v="591 000 601"/>
    <x v="175"/>
    <x v="1"/>
    <n v="28"/>
    <n v="15.96"/>
    <x v="1"/>
    <s v="Cliente"/>
    <n v="0"/>
    <n v="0"/>
    <s v="-"/>
    <x v="1"/>
    <s v="Solo"/>
    <x v="3"/>
    <m/>
    <s v="ACTIVE"/>
    <s v="Palmira_x000a_Luis"/>
    <m/>
    <m/>
    <s v="918681288_x000a_962307074"/>
    <s v="-"/>
    <x v="4"/>
    <x v="1"/>
    <m/>
  </r>
  <r>
    <x v="188"/>
    <x v="193"/>
    <s v="Marco António Braulino Nunes"/>
    <s v="215 130 545"/>
    <x v="176"/>
    <x v="40"/>
    <n v="28"/>
    <n v="15.96"/>
    <x v="1"/>
    <s v="Cliente"/>
    <n v="0"/>
    <n v="0"/>
    <s v="-"/>
    <x v="1"/>
    <s v="Solo"/>
    <x v="1"/>
    <m/>
    <s v="ACTIVE"/>
    <s v="Marco"/>
    <s v="Gerente"/>
    <m/>
    <n v="930588028"/>
    <s v="-"/>
    <x v="4"/>
    <x v="1"/>
    <m/>
  </r>
  <r>
    <x v="189"/>
    <x v="194"/>
    <m/>
    <s v="506 207 684"/>
    <x v="177"/>
    <x v="40"/>
    <n v="38"/>
    <n v="21.7"/>
    <x v="1"/>
    <s v="Cliente"/>
    <n v="0"/>
    <n v="0"/>
    <s v="-"/>
    <x v="1"/>
    <s v="Solo"/>
    <x v="3"/>
    <m/>
    <s v="ACTIVE"/>
    <s v="Marco"/>
    <s v="Gerente"/>
    <m/>
    <n v="930588028"/>
    <s v="-"/>
    <x v="4"/>
    <x v="1"/>
    <m/>
  </r>
  <r>
    <x v="190"/>
    <x v="195"/>
    <s v="Associação Humanitária Cabo Ruivo"/>
    <n v="500883106"/>
    <x v="178"/>
    <x v="12"/>
    <n v="32"/>
    <n v="18.2"/>
    <x v="1"/>
    <s v="Cliente"/>
    <n v="0"/>
    <n v="0"/>
    <s v="-"/>
    <x v="1"/>
    <m/>
    <x v="3"/>
    <m/>
    <s v="ACTIVE"/>
    <m/>
    <m/>
    <m/>
    <m/>
    <s v="-"/>
    <x v="4"/>
    <x v="1"/>
    <m/>
  </r>
  <r>
    <x v="191"/>
    <x v="196"/>
    <s v="Irmandade Santa Casa da Misericórdia de Resende"/>
    <n v="501263870"/>
    <x v="179"/>
    <x v="41"/>
    <n v="90"/>
    <s v="51.3"/>
    <x v="1"/>
    <s v="Cliente"/>
    <n v="0"/>
    <n v="0"/>
    <s v="-"/>
    <x v="1"/>
    <s v="Lastre"/>
    <x v="3"/>
    <m/>
    <s v="ACTIVE"/>
    <s v="Raquel"/>
    <m/>
    <m/>
    <s v="968079093_x000a_926610777"/>
    <s v="-"/>
    <x v="4"/>
    <x v="1"/>
    <m/>
  </r>
  <r>
    <x v="192"/>
    <x v="197"/>
    <s v="Manuel Barbosa &amp; Filho Lda."/>
    <n v="500827540"/>
    <x v="180"/>
    <x v="12"/>
    <n v="420"/>
    <n v="241.5"/>
    <x v="1"/>
    <s v="Cliente"/>
    <n v="0"/>
    <n v="0"/>
    <m/>
    <x v="1"/>
    <m/>
    <x v="3"/>
    <m/>
    <s v="ACTIVE"/>
    <s v="Carmen"/>
    <s v="Gerente"/>
    <s v="carmenbarbosa01@gmail.com"/>
    <n v="969026695"/>
    <s v="-"/>
    <x v="4"/>
    <x v="1"/>
    <m/>
  </r>
  <r>
    <x v="193"/>
    <x v="198"/>
    <s v="Intermarché de Oliveira do Douro"/>
    <s v="510 045 162"/>
    <x v="181"/>
    <x v="9"/>
    <n v="244"/>
    <n v="310.10000000000002"/>
    <x v="1"/>
    <s v="Cliente"/>
    <n v="3"/>
    <n v="36"/>
    <d v="2025-06-01T00:00:00"/>
    <x v="0"/>
    <s v="Sandwich"/>
    <x v="3"/>
    <s v="3 anos de O&amp;M incluido com a venda"/>
    <s v="ACTIVE"/>
    <s v="João Lourenço "/>
    <s v="Proprietário"/>
    <s v="lourenco-777@hotmail.com"/>
    <n v="931789655"/>
    <d v="2028-06-01T00:00:00"/>
    <x v="3"/>
    <x v="0"/>
    <e v="#VALUE!"/>
  </r>
  <r>
    <x v="194"/>
    <x v="199"/>
    <s v="Associação Protectora dos Diabéticos de Portugal"/>
    <n v="500851875"/>
    <x v="182"/>
    <x v="12"/>
    <n v="58"/>
    <s v="33.1"/>
    <x v="1"/>
    <s v="Cliente"/>
    <n v="0"/>
    <n v="0"/>
    <s v="-"/>
    <x v="1"/>
    <s v="Telha e Sandwich"/>
    <x v="3"/>
    <m/>
    <s v="ACTIVE"/>
    <s v="João Pereira"/>
    <m/>
    <s v="joao.pereira@apdp.pt"/>
    <n v="966026086"/>
    <s v="-"/>
    <x v="4"/>
    <x v="1"/>
    <m/>
  </r>
  <r>
    <x v="195"/>
    <x v="200"/>
    <s v="Lar Sol &amp; Mar"/>
    <s v="508 543 959"/>
    <x v="183"/>
    <x v="13"/>
    <n v="140"/>
    <n v="80.5"/>
    <x v="1"/>
    <s v="Cliente"/>
    <n v="0"/>
    <n v="0"/>
    <s v="-"/>
    <x v="1"/>
    <s v="Lastre"/>
    <x v="3"/>
    <m/>
    <s v="ACTIVE"/>
    <s v="Helder Faria"/>
    <m/>
    <s v="Helder.Faria@energyco.pt"/>
    <n v="910240215"/>
    <s v="-"/>
    <x v="4"/>
    <x v="1"/>
    <m/>
  </r>
  <r>
    <x v="196"/>
    <x v="201"/>
    <s v="Barros CNC - Ântimo &amp; Barros"/>
    <n v="504198599"/>
    <x v="184"/>
    <x v="8"/>
    <n v="60"/>
    <n v="36"/>
    <x v="1"/>
    <s v="Cliente"/>
    <n v="0"/>
    <n v="0"/>
    <s v="-"/>
    <x v="1"/>
    <s v="Sandwich"/>
    <x v="3"/>
    <m/>
    <s v="ACTIVE"/>
    <s v="Rui Santos"/>
    <s v="Proprietário"/>
    <s v="rui.santos@barroscnc.pt"/>
    <n v="937827105"/>
    <s v="-"/>
    <x v="4"/>
    <x v="1"/>
    <m/>
  </r>
  <r>
    <x v="197"/>
    <x v="202"/>
    <s v="Associação Pró Cidadão Deficiente Integrado - Pessegueiro do Vouga"/>
    <n v="501665269"/>
    <x v="185"/>
    <x v="8"/>
    <n v="76"/>
    <n v="44.84"/>
    <x v="1"/>
    <s v="Cliente"/>
    <n v="0"/>
    <n v="0"/>
    <s v="-"/>
    <x v="1"/>
    <s v="Solo"/>
    <x v="3"/>
    <m/>
    <s v="ACTIVE"/>
    <s v="Anabela   Martins"/>
    <m/>
    <s v="anabela.martins@apcdi.pt"/>
    <s v="964753177/234 590 280"/>
    <s v="-"/>
    <x v="4"/>
    <x v="1"/>
    <m/>
  </r>
  <r>
    <x v="198"/>
    <x v="203"/>
    <s v="Associação Pró Cidadão Deficiente Integrado - Pessegueiro do Vouga"/>
    <n v="501665269"/>
    <x v="186"/>
    <x v="8"/>
    <n v="34"/>
    <n v="20.100000000000001"/>
    <x v="1"/>
    <s v="Cliente"/>
    <n v="0"/>
    <n v="0"/>
    <s v="-"/>
    <x v="1"/>
    <s v="Lastre/Zinco"/>
    <x v="3"/>
    <m/>
    <s v="ACTIVE"/>
    <s v="Anabela   Martins"/>
    <m/>
    <s v="anabela.martins@apcdi.pt"/>
    <s v="234 590 280"/>
    <s v="-"/>
    <x v="4"/>
    <x v="1"/>
    <m/>
  </r>
  <r>
    <x v="199"/>
    <x v="204"/>
    <s v="Colvi - Sociedade Agrícola LDA"/>
    <s v="506 769 291"/>
    <x v="187"/>
    <x v="16"/>
    <n v="128"/>
    <n v="75.52"/>
    <x v="1"/>
    <s v="Cliente"/>
    <n v="0"/>
    <n v="0"/>
    <s v="-"/>
    <x v="1"/>
    <s v="Solo"/>
    <x v="3"/>
    <m/>
    <s v="ACTIVE"/>
    <s v="José"/>
    <m/>
    <s v="josemanuelrosa123@hotmal.com"/>
    <n v="919700084"/>
    <s v="-"/>
    <x v="4"/>
    <x v="1"/>
    <m/>
  </r>
  <r>
    <x v="200"/>
    <x v="205"/>
    <s v="Associação Humanitária dos Bombeiros Voluntários de Camarate"/>
    <n v="501241230"/>
    <x v="188"/>
    <x v="12"/>
    <n v="40"/>
    <s v="22.8"/>
    <x v="0"/>
    <s v="Solcorelius"/>
    <n v="10"/>
    <n v="120"/>
    <d v="2026-01-02T00:00:00"/>
    <x v="0"/>
    <s v="Sandwich"/>
    <x v="3"/>
    <m/>
    <s v="ACTIVE"/>
    <m/>
    <m/>
    <s v="geral@ahbvcamarate.com"/>
    <m/>
    <d v="2036-01-02T00:00:00"/>
    <x v="6"/>
    <x v="0"/>
    <m/>
  </r>
  <r>
    <x v="201"/>
    <x v="206"/>
    <s v="Iber-Oleff - Componentes Tecnicos Em Plástico, S.A."/>
    <n v="503078212"/>
    <x v="189"/>
    <x v="3"/>
    <m/>
    <m/>
    <x v="1"/>
    <s v="Cliente"/>
    <n v="0"/>
    <n v="0"/>
    <m/>
    <x v="1"/>
    <m/>
    <x v="3"/>
    <m/>
    <s v="ON HOLD"/>
    <m/>
    <m/>
    <m/>
    <m/>
    <s v="-"/>
    <x v="4"/>
    <x v="1"/>
    <m/>
  </r>
  <r>
    <x v="202"/>
    <x v="207"/>
    <s v="Doceleia Doçaria Tradicional, Lda"/>
    <n v="262588317"/>
    <x v="190"/>
    <x v="3"/>
    <n v="383"/>
    <n v="226"/>
    <x v="1"/>
    <s v="Cliente"/>
    <n v="0"/>
    <n v="0"/>
    <m/>
    <x v="1"/>
    <s v="Sandwich"/>
    <x v="3"/>
    <m/>
    <s v="ACTIVE"/>
    <s v="Sara Oliveira"/>
    <s v="Gestora"/>
    <s v="saraoliveira@atrian.pt"/>
    <s v="911 709 490"/>
    <s v="-"/>
    <x v="4"/>
    <x v="1"/>
    <m/>
  </r>
  <r>
    <x v="203"/>
    <x v="208"/>
    <s v="Associação Humanitária dos Bombeiros Voluntários de Pinhal Novo"/>
    <n v="501237089"/>
    <x v="191"/>
    <x v="1"/>
    <n v="49"/>
    <s v="28.91"/>
    <x v="0"/>
    <s v="Solcorelius"/>
    <n v="10"/>
    <n v="120"/>
    <d v="2025-01-04T00:00:00"/>
    <x v="0"/>
    <s v="Telha"/>
    <x v="3"/>
    <m/>
    <s v="ACTIVE"/>
    <s v="Fernando das Dores António"/>
    <s v="Presidente da Direção"/>
    <s v="direcao@bvpinhalnovo.pt"/>
    <n v="919236838"/>
    <d v="2035-01-04T00:00:00"/>
    <x v="2"/>
    <x v="0"/>
    <s v="Foi se buscar duração do contrato"/>
  </r>
  <r>
    <x v="204"/>
    <x v="209"/>
    <s v="Associação Humanitária dos Bombeiros Voluntários de Lagos"/>
    <n v="501133267"/>
    <x v="192"/>
    <x v="13"/>
    <n v="72"/>
    <s v="42.48"/>
    <x v="1"/>
    <s v="Cliente"/>
    <n v="4"/>
    <n v="48"/>
    <d v="2025-03-03T00:00:00"/>
    <x v="0"/>
    <s v="Sandwich"/>
    <x v="7"/>
    <s v="4 anos de O&amp;M incluido com a venda"/>
    <s v="ACTIVE"/>
    <s v="Vera Gonçalves"/>
    <s v="Administrativo"/>
    <s v="secretaria@bvlagos.pt"/>
    <n v="968252355"/>
    <d v="2029-03-03T00:00:00"/>
    <x v="7"/>
    <x v="0"/>
    <m/>
  </r>
  <r>
    <x v="205"/>
    <x v="210"/>
    <s v="Centro Social Padre Jose Filipe Rodrigues"/>
    <n v="502377380"/>
    <x v="193"/>
    <x v="16"/>
    <n v="108"/>
    <n v="63.7"/>
    <x v="0"/>
    <s v="Solcorelius"/>
    <n v="10"/>
    <n v="120"/>
    <d v="2025-05-01T00:00:00"/>
    <x v="0"/>
    <s v="Telha"/>
    <x v="3"/>
    <m/>
    <s v="ACTIVE"/>
    <s v="David"/>
    <m/>
    <s v="financeiro@centrosocialzibreira.com"/>
    <s v="911148290_x000a_915323615"/>
    <d v="2035-05-01T00:00:00"/>
    <x v="2"/>
    <x v="0"/>
    <m/>
  </r>
  <r>
    <x v="206"/>
    <x v="211"/>
    <s v="Biocaracol"/>
    <n v="503894303"/>
    <x v="194"/>
    <x v="3"/>
    <n v="36"/>
    <n v="21.2"/>
    <x v="1"/>
    <s v="Cliente"/>
    <n v="0"/>
    <n v="0"/>
    <m/>
    <x v="1"/>
    <s v="Sandwich"/>
    <x v="3"/>
    <m/>
    <s v="ACTIVE"/>
    <s v="Paulo"/>
    <s v="Gerente"/>
    <s v="infobiocaracol@gmail.com"/>
    <n v="917253231"/>
    <s v="-"/>
    <x v="4"/>
    <x v="1"/>
    <m/>
  </r>
  <r>
    <x v="207"/>
    <x v="212"/>
    <s v="Hotel Praia Dos Salgados - Invest. E Explorações Turísticas, S.A"/>
    <n v="503756075"/>
    <x v="195"/>
    <x v="13"/>
    <n v="240"/>
    <n v="141.6"/>
    <x v="1"/>
    <s v="Cliente"/>
    <n v="0"/>
    <n v="0"/>
    <m/>
    <x v="1"/>
    <s v="Carport"/>
    <x v="3"/>
    <m/>
    <s v="ACTIVE"/>
    <s v="Ruben"/>
    <m/>
    <s v="ruben.vieiira@regencysalgados.com"/>
    <n v="961897396"/>
    <s v="-"/>
    <x v="4"/>
    <x v="1"/>
    <m/>
  </r>
  <r>
    <x v="208"/>
    <x v="213"/>
    <s v="VCMC - Indústria de Cozinhas Lda."/>
    <n v="516376560"/>
    <x v="196"/>
    <x v="9"/>
    <n v="192"/>
    <n v="113.3"/>
    <x v="1"/>
    <s v="Cliente"/>
    <n v="0"/>
    <n v="0"/>
    <m/>
    <x v="1"/>
    <s v="Sandwich"/>
    <x v="3"/>
    <m/>
    <s v="ACTIVE"/>
    <s v="Vitor Coelho"/>
    <s v="Gerente"/>
    <s v="vi-coelho@hotmail.com"/>
    <s v="+41 76 398 47 48"/>
    <s v="-"/>
    <x v="4"/>
    <x v="1"/>
    <m/>
  </r>
  <r>
    <x v="209"/>
    <x v="214"/>
    <s v="Lourinha &amp; Filhos, Lda"/>
    <n v="501951334"/>
    <x v="197"/>
    <x v="1"/>
    <n v="72"/>
    <n v="42.5"/>
    <x v="1"/>
    <s v="Cliente"/>
    <n v="0"/>
    <n v="0"/>
    <m/>
    <x v="1"/>
    <s v="Solo"/>
    <x v="3"/>
    <m/>
    <s v="ACTIVE"/>
    <s v="José Lourinha"/>
    <s v="Gerente"/>
    <s v="lourinha-marques@hotmail.com"/>
    <n v="933906607"/>
    <s v="-"/>
    <x v="4"/>
    <x v="1"/>
    <m/>
  </r>
  <r>
    <x v="210"/>
    <x v="215"/>
    <s v="Mitromol - Metalomecânica, Lda"/>
    <s v="503 441 880"/>
    <x v="198"/>
    <x v="1"/>
    <n v="60"/>
    <n v="35.4"/>
    <x v="0"/>
    <s v="Solcorelius"/>
    <n v="10"/>
    <n v="120"/>
    <m/>
    <x v="1"/>
    <s v="Chapa ou Sandwich"/>
    <x v="3"/>
    <m/>
    <s v="CANCELLED"/>
    <s v="Patrícia Alexandra Campos Morgado "/>
    <s v="Gerente"/>
    <s v=" mitromol@gmail.com"/>
    <n v="926031844"/>
    <s v="-"/>
    <x v="4"/>
    <x v="1"/>
    <m/>
  </r>
  <r>
    <x v="211"/>
    <x v="216"/>
    <s v="Alirações - Rações para Animais, Sa"/>
    <n v="503843814"/>
    <x v="199"/>
    <x v="12"/>
    <n v="281"/>
    <n v="164"/>
    <x v="1"/>
    <s v="Cliente"/>
    <n v="0"/>
    <n v="0"/>
    <m/>
    <x v="1"/>
    <s v="Sandwich"/>
    <x v="3"/>
    <m/>
    <s v="ACTIVE"/>
    <s v="Hugo"/>
    <s v="Gerente"/>
    <s v="hsf@grupoali.pt"/>
    <n v="936718412"/>
    <s v="-"/>
    <x v="4"/>
    <x v="1"/>
    <m/>
  </r>
  <r>
    <x v="212"/>
    <x v="217"/>
    <s v="Estevão Luís Salvado"/>
    <n v="502786639"/>
    <x v="200"/>
    <x v="12"/>
    <n v="730"/>
    <n v="441.65"/>
    <x v="1"/>
    <s v="Cliente"/>
    <n v="0"/>
    <n v="0"/>
    <m/>
    <x v="1"/>
    <s v="Sandwich"/>
    <x v="3"/>
    <m/>
    <s v="ACTIVE"/>
    <m/>
    <m/>
    <m/>
    <m/>
    <s v="-"/>
    <x v="4"/>
    <x v="1"/>
    <m/>
  </r>
  <r>
    <x v="213"/>
    <x v="218"/>
    <s v="Midalpa - Mobiliário e Decoração, Lda."/>
    <n v="514851317"/>
    <x v="201"/>
    <x v="21"/>
    <n v="28"/>
    <n v="15"/>
    <x v="1"/>
    <s v="Cliente"/>
    <n v="1"/>
    <n v="12"/>
    <d v="2026-03-02T00:00:00"/>
    <x v="0"/>
    <s v="Sandwich"/>
    <x v="8"/>
    <s v="1 ano de O&amp;M incluido com a venda"/>
    <s v="ACTIVE"/>
    <s v="Patricia Gaspar"/>
    <s v="Engenheira"/>
    <s v="contact@midalpa.com"/>
    <n v="938637661"/>
    <d v="2027-03-02T00:00:00"/>
    <x v="5"/>
    <x v="0"/>
    <s v="não sei data de inicio de contrato"/>
  </r>
  <r>
    <x v="214"/>
    <x v="219"/>
    <s v="Douropão - Agrup. Pan. Paivense"/>
    <n v="500342660"/>
    <x v="202"/>
    <x v="8"/>
    <m/>
    <m/>
    <x v="1"/>
    <s v="Cliente"/>
    <n v="0"/>
    <n v="0"/>
    <m/>
    <x v="1"/>
    <s v="Sandwich + carport"/>
    <x v="3"/>
    <m/>
    <s v="ACTIVE"/>
    <s v="Rui "/>
    <m/>
    <s v="douropao@gmail.com"/>
    <m/>
    <s v="-"/>
    <x v="4"/>
    <x v="1"/>
    <m/>
  </r>
  <r>
    <x v="215"/>
    <x v="220"/>
    <s v="Centro Social e Recreativo e Cultural da Maceira"/>
    <n v="501066314"/>
    <x v="203"/>
    <x v="3"/>
    <n v="51"/>
    <n v="29.8"/>
    <x v="1"/>
    <s v="Cliente"/>
    <n v="0"/>
    <n v="0"/>
    <m/>
    <x v="1"/>
    <s v="Sandwich"/>
    <x v="1"/>
    <m/>
    <s v="ACTIVE"/>
    <s v="Juvenal"/>
    <m/>
    <s v="geral@vidamaior.pt"/>
    <n v="965184560"/>
    <s v="-"/>
    <x v="4"/>
    <x v="1"/>
    <m/>
  </r>
  <r>
    <x v="216"/>
    <x v="221"/>
    <s v="8ª Avenida - Centro Comercial - Sic Imobiliária Fechada, S.A"/>
    <n v="506282201"/>
    <x v="204"/>
    <x v="8"/>
    <n v="1044"/>
    <n v="642.05999999999995"/>
    <x v="1"/>
    <s v="Cliente"/>
    <n v="1"/>
    <n v="12"/>
    <d v="2025-09-10T00:00:00"/>
    <x v="0"/>
    <s v="Cobertura Plana"/>
    <x v="8"/>
    <s v="2 anos de Manutenção preventiva e limpeza (2026 e 2027). Sem monitorização"/>
    <s v="ACTIVE"/>
    <s v="Marta Gebelli (Sunbird)"/>
    <s v="Project developer"/>
    <s v="marta@sunbird.eu"/>
    <s v="+34 689276460"/>
    <d v="2026-09-10T00:00:00"/>
    <x v="0"/>
    <x v="0"/>
    <m/>
  </r>
  <r>
    <x v="217"/>
    <x v="222"/>
    <s v="Farmácia Santana"/>
    <n v="507399870"/>
    <x v="205"/>
    <x v="0"/>
    <n v="34"/>
    <n v="20.100000000000001"/>
    <x v="1"/>
    <s v="Cliente"/>
    <n v="0"/>
    <n v="0"/>
    <m/>
    <x v="1"/>
    <s v="Sandwich"/>
    <x v="3"/>
    <m/>
    <s v="ACTIVE"/>
    <s v="Bernardo Loureiro"/>
    <m/>
    <s v="geral@farmaciasantana.com.pt"/>
    <n v="914290808"/>
    <s v="-"/>
    <x v="4"/>
    <x v="1"/>
    <m/>
  </r>
  <r>
    <x v="218"/>
    <x v="223"/>
    <s v="Use and Reuse, Lda"/>
    <n v="515353094"/>
    <x v="206"/>
    <x v="21"/>
    <n v="103"/>
    <n v="60.25"/>
    <x v="1"/>
    <s v="Cliente"/>
    <n v="0"/>
    <n v="0"/>
    <m/>
    <x v="2"/>
    <s v="Sandwich"/>
    <x v="1"/>
    <m/>
    <s v="ACTIVE"/>
    <s v="Luis Ramos"/>
    <m/>
    <s v="luis.ramos@useandreuse.pt"/>
    <n v="911748832"/>
    <s v="-"/>
    <x v="4"/>
    <x v="1"/>
    <m/>
  </r>
  <r>
    <x v="219"/>
    <x v="224"/>
    <s v="Quinta da Formiga - condomínio"/>
    <n v="513298037"/>
    <x v="207"/>
    <x v="35"/>
    <n v="36"/>
    <n v="21.2"/>
    <x v="1"/>
    <s v="Cliente"/>
    <n v="0"/>
    <n v="0"/>
    <m/>
    <x v="1"/>
    <m/>
    <x v="3"/>
    <m/>
    <s v="ACTIVE"/>
    <s v="Nuno Ramalho"/>
    <m/>
    <s v="quintadaformiga@gmail.com"/>
    <n v="927424914"/>
    <s v="-"/>
    <x v="4"/>
    <x v="1"/>
    <m/>
  </r>
  <r>
    <x v="220"/>
    <x v="225"/>
    <m/>
    <m/>
    <x v="38"/>
    <x v="5"/>
    <m/>
    <m/>
    <x v="1"/>
    <s v="Cliente"/>
    <m/>
    <n v="0"/>
    <m/>
    <x v="1"/>
    <m/>
    <x v="3"/>
    <m/>
    <s v="ON HOLD"/>
    <m/>
    <m/>
    <m/>
    <m/>
    <s v="-"/>
    <x v="4"/>
    <x v="1"/>
    <m/>
  </r>
  <r>
    <x v="221"/>
    <x v="226"/>
    <m/>
    <m/>
    <x v="38"/>
    <x v="5"/>
    <m/>
    <m/>
    <x v="1"/>
    <s v="Cliente"/>
    <m/>
    <n v="0"/>
    <m/>
    <x v="1"/>
    <m/>
    <x v="3"/>
    <m/>
    <s v="ON HOLD"/>
    <m/>
    <m/>
    <m/>
    <m/>
    <s v="-"/>
    <x v="4"/>
    <x v="1"/>
    <m/>
  </r>
  <r>
    <x v="222"/>
    <x v="227"/>
    <s v="Helear Investimentos Hoteleiros Sa"/>
    <n v="504223054"/>
    <x v="208"/>
    <x v="13"/>
    <m/>
    <n v="56.2"/>
    <x v="1"/>
    <s v="Cliente"/>
    <n v="0"/>
    <n v="0"/>
    <m/>
    <x v="1"/>
    <s v="Solo"/>
    <x v="4"/>
    <m/>
    <s v="ACTIVE"/>
    <s v="Roger van Poyer"/>
    <m/>
    <s v="roger@vanpoyer.pt"/>
    <s v="969 011 049"/>
    <s v="-"/>
    <x v="4"/>
    <x v="1"/>
    <m/>
  </r>
  <r>
    <x v="223"/>
    <x v="228"/>
    <s v="Associação Viver Telheiras - Centro de Convergência de Telheiras"/>
    <n v="510510507"/>
    <x v="209"/>
    <x v="12"/>
    <n v="44"/>
    <n v="25.7"/>
    <x v="1"/>
    <s v="Cliente"/>
    <n v="0"/>
    <n v="0"/>
    <m/>
    <x v="1"/>
    <s v="Sandwich"/>
    <x v="1"/>
    <m/>
    <s v="ACTIVE"/>
    <s v="Miguel"/>
    <m/>
    <s v="m.sequeira@campus.fct.unl.pt"/>
    <n v="917769900"/>
    <s v="-"/>
    <x v="4"/>
    <x v="1"/>
    <m/>
  </r>
  <r>
    <x v="224"/>
    <x v="229"/>
    <s v="Lopal Agricultura e Pecuária SA"/>
    <n v="501936270"/>
    <x v="210"/>
    <x v="2"/>
    <m/>
    <n v="23.6"/>
    <x v="1"/>
    <s v="Cliente"/>
    <n v="0"/>
    <n v="0"/>
    <m/>
    <x v="1"/>
    <m/>
    <x v="3"/>
    <m/>
    <s v="ACTIVE"/>
    <s v="António"/>
    <m/>
    <s v="lopal.tourega@gmail.com"/>
    <s v="91 935 03 45"/>
    <s v="-"/>
    <x v="4"/>
    <x v="1"/>
    <m/>
  </r>
  <r>
    <x v="225"/>
    <x v="230"/>
    <s v="Centro de Bem Estar Social de Minde"/>
    <s v="501 186 077"/>
    <x v="211"/>
    <x v="16"/>
    <n v="125"/>
    <n v="71.98"/>
    <x v="1"/>
    <s v="Cliente"/>
    <n v="0"/>
    <n v="0"/>
    <m/>
    <x v="1"/>
    <s v="Telha"/>
    <x v="1"/>
    <m/>
    <s v="ACTIVE"/>
    <s v="Antonio"/>
    <s v="Presidente"/>
    <s v="centro.social.minde@gmail.com/antonio.branco65@gmail.com"/>
    <n v="968033371"/>
    <s v="-"/>
    <x v="4"/>
    <x v="1"/>
    <m/>
  </r>
  <r>
    <x v="226"/>
    <x v="231"/>
    <s v="Bruno Miguel Rodrigues Carvalho"/>
    <n v="262544636"/>
    <x v="212"/>
    <x v="3"/>
    <n v="128"/>
    <n v="76.8"/>
    <x v="1"/>
    <s v="Cliente"/>
    <n v="0"/>
    <n v="0"/>
    <m/>
    <x v="1"/>
    <s v="Solo"/>
    <x v="9"/>
    <m/>
    <s v="ACTIVE"/>
    <s v="Bruno"/>
    <m/>
    <s v="brunomr88.carvalho@gmail.com"/>
    <n v="913529673"/>
    <s v="-"/>
    <x v="4"/>
    <x v="1"/>
    <m/>
  </r>
  <r>
    <x v="227"/>
    <x v="232"/>
    <m/>
    <m/>
    <x v="38"/>
    <x v="5"/>
    <m/>
    <m/>
    <x v="3"/>
    <s v=""/>
    <m/>
    <n v="0"/>
    <m/>
    <x v="1"/>
    <m/>
    <x v="3"/>
    <m/>
    <s v="ON HOLD"/>
    <m/>
    <m/>
    <m/>
    <m/>
    <s v="-"/>
    <x v="4"/>
    <x v="1"/>
    <m/>
  </r>
  <r>
    <x v="228"/>
    <x v="233"/>
    <m/>
    <m/>
    <x v="38"/>
    <x v="5"/>
    <m/>
    <m/>
    <x v="3"/>
    <s v=""/>
    <m/>
    <n v="0"/>
    <m/>
    <x v="1"/>
    <m/>
    <x v="3"/>
    <m/>
    <s v="ON HOLD"/>
    <m/>
    <m/>
    <m/>
    <m/>
    <s v="-"/>
    <x v="4"/>
    <x v="1"/>
    <m/>
  </r>
  <r>
    <x v="229"/>
    <x v="234"/>
    <m/>
    <n v="501428674"/>
    <x v="213"/>
    <x v="9"/>
    <n v="74"/>
    <n v="42.5"/>
    <x v="1"/>
    <s v="Cliente"/>
    <n v="0"/>
    <n v="0"/>
    <m/>
    <x v="1"/>
    <s v="Sandwich"/>
    <x v="1"/>
    <m/>
    <s v="ACTIVE"/>
    <s v="David Monteiro"/>
    <s v="2.º Comandante"/>
    <s v="secretariacomando@bombeirosvilamea.pt"/>
    <s v="255732222 / 255733222 "/>
    <s v="-"/>
    <x v="4"/>
    <x v="1"/>
    <m/>
  </r>
  <r>
    <x v="230"/>
    <x v="235"/>
    <s v="Bomflex - Sociedade Industrial De Fabrico De Colchões, S.A"/>
    <n v="502283769"/>
    <x v="214"/>
    <x v="12"/>
    <m/>
    <m/>
    <x v="1"/>
    <s v="Cliente"/>
    <n v="0"/>
    <n v="0"/>
    <m/>
    <x v="1"/>
    <m/>
    <x v="3"/>
    <m/>
    <s v="ON HOLD"/>
    <s v="Rodrigo"/>
    <m/>
    <s v="geral@bomflex.pt"/>
    <s v=" 261 321 041"/>
    <s v="-"/>
    <x v="4"/>
    <x v="1"/>
    <m/>
  </r>
  <r>
    <x v="231"/>
    <x v="236"/>
    <s v="Luxflor importação e exportação de flores, lda"/>
    <n v="507578953"/>
    <x v="215"/>
    <x v="1"/>
    <n v="60"/>
    <n v="35.1"/>
    <x v="1"/>
    <s v="Cliente"/>
    <n v="0"/>
    <n v="0"/>
    <m/>
    <x v="1"/>
    <s v="Autoportante"/>
    <x v="1"/>
    <m/>
    <s v="ACTIVE"/>
    <s v="Hugo Ferrão"/>
    <m/>
    <s v="info@luxflor.pt"/>
    <n v="916994345"/>
    <s v="-"/>
    <x v="4"/>
    <x v="1"/>
    <m/>
  </r>
  <r>
    <x v="232"/>
    <x v="237"/>
    <s v="Oasis Elastomers Industrial Lda"/>
    <n v="517087510"/>
    <x v="216"/>
    <x v="12"/>
    <m/>
    <m/>
    <x v="1"/>
    <s v="Cliente"/>
    <n v="0"/>
    <n v="0"/>
    <m/>
    <x v="1"/>
    <m/>
    <x v="3"/>
    <m/>
    <s v="ACTIVE"/>
    <s v="Ana Pereira"/>
    <m/>
    <s v="ana.pereira@oasiselastomers.com"/>
    <s v="935074882/219671327"/>
    <s v="-"/>
    <x v="4"/>
    <x v="1"/>
    <m/>
  </r>
  <r>
    <x v="233"/>
    <x v="238"/>
    <m/>
    <m/>
    <x v="38"/>
    <x v="5"/>
    <m/>
    <m/>
    <x v="3"/>
    <s v=""/>
    <m/>
    <n v="0"/>
    <m/>
    <x v="1"/>
    <m/>
    <x v="3"/>
    <m/>
    <s v="ON HOLD"/>
    <m/>
    <m/>
    <m/>
    <m/>
    <s v="-"/>
    <x v="4"/>
    <x v="1"/>
    <m/>
  </r>
  <r>
    <x v="234"/>
    <x v="239"/>
    <s v="Azora Store"/>
    <n v="513172513"/>
    <x v="217"/>
    <x v="12"/>
    <n v="66"/>
    <m/>
    <x v="1"/>
    <s v="Cliente"/>
    <n v="4"/>
    <n v="48"/>
    <d v="2025-12-12T00:00:00"/>
    <x v="0"/>
    <s v="Sandwich"/>
    <x v="7"/>
    <m/>
    <s v="ACTIVE"/>
    <s v="Lucas Oliveira/Oleksandr"/>
    <m/>
    <s v="lucas.oliveira@azora.pt/mishenkyn@gmail.com"/>
    <s v="964 067 643 / 918 888 812"/>
    <d v="2029-12-12T00:00:00"/>
    <x v="7"/>
    <x v="0"/>
    <m/>
  </r>
  <r>
    <x v="235"/>
    <x v="240"/>
    <m/>
    <m/>
    <x v="218"/>
    <x v="5"/>
    <m/>
    <m/>
    <x v="3"/>
    <s v=""/>
    <m/>
    <n v="0"/>
    <m/>
    <x v="1"/>
    <m/>
    <x v="3"/>
    <m/>
    <s v="ACTIVE"/>
    <m/>
    <m/>
    <m/>
    <m/>
    <s v="-"/>
    <x v="4"/>
    <x v="1"/>
    <m/>
  </r>
  <r>
    <x v="236"/>
    <x v="241"/>
    <s v="M.I. - Madeiras Importadas, Unipessoal, Lda "/>
    <n v="197113583"/>
    <x v="219"/>
    <x v="35"/>
    <n v="24"/>
    <m/>
    <x v="1"/>
    <s v="Cliente"/>
    <m/>
    <n v="0"/>
    <m/>
    <x v="1"/>
    <s v="Sandwich"/>
    <x v="1"/>
    <m/>
    <s v="ACTIVE"/>
    <s v="Susanne Anreiter"/>
    <m/>
    <s v="geral@madeirasimportadas.com"/>
    <s v="966 927 812"/>
    <s v="-"/>
    <x v="4"/>
    <x v="1"/>
    <m/>
  </r>
  <r>
    <x v="237"/>
    <x v="242"/>
    <s v="PROVÍNCIA PORTUGUESA DO INSTITUTO DAS IRMÃS DE SANTA DOROTEIA "/>
    <n v="500731179"/>
    <x v="220"/>
    <x v="9"/>
    <n v="168"/>
    <n v="98.28"/>
    <x v="0"/>
    <s v="Solcorelius"/>
    <m/>
    <n v="0"/>
    <m/>
    <x v="1"/>
    <s v="Sandwich"/>
    <x v="1"/>
    <m/>
    <s v="ON HOLD"/>
    <s v="Pedro Maria Magalhães/Maria Teresa Magalhaes Ferreira"/>
    <m/>
    <s v="pedromagalhaes@colegiodapaz.org / economato.ssd@sapo.pt"/>
    <s v=" 965 022 509"/>
    <s v="-"/>
    <x v="4"/>
    <x v="1"/>
    <m/>
  </r>
  <r>
    <x v="238"/>
    <x v="243"/>
    <s v="Quinta da Feteira - Restauração e Organização de festas e eventos Lda"/>
    <n v="50658710"/>
    <x v="221"/>
    <x v="16"/>
    <n v="98"/>
    <n v="57.33"/>
    <x v="1"/>
    <s v="Cliente"/>
    <m/>
    <n v="0"/>
    <m/>
    <x v="1"/>
    <s v="Autoportante"/>
    <x v="3"/>
    <m/>
    <s v="ON HOLD"/>
    <s v="Ricardo Oliveira"/>
    <m/>
    <s v="geral@quintadafeteira.pt"/>
    <s v="967901440 / 243241015"/>
    <s v="-"/>
    <x v="4"/>
    <x v="1"/>
    <m/>
  </r>
  <r>
    <x v="239"/>
    <x v="244"/>
    <s v="Legado do Caixeiro Alentejano - Associação Mutualista"/>
    <n v="500877386"/>
    <x v="222"/>
    <x v="2"/>
    <n v="128"/>
    <n v="74.88"/>
    <x v="0"/>
    <s v="Solcorelius"/>
    <n v="15"/>
    <n v="180"/>
    <d v="2026-01-01T00:00:00"/>
    <x v="0"/>
    <s v="Telha"/>
    <x v="1"/>
    <m/>
    <s v="ACTIVE"/>
    <s v="Hugo Casco"/>
    <m/>
    <s v="legado@mail.telepac.pt "/>
    <n v="925765741"/>
    <d v="2041-01-01T00:00:00"/>
    <x v="8"/>
    <x v="0"/>
    <m/>
  </r>
  <r>
    <x v="240"/>
    <x v="245"/>
    <s v="Centro de Bem Estar Social de Minde"/>
    <s v="501 186 077"/>
    <x v="211"/>
    <x v="40"/>
    <n v="28"/>
    <n v="16.38"/>
    <x v="1"/>
    <s v="Cliente"/>
    <m/>
    <n v="0"/>
    <m/>
    <x v="1"/>
    <m/>
    <x v="3"/>
    <m/>
    <s v="ON HOLD"/>
    <s v="Antonio"/>
    <s v="Presidente"/>
    <s v="centro.social.minde@gmail.com/antonio.branco65@gmail.com"/>
    <n v="968033371"/>
    <s v="-"/>
    <x v="4"/>
    <x v="1"/>
    <m/>
  </r>
  <r>
    <x v="241"/>
    <x v="246"/>
    <s v="Associação Humanitária de Bombeiros de Palmela"/>
    <n v="501163905"/>
    <x v="223"/>
    <x v="1"/>
    <n v="41"/>
    <n v="23.99"/>
    <x v="1"/>
    <s v="Cliente"/>
    <m/>
    <n v="0"/>
    <m/>
    <x v="1"/>
    <s v="Lastre"/>
    <x v="3"/>
    <m/>
    <s v="ON HOLD"/>
    <s v="Carlos Valente / Miguel Pereira"/>
    <s v="Presidente / Vice-Presidente"/>
    <s v="carlos.valente@bombeirospalmela.pt / miguel.pereira@bombeirospalmela.pt"/>
    <s v="919190820 / 962618225 "/>
    <s v="-"/>
    <x v="4"/>
    <x v="1"/>
    <m/>
  </r>
  <r>
    <x v="242"/>
    <x v="247"/>
    <m/>
    <m/>
    <x v="38"/>
    <x v="5"/>
    <m/>
    <m/>
    <x v="3"/>
    <s v=""/>
    <m/>
    <n v="0"/>
    <m/>
    <x v="1"/>
    <m/>
    <x v="3"/>
    <m/>
    <s v="ON HOLD"/>
    <m/>
    <m/>
    <m/>
    <m/>
    <s v="-"/>
    <x v="4"/>
    <x v="1"/>
    <m/>
  </r>
  <r>
    <x v="243"/>
    <x v="248"/>
    <s v="Centro Comercial El Faro"/>
    <s v="H-06622419"/>
    <x v="224"/>
    <x v="42"/>
    <n v="90"/>
    <n v="52.2"/>
    <x v="1"/>
    <s v="Cliente"/>
    <n v="2"/>
    <n v="24"/>
    <d v="2025-12-05T00:00:00"/>
    <x v="0"/>
    <s v="Cobertura Plana"/>
    <x v="8"/>
    <s v="No final de 2025: realização do onbording da instalação (Verificações AC -&gt; tensões, DC -&gt; tensões, isolamento e continuidade; termografia; filmagens de drone; fixação da estrutura)_x000a_2026: será feita a limpeza._x000a_2027: Limpeza e manutenção preventiva_x000a_Sem monitorização"/>
    <s v="ACTIVE"/>
    <s v="Marta Gebelli (Sunbird)"/>
    <s v="Project developer"/>
    <s v="marta@sunbird.eu"/>
    <s v="+34 689276460"/>
    <d v="2027-12-05T00:00:00"/>
    <x v="5"/>
    <x v="0"/>
    <m/>
  </r>
  <r>
    <x v="243"/>
    <x v="249"/>
    <s v="Centro Comercial El Faro"/>
    <s v="H-06622419"/>
    <x v="224"/>
    <x v="42"/>
    <n v="910"/>
    <n v="532.4"/>
    <x v="1"/>
    <s v="Cliente"/>
    <n v="2"/>
    <n v="24"/>
    <d v="2025-12-05T00:00:00"/>
    <x v="0"/>
    <s v="Cobertura Plana"/>
    <x v="8"/>
    <s v="No final de 2025: realização do onbording da instalação (Verificações AC -&gt; tensões, DC -&gt; tensões, isolamento e continuidade; termografia; filmagens de drone; fixação da estrutura)_x000a_2026: será feita a limpeza._x000a_2027: Limpeza e manutenção preventiva_x000a_Sem monitorização"/>
    <s v="ACTIVE"/>
    <s v="Marta Gebelli (Sunbird)"/>
    <s v="Project developer"/>
    <s v="marta@sunbird.eu"/>
    <s v="+34 689276460"/>
    <d v="2027-12-05T00:00:00"/>
    <x v="5"/>
    <x v="0"/>
    <m/>
  </r>
  <r>
    <x v="243"/>
    <x v="250"/>
    <s v="Centro Comercial El Faro"/>
    <s v="H-06622419"/>
    <x v="224"/>
    <x v="42"/>
    <n v="1155"/>
    <n v="282.54000000000002"/>
    <x v="1"/>
    <s v="Cliente"/>
    <n v="2"/>
    <n v="24"/>
    <d v="2025-12-05T00:00:00"/>
    <x v="0"/>
    <s v="Cobertura Plana"/>
    <x v="8"/>
    <s v="No final de 2025: realização do onbording da instalação (Verificações AC -&gt; tensões, DC -&gt; tensões, isolamento e continuidade; termografia; filmagens de drone; fixação da estrutura)_x000a_2026: será feita a limpeza._x000a_2027: Limpeza e manutenção preventiva_x000a_Sem monitorização"/>
    <s v="ACTIVE"/>
    <s v="Marta Gebelli (Sunbird)"/>
    <s v="Project developer"/>
    <s v="marta@sunbird.eu"/>
    <s v="+34 689276460"/>
    <d v="2027-12-05T00:00:00"/>
    <x v="5"/>
    <x v="0"/>
    <m/>
  </r>
  <r>
    <x v="244"/>
    <x v="251"/>
    <s v="Jetesetecar - Equipamentos Auto Lda"/>
    <n v="503194387"/>
    <x v="48"/>
    <x v="20"/>
    <m/>
    <m/>
    <x v="0"/>
    <s v="Solcorelios"/>
    <n v="15"/>
    <n v="180"/>
    <m/>
    <x v="0"/>
    <s v="Sandwich"/>
    <x v="2"/>
    <m/>
    <s v="ACTIVE"/>
    <s v="Adelino da Costa Sá_x000a_Pedro Santos"/>
    <s v="Gerente"/>
    <s v="pedro.santos@jetesetecar.com"/>
    <n v="913385462"/>
    <s v=""/>
    <x v="4"/>
    <x v="1"/>
    <m/>
  </r>
  <r>
    <x v="245"/>
    <x v="252"/>
    <m/>
    <m/>
    <x v="38"/>
    <x v="5"/>
    <m/>
    <m/>
    <x v="3"/>
    <s v=""/>
    <m/>
    <n v="0"/>
    <m/>
    <x v="1"/>
    <m/>
    <x v="3"/>
    <m/>
    <m/>
    <m/>
    <m/>
    <m/>
    <m/>
    <s v="-"/>
    <x v="4"/>
    <x v="1"/>
    <m/>
  </r>
  <r>
    <x v="246"/>
    <x v="229"/>
    <s v="Lopal Agricultura e Pecuária SA"/>
    <n v="501936270"/>
    <x v="210"/>
    <x v="2"/>
    <m/>
    <n v="23.6"/>
    <x v="1"/>
    <s v="Cliente"/>
    <n v="0"/>
    <n v="0"/>
    <m/>
    <x v="1"/>
    <m/>
    <x v="3"/>
    <m/>
    <s v="ACTIVE"/>
    <s v="António"/>
    <m/>
    <s v="lopal.tourega@gmail.com"/>
    <s v="91 935 03 45"/>
    <s v="-"/>
    <x v="4"/>
    <x v="1"/>
    <m/>
  </r>
  <r>
    <x v="247"/>
    <x v="253"/>
    <s v="Expertcom"/>
    <n v="514306769"/>
    <x v="225"/>
    <x v="9"/>
    <n v="283"/>
    <n v="165.56"/>
    <x v="0"/>
    <s v="Solcorelius"/>
    <n v="10"/>
    <n v="120"/>
    <m/>
    <x v="1"/>
    <s v="Sandwich"/>
    <x v="1"/>
    <m/>
    <m/>
    <s v="Carlos Correia_x000a_Sérgio Costa"/>
    <s v="Gerentes"/>
    <s v="geral@expertcom.pt"/>
    <s v="917 625 500_x000a_916 384 141"/>
    <s v="-"/>
    <x v="4"/>
    <x v="1"/>
    <m/>
  </r>
  <r>
    <x v="248"/>
    <x v="254"/>
    <s v="Agrocate LDA"/>
    <n v="513818812"/>
    <x v="226"/>
    <x v="13"/>
    <m/>
    <m/>
    <x v="1"/>
    <s v="Cliente"/>
    <m/>
    <n v="0"/>
    <m/>
    <x v="1"/>
    <s v="Solo"/>
    <x v="4"/>
    <m/>
    <m/>
    <m/>
    <m/>
    <m/>
    <m/>
    <s v="-"/>
    <x v="4"/>
    <x v="1"/>
    <m/>
  </r>
  <r>
    <x v="249"/>
    <x v="255"/>
    <s v="Nuvem Maravilha Lda"/>
    <n v="510306659"/>
    <x v="227"/>
    <x v="13"/>
    <m/>
    <m/>
    <x v="3"/>
    <s v=""/>
    <m/>
    <n v="0"/>
    <m/>
    <x v="1"/>
    <s v="Autoportante"/>
    <x v="1"/>
    <m/>
    <m/>
    <m/>
    <m/>
    <m/>
    <m/>
    <s v="-"/>
    <x v="4"/>
    <x v="1"/>
    <m/>
  </r>
  <r>
    <x v="250"/>
    <x v="256"/>
    <s v="Hotel Falésia SGPS Lda"/>
    <n v="505523337"/>
    <x v="228"/>
    <x v="13"/>
    <m/>
    <m/>
    <x v="3"/>
    <s v=""/>
    <m/>
    <n v="0"/>
    <m/>
    <x v="1"/>
    <s v="Sandwich + Carpark"/>
    <x v="4"/>
    <m/>
    <m/>
    <s v="Miguel Silva"/>
    <s v="Operacional"/>
    <s v="miguel.silva@falesia.com"/>
    <s v="966 526 543"/>
    <s v="-"/>
    <x v="4"/>
    <x v="1"/>
    <m/>
  </r>
  <r>
    <x v="251"/>
    <x v="257"/>
    <s v="Number two Lda"/>
    <n v="500752613"/>
    <x v="229"/>
    <x v="1"/>
    <m/>
    <m/>
    <x v="3"/>
    <s v=""/>
    <m/>
    <n v="0"/>
    <m/>
    <x v="1"/>
    <m/>
    <x v="3"/>
    <m/>
    <m/>
    <s v="Vitor Marques"/>
    <m/>
    <s v="vmarques@ntwo.pt"/>
    <s v="918 100 255 "/>
    <s v="-"/>
    <x v="4"/>
    <x v="1"/>
    <m/>
  </r>
  <r>
    <x v="252"/>
    <x v="258"/>
    <s v="Hotel Falésia SGPS Lda"/>
    <n v="505523337"/>
    <x v="228"/>
    <x v="13"/>
    <m/>
    <m/>
    <x v="3"/>
    <s v=""/>
    <m/>
    <n v="0"/>
    <m/>
    <x v="1"/>
    <s v="Sandwich + Carpark"/>
    <x v="4"/>
    <m/>
    <m/>
    <s v="Miguel Silva"/>
    <s v="Operacional"/>
    <s v="miguel.silva@falesia.com"/>
    <s v="966 526 543"/>
    <s v="-"/>
    <x v="4"/>
    <x v="1"/>
    <m/>
  </r>
  <r>
    <x v="253"/>
    <x v="259"/>
    <s v="Hotel Falésia SGPS Lda"/>
    <n v="510721931"/>
    <x v="230"/>
    <x v="12"/>
    <m/>
    <m/>
    <x v="3"/>
    <s v=""/>
    <m/>
    <n v="0"/>
    <m/>
    <x v="1"/>
    <m/>
    <x v="3"/>
    <m/>
    <m/>
    <s v="Miguel Silva"/>
    <s v="Operacional"/>
    <s v="miguel.silva@falesia.com"/>
    <s v="966 526 543"/>
    <s v="-"/>
    <x v="4"/>
    <x v="1"/>
    <m/>
  </r>
  <r>
    <x v="254"/>
    <x v="260"/>
    <s v="Associação Humanitária de Bombeiros Voluntários da Amadora"/>
    <n v="500910138"/>
    <x v="231"/>
    <x v="12"/>
    <m/>
    <m/>
    <x v="0"/>
    <s v="Solcorelius"/>
    <n v="15"/>
    <n v="180"/>
    <m/>
    <x v="1"/>
    <m/>
    <x v="3"/>
    <m/>
    <m/>
    <m/>
    <m/>
    <m/>
    <m/>
    <s v="-"/>
    <x v="4"/>
    <x v="1"/>
    <m/>
  </r>
  <r>
    <x v="255"/>
    <x v="261"/>
    <s v="N Vending- Operador de Vending, Unipessoal Lda"/>
    <n v="505978890"/>
    <x v="232"/>
    <x v="9"/>
    <m/>
    <m/>
    <x v="1"/>
    <s v="Cliente"/>
    <m/>
    <n v="0"/>
    <m/>
    <x v="1"/>
    <m/>
    <x v="3"/>
    <m/>
    <m/>
    <s v="Jorge Fernandes"/>
    <m/>
    <s v="jorge.fernandes@nvending.net"/>
    <n v="911138585"/>
    <s v="-"/>
    <x v="4"/>
    <x v="1"/>
    <m/>
  </r>
  <r>
    <x v="243"/>
    <x v="262"/>
    <s v="Onda Grafe"/>
    <n v="501593128"/>
    <x v="224"/>
    <x v="43"/>
    <n v="273"/>
    <s v="73,7"/>
    <x v="1"/>
    <m/>
    <n v="1"/>
    <n v="12"/>
    <d v="2026-02-11T00:00:00"/>
    <x v="0"/>
    <s v="Sandwich"/>
    <x v="7"/>
    <m/>
    <s v="ACTIVE"/>
    <s v="Carla Alcântara"/>
    <m/>
    <s v="carla.alcantara@ondagrafe.pt"/>
    <s v="+34 689276460"/>
    <d v="2027-02-11T00:00:00"/>
    <x v="5"/>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BDEB39-2C21-47A9-8229-55C9F394031F}" name="PivotTable10" cacheId="0" applyNumberFormats="0" applyBorderFormats="0" applyFontFormats="0" applyPatternFormats="0" applyAlignmentFormats="0" applyWidthHeightFormats="1" dataCaption="Values" grandTotalCaption="Total" updatedVersion="8" minRefreshableVersion="3" useAutoFormatting="1" colGrandTotals="0" itemPrintTitles="1" createdVersion="8" indent="0" outline="1" outlineData="1" multipleFieldFilters="0" chartFormat="8" rowHeaderCaption="Localização">
  <location ref="A5:B42" firstHeaderRow="1" firstDataRow="1" firstDataCol="1" rowPageCount="2" colPageCount="1"/>
  <pivotFields count="26">
    <pivotField showAll="0"/>
    <pivotField showAll="0"/>
    <pivotField showAll="0"/>
    <pivotField showAll="0"/>
    <pivotField showAll="0"/>
    <pivotField axis="axisRow" dataField="1" showAll="0" sortType="descending">
      <items count="46">
        <item x="39"/>
        <item x="29"/>
        <item x="22"/>
        <item x="32"/>
        <item x="10"/>
        <item x="24"/>
        <item x="8"/>
        <item x="42"/>
        <item x="21"/>
        <item x="15"/>
        <item x="34"/>
        <item x="25"/>
        <item x="0"/>
        <item x="11"/>
        <item x="2"/>
        <item x="13"/>
        <item x="36"/>
        <item x="3"/>
        <item x="12"/>
        <item x="7"/>
        <item x="27"/>
        <item x="18"/>
        <item x="26"/>
        <item x="20"/>
        <item x="14"/>
        <item x="35"/>
        <item x="9"/>
        <item m="1" x="44"/>
        <item x="31"/>
        <item x="28"/>
        <item x="30"/>
        <item x="40"/>
        <item x="16"/>
        <item x="23"/>
        <item x="37"/>
        <item x="1"/>
        <item x="6"/>
        <item x="33"/>
        <item x="19"/>
        <item x="4"/>
        <item x="17"/>
        <item x="38"/>
        <item x="41"/>
        <item x="5"/>
        <item x="4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Page" showAll="0">
      <items count="6">
        <item m="1" x="4"/>
        <item m="1" x="2"/>
        <item x="1"/>
        <item x="0"/>
        <item m="1" x="3"/>
        <item t="default"/>
      </items>
    </pivotField>
    <pivotField showAll="0"/>
  </pivotFields>
  <rowFields count="1">
    <field x="5"/>
  </rowFields>
  <rowItems count="37">
    <i>
      <x v="18"/>
    </i>
    <i>
      <x v="17"/>
    </i>
    <i>
      <x v="32"/>
    </i>
    <i>
      <x v="36"/>
    </i>
    <i>
      <x v="26"/>
    </i>
    <i>
      <x v="12"/>
    </i>
    <i>
      <x v="35"/>
    </i>
    <i>
      <x v="6"/>
    </i>
    <i>
      <x v="7"/>
    </i>
    <i>
      <x v="33"/>
    </i>
    <i>
      <x v="3"/>
    </i>
    <i>
      <x v="14"/>
    </i>
    <i>
      <x v="39"/>
    </i>
    <i>
      <x v="15"/>
    </i>
    <i>
      <x v="1"/>
    </i>
    <i>
      <x v="2"/>
    </i>
    <i>
      <x v="30"/>
    </i>
    <i>
      <x v="40"/>
    </i>
    <i>
      <x v="9"/>
    </i>
    <i>
      <x v="5"/>
    </i>
    <i>
      <x v="44"/>
    </i>
    <i>
      <x v="38"/>
    </i>
    <i>
      <x v="20"/>
    </i>
    <i>
      <x v="29"/>
    </i>
    <i>
      <x v="21"/>
    </i>
    <i>
      <x v="11"/>
    </i>
    <i>
      <x v="22"/>
    </i>
    <i>
      <x v="13"/>
    </i>
    <i>
      <x v="23"/>
    </i>
    <i>
      <x v="37"/>
    </i>
    <i>
      <x v="24"/>
    </i>
    <i>
      <x v="4"/>
    </i>
    <i>
      <x v="10"/>
    </i>
    <i>
      <x v="8"/>
    </i>
    <i>
      <x v="28"/>
    </i>
    <i>
      <x v="19"/>
    </i>
    <i t="grand">
      <x/>
    </i>
  </rowItems>
  <colItems count="1">
    <i/>
  </colItems>
  <pageFields count="2">
    <pageField fld="13" hier="-1"/>
    <pageField fld="24" item="3" hier="-1"/>
  </pageFields>
  <dataFields count="1">
    <dataField name="Contagem" fld="5" subtotal="count" baseField="0" baseItem="0"/>
  </dataFields>
  <formats count="9">
    <format dxfId="214">
      <pivotArea type="all" dataOnly="0" outline="0" fieldPosition="0"/>
    </format>
    <format dxfId="213">
      <pivotArea outline="0" collapsedLevelsAreSubtotals="1" fieldPosition="0"/>
    </format>
    <format dxfId="212">
      <pivotArea outline="0" collapsedLevelsAreSubtotals="1" fieldPosition="0"/>
    </format>
    <format dxfId="211">
      <pivotArea type="all" dataOnly="0" outline="0" fieldPosition="0"/>
    </format>
    <format dxfId="210">
      <pivotArea outline="0" collapsedLevelsAreSubtotals="1" fieldPosition="0"/>
    </format>
    <format dxfId="209">
      <pivotArea field="5" type="button" dataOnly="0" labelOnly="1" outline="0" axis="axisRow" fieldPosition="0"/>
    </format>
    <format dxfId="208">
      <pivotArea dataOnly="0" labelOnly="1" fieldPosition="0">
        <references count="1">
          <reference field="5" count="36">
            <x v="1"/>
            <x v="2"/>
            <x v="3"/>
            <x v="4"/>
            <x v="5"/>
            <x v="6"/>
            <x v="7"/>
            <x v="8"/>
            <x v="9"/>
            <x v="10"/>
            <x v="11"/>
            <x v="12"/>
            <x v="13"/>
            <x v="14"/>
            <x v="15"/>
            <x v="17"/>
            <x v="18"/>
            <x v="19"/>
            <x v="20"/>
            <x v="21"/>
            <x v="22"/>
            <x v="23"/>
            <x v="24"/>
            <x v="26"/>
            <x v="28"/>
            <x v="29"/>
            <x v="30"/>
            <x v="32"/>
            <x v="33"/>
            <x v="35"/>
            <x v="36"/>
            <x v="37"/>
            <x v="38"/>
            <x v="39"/>
            <x v="40"/>
            <x v="44"/>
          </reference>
        </references>
      </pivotArea>
    </format>
    <format dxfId="207">
      <pivotArea dataOnly="0" labelOnly="1" grandRow="1" outline="0" fieldPosition="0"/>
    </format>
    <format dxfId="206">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F0C3C8-9823-4EEB-836A-21F75DDD592E}" name="PivotTable9" cacheId="0" applyNumberFormats="0" applyBorderFormats="0" applyFontFormats="0" applyPatternFormats="0" applyAlignmentFormats="0" applyWidthHeightFormats="1" dataCaption="Values" grandTotalCaption="Total" updatedVersion="8" minRefreshableVersion="3" useAutoFormatting="1" colGrandTotals="0" itemPrintTitles="1" createdVersion="8" indent="0" outline="1" outlineData="1" multipleFieldFilters="0" chartFormat="8" rowHeaderCaption="Localização / Projeto">
  <location ref="A47:B244" firstHeaderRow="1" firstDataRow="1" firstDataCol="1" rowPageCount="2" colPageCount="1"/>
  <pivotFields count="26">
    <pivotField showAll="0" defaultSubtotal="0"/>
    <pivotField axis="axisRow" showAll="0" defaultSubtotal="0">
      <items count="264">
        <item x="202"/>
        <item x="199"/>
        <item x="188"/>
        <item x="201"/>
        <item x="195"/>
        <item x="189"/>
        <item x="191"/>
        <item x="198"/>
        <item x="135"/>
        <item x="200"/>
        <item x="187"/>
        <item x="214"/>
        <item x="197"/>
        <item x="192"/>
        <item x="193"/>
        <item x="194"/>
        <item x="190"/>
        <item x="196"/>
        <item x="213"/>
        <item x="221"/>
        <item x="0"/>
        <item x="146"/>
        <item x="30"/>
        <item x="107"/>
        <item x="138"/>
        <item x="254"/>
        <item x="137"/>
        <item x="150"/>
        <item x="71"/>
        <item x="130"/>
        <item x="129"/>
        <item x="209"/>
        <item x="208"/>
        <item x="234"/>
        <item x="181"/>
        <item x="216"/>
        <item x="165"/>
        <item x="132"/>
        <item x="17"/>
        <item x="133"/>
        <item x="153"/>
        <item x="157"/>
        <item x="154"/>
        <item x="183"/>
        <item x="203"/>
        <item x="109"/>
        <item x="93"/>
        <item x="94"/>
        <item x="95"/>
        <item x="92"/>
        <item x="43"/>
        <item x="83"/>
        <item x="78"/>
        <item x="239"/>
        <item x="136"/>
        <item x="68"/>
        <item x="126"/>
        <item x="25"/>
        <item x="211"/>
        <item x="24"/>
        <item x="86"/>
        <item x="235"/>
        <item x="231"/>
        <item x="121"/>
        <item x="260"/>
        <item x="64"/>
        <item x="205"/>
        <item x="123"/>
        <item x="246"/>
        <item x="151"/>
        <item x="117"/>
        <item x="259"/>
        <item x="238"/>
        <item x="76"/>
        <item x="258"/>
        <item x="114"/>
        <item x="230"/>
        <item x="173"/>
        <item x="84"/>
        <item x="85"/>
        <item x="120"/>
        <item x="159"/>
        <item x="144"/>
        <item x="128"/>
        <item n="CS Padre José Filipe Rodrigues" x="210"/>
        <item x="100"/>
        <item x="96"/>
        <item x="97"/>
        <item x="242"/>
        <item x="29"/>
        <item x="79"/>
        <item x="141"/>
        <item x="204"/>
        <item x="149"/>
        <item x="7"/>
        <item x="91"/>
        <item x="62"/>
        <item x="61"/>
        <item x="175"/>
        <item x="118"/>
        <item x="143"/>
        <item x="58"/>
        <item x="163"/>
        <item x="46"/>
        <item x="47"/>
        <item x="73"/>
        <item x="74"/>
        <item x="45"/>
        <item x="75"/>
        <item x="2"/>
        <item x="207"/>
        <item x="219"/>
        <item x="60"/>
        <item x="89"/>
        <item x="249"/>
        <item x="250"/>
        <item x="248"/>
        <item x="40"/>
        <item x="217"/>
        <item x="57"/>
        <item x="50"/>
        <item x="39"/>
        <item x="65"/>
        <item x="179"/>
        <item x="164"/>
        <item x="253"/>
        <item x="105"/>
        <item x="222"/>
        <item x="102"/>
        <item x="101"/>
        <item x="37"/>
        <item x="1"/>
        <item x="108"/>
        <item x="170"/>
        <item x="110"/>
        <item x="171"/>
        <item x="19"/>
        <item x="247"/>
        <item x="42"/>
        <item x="23"/>
        <item x="227"/>
        <item x="182"/>
        <item x="119"/>
        <item x="56"/>
        <item x="256"/>
        <item x="169"/>
        <item x="122"/>
        <item x="206"/>
        <item x="134"/>
        <item x="186"/>
        <item x="69"/>
        <item x="27"/>
        <item x="177"/>
        <item x="178"/>
        <item x="176"/>
        <item x="63"/>
        <item x="49"/>
        <item x="251"/>
        <item x="36"/>
        <item x="226"/>
        <item x="35"/>
        <item x="139"/>
        <item x="115"/>
        <item x="240"/>
        <item x="147"/>
        <item x="9"/>
        <item x="87"/>
        <item x="161"/>
        <item x="244"/>
        <item x="66"/>
        <item x="38"/>
        <item x="142"/>
        <item x="229"/>
        <item x="252"/>
        <item x="184"/>
        <item x="10"/>
        <item x="236"/>
        <item x="125"/>
        <item x="241"/>
        <item x="145"/>
        <item x="13"/>
        <item x="148"/>
        <item x="8"/>
        <item x="41"/>
        <item x="72"/>
        <item x="31"/>
        <item x="218"/>
        <item x="22"/>
        <item x="140"/>
        <item x="34"/>
        <item x="215"/>
        <item x="155"/>
        <item x="158"/>
        <item x="104"/>
        <item x="53"/>
        <item x="232"/>
        <item x="54"/>
        <item x="233"/>
        <item x="55"/>
        <item x="26"/>
        <item x="6"/>
        <item x="261"/>
        <item x="12"/>
        <item x="112"/>
        <item x="255"/>
        <item x="99"/>
        <item x="16"/>
        <item x="237"/>
        <item x="67"/>
        <item x="180"/>
        <item x="228"/>
        <item x="245"/>
        <item x="48"/>
        <item x="106"/>
        <item x="4"/>
        <item n="Presuntos Lourenço 2" x="3"/>
        <item x="111"/>
        <item x="162"/>
        <item x="98"/>
        <item x="20"/>
        <item x="152"/>
        <item x="243"/>
        <item x="224"/>
        <item x="59"/>
        <item x="70"/>
        <item x="212"/>
        <item x="257"/>
        <item x="156"/>
        <item x="14"/>
        <item x="127"/>
        <item n="S.C.M. Alpedrinha" x="77"/>
        <item x="185"/>
        <item x="174"/>
        <item x="116"/>
        <item x="80"/>
        <item x="81"/>
        <item x="82"/>
        <item x="172"/>
        <item x="90"/>
        <item x="160"/>
        <item x="28"/>
        <item x="33"/>
        <item x="167"/>
        <item x="166"/>
        <item x="168"/>
        <item x="11"/>
        <item x="52"/>
        <item x="44"/>
        <item x="103"/>
        <item x="21"/>
        <item x="18"/>
        <item x="113"/>
        <item x="223"/>
        <item x="5"/>
        <item x="51"/>
        <item x="32"/>
        <item x="225"/>
        <item x="15"/>
        <item x="220"/>
        <item x="131"/>
        <item x="88"/>
        <item x="124"/>
        <item m="1" x="263"/>
        <item x="262"/>
      </items>
    </pivotField>
    <pivotField showAll="0" defaultSubtotal="0"/>
    <pivotField showAll="0" defaultSubtotal="0"/>
    <pivotField axis="axisRow" showAll="0" defaultSubtotal="0">
      <items count="233">
        <item x="115"/>
        <item x="9"/>
        <item x="136"/>
        <item x="207"/>
        <item x="135"/>
        <item x="139"/>
        <item x="114"/>
        <item x="130"/>
        <item x="201"/>
        <item x="10"/>
        <item x="123"/>
        <item x="179"/>
        <item x="8"/>
        <item x="41"/>
        <item x="191"/>
        <item x="216"/>
        <item x="84"/>
        <item x="223"/>
        <item x="49"/>
        <item x="204"/>
        <item x="28"/>
        <item x="93"/>
        <item x="169"/>
        <item x="29"/>
        <item x="165"/>
        <item x="232"/>
        <item x="11"/>
        <item x="32"/>
        <item x="138"/>
        <item x="13"/>
        <item x="56"/>
        <item x="213"/>
        <item x="79"/>
        <item x="189"/>
        <item x="17"/>
        <item x="160"/>
        <item x="171"/>
        <item x="26"/>
        <item x="128"/>
        <item x="122"/>
        <item x="124"/>
        <item x="119"/>
        <item x="21"/>
        <item x="121"/>
        <item x="104"/>
        <item x="120"/>
        <item x="127"/>
        <item x="19"/>
        <item x="186"/>
        <item x="129"/>
        <item x="23"/>
        <item x="184"/>
        <item x="4"/>
        <item x="226"/>
        <item x="90"/>
        <item x="1"/>
        <item x="151"/>
        <item x="91"/>
        <item x="89"/>
        <item x="57"/>
        <item x="125"/>
        <item x="163"/>
        <item x="150"/>
        <item x="187"/>
        <item x="168"/>
        <item x="12"/>
        <item x="5"/>
        <item x="146"/>
        <item x="164"/>
        <item x="98"/>
        <item x="2"/>
        <item x="109"/>
        <item x="94"/>
        <item x="142"/>
        <item x="111"/>
        <item x="95"/>
        <item x="218"/>
        <item x="133"/>
        <item x="31"/>
        <item x="46"/>
        <item x="210"/>
        <item x="6"/>
        <item x="176"/>
        <item x="177"/>
        <item x="40"/>
        <item x="96"/>
        <item x="149"/>
        <item x="228"/>
        <item x="101"/>
        <item x="97"/>
        <item x="143"/>
        <item x="153"/>
        <item x="108"/>
        <item x="27"/>
        <item x="137"/>
        <item x="199"/>
        <item x="167"/>
        <item x="87"/>
        <item x="215"/>
        <item x="33"/>
        <item x="15"/>
        <item x="47"/>
        <item x="92"/>
        <item x="118"/>
        <item x="73"/>
        <item x="99"/>
        <item x="203"/>
        <item x="217"/>
        <item x="112"/>
        <item x="132"/>
        <item x="72"/>
        <item x="110"/>
        <item x="172"/>
        <item x="196"/>
        <item x="205"/>
        <item x="106"/>
        <item x="66"/>
        <item x="181"/>
        <item x="39"/>
        <item x="131"/>
        <item x="83"/>
        <item x="178"/>
        <item x="116"/>
        <item x="211"/>
        <item x="134"/>
        <item x="51"/>
        <item x="126"/>
        <item x="67"/>
        <item x="156"/>
        <item x="198"/>
        <item x="86"/>
        <item x="188"/>
        <item x="60"/>
        <item x="154"/>
        <item x="159"/>
        <item x="219"/>
        <item x="22"/>
        <item x="85"/>
        <item x="214"/>
        <item x="62"/>
        <item x="103"/>
        <item x="65"/>
        <item x="16"/>
        <item x="220"/>
        <item x="75"/>
        <item x="53"/>
        <item x="69"/>
        <item x="30"/>
        <item x="64"/>
        <item x="42"/>
        <item x="81"/>
        <item x="61"/>
        <item x="43"/>
        <item x="14"/>
        <item x="174"/>
        <item x="117"/>
        <item x="77"/>
        <item x="78"/>
        <item x="158"/>
        <item x="70"/>
        <item x="105"/>
        <item x="221"/>
        <item x="193"/>
        <item x="190"/>
        <item x="3"/>
        <item x="185"/>
        <item x="37"/>
        <item x="144"/>
        <item x="182"/>
        <item x="35"/>
        <item x="192"/>
        <item x="175"/>
        <item x="170"/>
        <item x="50"/>
        <item x="230"/>
        <item x="58"/>
        <item x="231"/>
        <item x="20"/>
        <item x="100"/>
        <item x="202"/>
        <item x="206"/>
        <item x="225"/>
        <item x="63"/>
        <item x="0"/>
        <item x="145"/>
        <item x="200"/>
        <item x="161"/>
        <item x="59"/>
        <item x="113"/>
        <item x="48"/>
        <item x="74"/>
        <item x="162"/>
        <item x="76"/>
        <item x="157"/>
        <item x="222"/>
        <item x="229"/>
        <item x="102"/>
        <item x="68"/>
        <item x="212"/>
        <item x="155"/>
        <item x="71"/>
        <item x="80"/>
        <item x="209"/>
        <item x="173"/>
        <item x="195"/>
        <item x="147"/>
        <item x="82"/>
        <item x="24"/>
        <item x="45"/>
        <item x="227"/>
        <item x="152"/>
        <item x="166"/>
        <item x="25"/>
        <item x="183"/>
        <item x="88"/>
        <item x="194"/>
        <item x="107"/>
        <item x="140"/>
        <item x="197"/>
        <item x="36"/>
        <item x="208"/>
        <item x="141"/>
        <item x="7"/>
        <item x="54"/>
        <item x="148"/>
        <item x="180"/>
        <item x="18"/>
        <item x="34"/>
        <item x="52"/>
        <item x="55"/>
        <item x="44"/>
        <item x="38"/>
        <item x="224"/>
      </items>
    </pivotField>
    <pivotField axis="axisRow" dataField="1" showAll="0" sortType="descending" defaultSubtotal="0">
      <items count="45">
        <item x="39"/>
        <item x="29"/>
        <item x="22"/>
        <item x="32"/>
        <item x="10"/>
        <item x="24"/>
        <item x="8"/>
        <item x="42"/>
        <item x="21"/>
        <item x="15"/>
        <item x="34"/>
        <item x="25"/>
        <item x="0"/>
        <item x="11"/>
        <item x="2"/>
        <item x="13"/>
        <item x="36"/>
        <item x="3"/>
        <item x="12"/>
        <item x="7"/>
        <item x="27"/>
        <item x="18"/>
        <item x="26"/>
        <item x="20"/>
        <item x="14"/>
        <item x="35"/>
        <item x="9"/>
        <item m="1" x="44"/>
        <item x="31"/>
        <item x="28"/>
        <item x="30"/>
        <item x="40"/>
        <item x="16"/>
        <item x="23"/>
        <item x="37"/>
        <item x="1"/>
        <item x="6"/>
        <item x="33"/>
        <item x="19"/>
        <item x="4"/>
        <item x="17"/>
        <item x="38"/>
        <item x="41"/>
        <item x="5"/>
        <item x="43"/>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axis="axisPage" showAll="0" defaultSubtotal="0">
      <items count="3">
        <item x="1"/>
        <item x="0"/>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Page" showAll="0" defaultSubtotal="0">
      <items count="5">
        <item m="1" x="4"/>
        <item m="1" x="2"/>
        <item x="1"/>
        <item x="0"/>
        <item m="1" x="3"/>
      </items>
    </pivotField>
    <pivotField showAll="0" defaultSubtotal="0"/>
  </pivotFields>
  <rowFields count="3">
    <field x="5"/>
    <field x="1"/>
    <field x="4"/>
  </rowFields>
  <rowItems count="197">
    <i>
      <x v="18"/>
    </i>
    <i r="1">
      <x v="46"/>
    </i>
    <i r="2">
      <x v="130"/>
    </i>
    <i r="1">
      <x v="49"/>
    </i>
    <i r="2">
      <x v="137"/>
    </i>
    <i r="1">
      <x v="51"/>
    </i>
    <i r="2">
      <x v="192"/>
    </i>
    <i r="1">
      <x v="53"/>
    </i>
    <i r="2">
      <x v="107"/>
    </i>
    <i r="1">
      <x v="66"/>
    </i>
    <i r="2">
      <x v="131"/>
    </i>
    <i r="1">
      <x v="67"/>
    </i>
    <i r="2">
      <x v="188"/>
    </i>
    <i r="1">
      <x v="231"/>
    </i>
    <i r="2">
      <x v="64"/>
    </i>
    <i r="1">
      <x v="246"/>
    </i>
    <i r="2">
      <x v="173"/>
    </i>
    <i>
      <x v="17"/>
    </i>
    <i r="1">
      <x v="50"/>
    </i>
    <i r="2">
      <x v="152"/>
    </i>
    <i r="1">
      <x v="52"/>
    </i>
    <i r="2">
      <x v="200"/>
    </i>
    <i r="1">
      <x v="101"/>
    </i>
    <i r="2">
      <x v="229"/>
    </i>
    <i r="1">
      <x v="150"/>
    </i>
    <i r="2">
      <x v="148"/>
    </i>
    <i r="1">
      <x v="167"/>
    </i>
    <i r="2">
      <x v="67"/>
    </i>
    <i r="1">
      <x v="205"/>
    </i>
    <i r="2">
      <x v="57"/>
    </i>
    <i r="1">
      <x v="208"/>
    </i>
    <i r="2">
      <x v="139"/>
    </i>
    <i r="1">
      <x v="249"/>
    </i>
    <i r="2">
      <x v="42"/>
    </i>
    <i>
      <x v="32"/>
    </i>
    <i r="1">
      <x v="40"/>
    </i>
    <i r="2">
      <x v="217"/>
    </i>
    <i r="1">
      <x v="42"/>
    </i>
    <i r="2">
      <x v="217"/>
    </i>
    <i r="1">
      <x v="43"/>
    </i>
    <i r="2">
      <x v="96"/>
    </i>
    <i r="1">
      <x v="60"/>
    </i>
    <i r="2">
      <x v="32"/>
    </i>
    <i r="1">
      <x v="63"/>
    </i>
    <i r="2">
      <x v="74"/>
    </i>
    <i r="1">
      <x v="84"/>
    </i>
    <i r="2">
      <x v="162"/>
    </i>
    <i r="1">
      <x v="174"/>
    </i>
    <i r="2">
      <x v="96"/>
    </i>
    <i>
      <x v="36"/>
    </i>
    <i r="1">
      <x v="143"/>
    </i>
    <i r="2">
      <x v="145"/>
    </i>
    <i r="1">
      <x v="180"/>
    </i>
    <i r="2">
      <x v="29"/>
    </i>
    <i r="1">
      <x v="182"/>
    </i>
    <i r="2">
      <x v="12"/>
    </i>
    <i r="1">
      <x v="183"/>
    </i>
    <i r="2">
      <x v="13"/>
    </i>
    <i r="1">
      <x v="228"/>
    </i>
    <i r="2">
      <x v="153"/>
    </i>
    <i r="1">
      <x v="245"/>
    </i>
    <i r="2">
      <x v="26"/>
    </i>
    <i>
      <x v="26"/>
    </i>
    <i r="1">
      <x v="7"/>
    </i>
    <i r="2">
      <x v="117"/>
    </i>
    <i r="1">
      <x v="206"/>
    </i>
    <i r="2">
      <x v="142"/>
    </i>
    <i r="1">
      <x v="216"/>
    </i>
    <i r="2">
      <x v="88"/>
    </i>
    <i r="1">
      <x v="240"/>
    </i>
    <i r="2">
      <x v="20"/>
    </i>
    <i>
      <x v="12"/>
    </i>
    <i r="1">
      <x v="20"/>
    </i>
    <i r="2">
      <x v="183"/>
    </i>
    <i r="1">
      <x v="214"/>
    </i>
    <i r="2">
      <x v="52"/>
    </i>
    <i r="1">
      <x v="215"/>
    </i>
    <i r="2">
      <x v="164"/>
    </i>
    <i r="1">
      <x v="230"/>
    </i>
    <i r="2">
      <x v="159"/>
    </i>
    <i>
      <x v="35"/>
    </i>
    <i r="1">
      <x v="32"/>
    </i>
    <i r="2">
      <x v="14"/>
    </i>
    <i r="1">
      <x v="131"/>
    </i>
    <i r="2">
      <x v="55"/>
    </i>
    <i r="1">
      <x v="149"/>
    </i>
    <i r="2">
      <x v="22"/>
    </i>
    <i r="1">
      <x v="151"/>
    </i>
    <i r="2">
      <x v="93"/>
    </i>
    <i>
      <x v="6"/>
    </i>
    <i r="1">
      <x v="19"/>
    </i>
    <i r="2">
      <x v="19"/>
    </i>
    <i r="1">
      <x v="89"/>
    </i>
    <i r="2">
      <x v="23"/>
    </i>
    <i r="1">
      <x v="257"/>
    </i>
    <i r="2">
      <x v="100"/>
    </i>
    <i>
      <x v="7"/>
    </i>
    <i r="1">
      <x v="114"/>
    </i>
    <i r="2">
      <x v="232"/>
    </i>
    <i r="1">
      <x v="115"/>
    </i>
    <i r="2">
      <x v="232"/>
    </i>
    <i r="1">
      <x v="116"/>
    </i>
    <i r="2">
      <x v="232"/>
    </i>
    <i>
      <x v="33"/>
    </i>
    <i r="1">
      <x v="184"/>
    </i>
    <i r="2">
      <x v="127"/>
    </i>
    <i r="1">
      <x v="223"/>
    </i>
    <i r="2">
      <x v="30"/>
    </i>
    <i>
      <x v="3"/>
    </i>
    <i r="1">
      <x v="128"/>
    </i>
    <i r="2">
      <x v="21"/>
    </i>
    <i r="1">
      <x v="129"/>
    </i>
    <i r="2">
      <x v="102"/>
    </i>
    <i>
      <x v="14"/>
    </i>
    <i r="1">
      <x v="109"/>
    </i>
    <i r="2">
      <x v="70"/>
    </i>
    <i r="1">
      <x v="168"/>
    </i>
    <i r="2">
      <x v="194"/>
    </i>
    <i>
      <x v="39"/>
    </i>
    <i r="1">
      <x v="199"/>
    </i>
    <i r="2">
      <x v="37"/>
    </i>
    <i r="1">
      <x v="200"/>
    </i>
    <i r="2">
      <x v="81"/>
    </i>
    <i>
      <x v="15"/>
    </i>
    <i r="1">
      <x v="31"/>
    </i>
    <i r="2">
      <x v="170"/>
    </i>
    <i r="1">
      <x v="37"/>
    </i>
    <i r="2">
      <x v="41"/>
    </i>
    <i>
      <x v="1"/>
    </i>
    <i r="1">
      <x v="78"/>
    </i>
    <i r="2">
      <x v="156"/>
    </i>
    <i r="1">
      <x v="79"/>
    </i>
    <i r="2">
      <x v="157"/>
    </i>
    <i>
      <x v="2"/>
    </i>
    <i r="1">
      <x v="192"/>
    </i>
    <i r="2">
      <x v="90"/>
    </i>
    <i>
      <x v="30"/>
    </i>
    <i r="1">
      <x v="166"/>
    </i>
    <i r="2">
      <x v="201"/>
    </i>
    <i>
      <x v="40"/>
    </i>
    <i r="1">
      <x v="130"/>
    </i>
    <i r="2">
      <x v="166"/>
    </i>
    <i>
      <x v="9"/>
    </i>
    <i r="1">
      <x v="189"/>
    </i>
    <i r="2">
      <x v="227"/>
    </i>
    <i>
      <x v="5"/>
    </i>
    <i r="1">
      <x v="65"/>
    </i>
    <i r="2">
      <x v="187"/>
    </i>
    <i>
      <x v="44"/>
    </i>
    <i r="1">
      <x v="263"/>
    </i>
    <i r="2">
      <x v="232"/>
    </i>
    <i>
      <x v="38"/>
    </i>
    <i r="1">
      <x v="107"/>
    </i>
    <i r="2">
      <x v="208"/>
    </i>
    <i>
      <x v="20"/>
    </i>
    <i r="1">
      <x v="224"/>
    </i>
    <i r="2">
      <x v="141"/>
    </i>
    <i>
      <x v="29"/>
    </i>
    <i r="1">
      <x v="73"/>
    </i>
    <i r="2">
      <x v="146"/>
    </i>
    <i>
      <x v="21"/>
    </i>
    <i r="1">
      <x v="138"/>
    </i>
    <i r="2">
      <x v="149"/>
    </i>
    <i>
      <x v="11"/>
    </i>
    <i r="1">
      <x v="122"/>
    </i>
    <i r="2">
      <x v="132"/>
    </i>
    <i>
      <x v="22"/>
    </i>
    <i r="1">
      <x v="169"/>
    </i>
    <i r="2">
      <x v="151"/>
    </i>
    <i>
      <x v="13"/>
    </i>
    <i r="1">
      <x v="250"/>
    </i>
    <i r="2">
      <x v="226"/>
    </i>
    <i>
      <x v="23"/>
    </i>
    <i r="1">
      <x v="156"/>
    </i>
    <i r="2">
      <x v="189"/>
    </i>
    <i>
      <x v="37"/>
    </i>
    <i r="1">
      <x v="134"/>
    </i>
    <i r="2">
      <x v="178"/>
    </i>
    <i>
      <x v="24"/>
    </i>
    <i r="1">
      <x v="241"/>
    </i>
    <i r="2">
      <x v="99"/>
    </i>
    <i>
      <x v="4"/>
    </i>
    <i r="1">
      <x v="38"/>
    </i>
    <i r="2">
      <x v="34"/>
    </i>
    <i>
      <x v="10"/>
    </i>
    <i r="1">
      <x v="203"/>
    </i>
    <i r="2">
      <x v="196"/>
    </i>
    <i>
      <x v="8"/>
    </i>
    <i r="1">
      <x v="186"/>
    </i>
    <i r="2">
      <x v="8"/>
    </i>
    <i>
      <x v="28"/>
    </i>
    <i r="1">
      <x v="113"/>
    </i>
    <i r="2">
      <x v="206"/>
    </i>
    <i>
      <x v="19"/>
    </i>
    <i r="1">
      <x v="175"/>
    </i>
    <i r="2">
      <x v="9"/>
    </i>
    <i t="grand">
      <x/>
    </i>
  </rowItems>
  <colItems count="1">
    <i/>
  </colItems>
  <pageFields count="2">
    <pageField fld="13" hier="-1"/>
    <pageField fld="24" item="3" hier="-1"/>
  </pageFields>
  <dataFields count="1">
    <dataField name="Contagem" fld="5" subtotal="count" baseField="0" baseItem="0"/>
  </dataFields>
  <formats count="150">
    <format dxfId="364">
      <pivotArea type="all" dataOnly="0" outline="0" fieldPosition="0"/>
    </format>
    <format dxfId="363">
      <pivotArea field="5" type="button" dataOnly="0" labelOnly="1" outline="0" axis="axisRow" fieldPosition="0"/>
    </format>
    <format dxfId="362">
      <pivotArea dataOnly="0" labelOnly="1" grandRow="1" outline="0" fieldPosition="0"/>
    </format>
    <format dxfId="361">
      <pivotArea dataOnly="0" labelOnly="1" fieldPosition="0">
        <references count="3">
          <reference field="1" count="1" selected="0">
            <x v="114"/>
          </reference>
          <reference field="4" count="1">
            <x v="231"/>
          </reference>
          <reference field="5" count="1" selected="0">
            <x v="7"/>
          </reference>
        </references>
      </pivotArea>
    </format>
    <format dxfId="360">
      <pivotArea dataOnly="0" labelOnly="1" fieldPosition="0">
        <references count="3">
          <reference field="1" count="1" selected="0">
            <x v="115"/>
          </reference>
          <reference field="4" count="1">
            <x v="231"/>
          </reference>
          <reference field="5" count="1" selected="0">
            <x v="7"/>
          </reference>
        </references>
      </pivotArea>
    </format>
    <format dxfId="359">
      <pivotArea dataOnly="0" labelOnly="1" fieldPosition="0">
        <references count="3">
          <reference field="1" count="1" selected="0">
            <x v="116"/>
          </reference>
          <reference field="4" count="1">
            <x v="231"/>
          </reference>
          <reference field="5" count="1" selected="0">
            <x v="7"/>
          </reference>
        </references>
      </pivotArea>
    </format>
    <format dxfId="358">
      <pivotArea dataOnly="0" labelOnly="1" outline="0" axis="axisValues" fieldPosition="0"/>
    </format>
    <format dxfId="357">
      <pivotArea type="all" dataOnly="0" outline="0" fieldPosition="0"/>
    </format>
    <format dxfId="356">
      <pivotArea field="5" type="button" dataOnly="0" labelOnly="1" outline="0" axis="axisRow" fieldPosition="0"/>
    </format>
    <format dxfId="355">
      <pivotArea dataOnly="0" labelOnly="1" grandRow="1" outline="0" fieldPosition="0"/>
    </format>
    <format dxfId="354">
      <pivotArea dataOnly="0" labelOnly="1" fieldPosition="0">
        <references count="3">
          <reference field="1" count="1" selected="0">
            <x v="114"/>
          </reference>
          <reference field="4" count="1">
            <x v="231"/>
          </reference>
          <reference field="5" count="1" selected="0">
            <x v="7"/>
          </reference>
        </references>
      </pivotArea>
    </format>
    <format dxfId="353">
      <pivotArea dataOnly="0" labelOnly="1" fieldPosition="0">
        <references count="3">
          <reference field="1" count="1" selected="0">
            <x v="115"/>
          </reference>
          <reference field="4" count="1">
            <x v="231"/>
          </reference>
          <reference field="5" count="1" selected="0">
            <x v="7"/>
          </reference>
        </references>
      </pivotArea>
    </format>
    <format dxfId="352">
      <pivotArea dataOnly="0" labelOnly="1" fieldPosition="0">
        <references count="3">
          <reference field="1" count="1" selected="0">
            <x v="116"/>
          </reference>
          <reference field="4" count="1">
            <x v="231"/>
          </reference>
          <reference field="5" count="1" selected="0">
            <x v="7"/>
          </reference>
        </references>
      </pivotArea>
    </format>
    <format dxfId="351">
      <pivotArea dataOnly="0" labelOnly="1" outline="0" axis="axisValues" fieldPosition="0"/>
    </format>
    <format dxfId="350">
      <pivotArea type="all" dataOnly="0" outline="0" fieldPosition="0"/>
    </format>
    <format dxfId="349">
      <pivotArea field="5" type="button" dataOnly="0" labelOnly="1" outline="0" axis="axisRow" fieldPosition="0"/>
    </format>
    <format dxfId="348">
      <pivotArea dataOnly="0" labelOnly="1" grandRow="1" outline="0" fieldPosition="0"/>
    </format>
    <format dxfId="347">
      <pivotArea dataOnly="0" labelOnly="1" outline="0" axis="axisValues" fieldPosition="0"/>
    </format>
    <format dxfId="346">
      <pivotArea type="all" dataOnly="0" outline="0" fieldPosition="0"/>
    </format>
    <format dxfId="345">
      <pivotArea field="5" type="button" dataOnly="0" labelOnly="1" outline="0" axis="axisRow" fieldPosition="0"/>
    </format>
    <format dxfId="344">
      <pivotArea dataOnly="0" labelOnly="1" grandRow="1" outline="0" fieldPosition="0"/>
    </format>
    <format dxfId="343">
      <pivotArea dataOnly="0" labelOnly="1" outline="0" axis="axisValues" fieldPosition="0"/>
    </format>
    <format dxfId="342">
      <pivotArea field="5" type="button" dataOnly="0" labelOnly="1" outline="0" axis="axisRow" fieldPosition="0"/>
    </format>
    <format dxfId="341">
      <pivotArea dataOnly="0" labelOnly="1" outline="0" axis="axisValues" fieldPosition="0"/>
    </format>
    <format dxfId="340">
      <pivotArea field="5" type="button" dataOnly="0" labelOnly="1" outline="0" axis="axisRow" fieldPosition="0"/>
    </format>
    <format dxfId="339">
      <pivotArea dataOnly="0" labelOnly="1" outline="0" axis="axisValues" fieldPosition="0"/>
    </format>
    <format dxfId="338">
      <pivotArea grandRow="1" outline="0" collapsedLevelsAreSubtotals="1" fieldPosition="0"/>
    </format>
    <format dxfId="337">
      <pivotArea dataOnly="0" labelOnly="1" grandRow="1" outline="0" fieldPosition="0"/>
    </format>
    <format dxfId="336">
      <pivotArea type="all" dataOnly="0" outline="0" fieldPosition="0"/>
    </format>
    <format dxfId="335">
      <pivotArea outline="0" collapsedLevelsAreSubtotals="1" fieldPosition="0"/>
    </format>
    <format dxfId="334">
      <pivotArea field="5" type="button" dataOnly="0" labelOnly="1" outline="0" axis="axisRow" fieldPosition="0"/>
    </format>
    <format dxfId="333">
      <pivotArea dataOnly="0" labelOnly="1" fieldPosition="0">
        <references count="1">
          <reference field="5" count="36">
            <x v="1"/>
            <x v="2"/>
            <x v="3"/>
            <x v="4"/>
            <x v="5"/>
            <x v="6"/>
            <x v="7"/>
            <x v="8"/>
            <x v="9"/>
            <x v="10"/>
            <x v="11"/>
            <x v="12"/>
            <x v="13"/>
            <x v="14"/>
            <x v="15"/>
            <x v="17"/>
            <x v="18"/>
            <x v="19"/>
            <x v="20"/>
            <x v="21"/>
            <x v="22"/>
            <x v="23"/>
            <x v="24"/>
            <x v="26"/>
            <x v="28"/>
            <x v="29"/>
            <x v="30"/>
            <x v="32"/>
            <x v="33"/>
            <x v="35"/>
            <x v="36"/>
            <x v="37"/>
            <x v="38"/>
            <x v="39"/>
            <x v="40"/>
            <x v="44"/>
          </reference>
        </references>
      </pivotArea>
    </format>
    <format dxfId="332">
      <pivotArea dataOnly="0" labelOnly="1" grandRow="1" outline="0" fieldPosition="0"/>
    </format>
    <format dxfId="331">
      <pivotArea dataOnly="0" labelOnly="1" fieldPosition="0">
        <references count="2">
          <reference field="1" count="8">
            <x v="46"/>
            <x v="49"/>
            <x v="51"/>
            <x v="53"/>
            <x v="66"/>
            <x v="67"/>
            <x v="231"/>
            <x v="246"/>
          </reference>
          <reference field="5" count="1" selected="0">
            <x v="18"/>
          </reference>
        </references>
      </pivotArea>
    </format>
    <format dxfId="330">
      <pivotArea dataOnly="0" labelOnly="1" fieldPosition="0">
        <references count="2">
          <reference field="1" count="8">
            <x v="50"/>
            <x v="52"/>
            <x v="101"/>
            <x v="150"/>
            <x v="167"/>
            <x v="205"/>
            <x v="208"/>
            <x v="249"/>
          </reference>
          <reference field="5" count="1" selected="0">
            <x v="17"/>
          </reference>
        </references>
      </pivotArea>
    </format>
    <format dxfId="329">
      <pivotArea dataOnly="0" labelOnly="1" fieldPosition="0">
        <references count="2">
          <reference field="1" count="7">
            <x v="40"/>
            <x v="42"/>
            <x v="43"/>
            <x v="60"/>
            <x v="63"/>
            <x v="84"/>
            <x v="174"/>
          </reference>
          <reference field="5" count="1" selected="0">
            <x v="32"/>
          </reference>
        </references>
      </pivotArea>
    </format>
    <format dxfId="328">
      <pivotArea dataOnly="0" labelOnly="1" fieldPosition="0">
        <references count="2">
          <reference field="1" count="6">
            <x v="143"/>
            <x v="180"/>
            <x v="182"/>
            <x v="183"/>
            <x v="228"/>
            <x v="245"/>
          </reference>
          <reference field="5" count="1" selected="0">
            <x v="36"/>
          </reference>
        </references>
      </pivotArea>
    </format>
    <format dxfId="327">
      <pivotArea dataOnly="0" labelOnly="1" fieldPosition="0">
        <references count="2">
          <reference field="1" count="4">
            <x v="7"/>
            <x v="206"/>
            <x v="216"/>
            <x v="240"/>
          </reference>
          <reference field="5" count="1" selected="0">
            <x v="26"/>
          </reference>
        </references>
      </pivotArea>
    </format>
    <format dxfId="326">
      <pivotArea dataOnly="0" labelOnly="1" fieldPosition="0">
        <references count="2">
          <reference field="1" count="4">
            <x v="20"/>
            <x v="214"/>
            <x v="215"/>
            <x v="230"/>
          </reference>
          <reference field="5" count="1" selected="0">
            <x v="12"/>
          </reference>
        </references>
      </pivotArea>
    </format>
    <format dxfId="325">
      <pivotArea dataOnly="0" labelOnly="1" fieldPosition="0">
        <references count="2">
          <reference field="1" count="4">
            <x v="32"/>
            <x v="131"/>
            <x v="149"/>
            <x v="151"/>
          </reference>
          <reference field="5" count="1" selected="0">
            <x v="35"/>
          </reference>
        </references>
      </pivotArea>
    </format>
    <format dxfId="324">
      <pivotArea dataOnly="0" labelOnly="1" fieldPosition="0">
        <references count="2">
          <reference field="1" count="3">
            <x v="19"/>
            <x v="89"/>
            <x v="257"/>
          </reference>
          <reference field="5" count="1" selected="0">
            <x v="6"/>
          </reference>
        </references>
      </pivotArea>
    </format>
    <format dxfId="323">
      <pivotArea dataOnly="0" labelOnly="1" fieldPosition="0">
        <references count="2">
          <reference field="1" count="3">
            <x v="114"/>
            <x v="115"/>
            <x v="116"/>
          </reference>
          <reference field="5" count="1" selected="0">
            <x v="7"/>
          </reference>
        </references>
      </pivotArea>
    </format>
    <format dxfId="322">
      <pivotArea dataOnly="0" labelOnly="1" fieldPosition="0">
        <references count="2">
          <reference field="1" count="2">
            <x v="184"/>
            <x v="223"/>
          </reference>
          <reference field="5" count="1" selected="0">
            <x v="33"/>
          </reference>
        </references>
      </pivotArea>
    </format>
    <format dxfId="321">
      <pivotArea dataOnly="0" labelOnly="1" fieldPosition="0">
        <references count="2">
          <reference field="1" count="2">
            <x v="128"/>
            <x v="129"/>
          </reference>
          <reference field="5" count="1" selected="0">
            <x v="3"/>
          </reference>
        </references>
      </pivotArea>
    </format>
    <format dxfId="320">
      <pivotArea dataOnly="0" labelOnly="1" fieldPosition="0">
        <references count="2">
          <reference field="1" count="2">
            <x v="109"/>
            <x v="168"/>
          </reference>
          <reference field="5" count="1" selected="0">
            <x v="14"/>
          </reference>
        </references>
      </pivotArea>
    </format>
    <format dxfId="319">
      <pivotArea dataOnly="0" labelOnly="1" fieldPosition="0">
        <references count="2">
          <reference field="1" count="2">
            <x v="199"/>
            <x v="200"/>
          </reference>
          <reference field="5" count="1" selected="0">
            <x v="39"/>
          </reference>
        </references>
      </pivotArea>
    </format>
    <format dxfId="318">
      <pivotArea dataOnly="0" labelOnly="1" fieldPosition="0">
        <references count="2">
          <reference field="1" count="2">
            <x v="31"/>
            <x v="37"/>
          </reference>
          <reference field="5" count="1" selected="0">
            <x v="15"/>
          </reference>
        </references>
      </pivotArea>
    </format>
    <format dxfId="317">
      <pivotArea dataOnly="0" labelOnly="1" fieldPosition="0">
        <references count="2">
          <reference field="1" count="2">
            <x v="78"/>
            <x v="79"/>
          </reference>
          <reference field="5" count="1" selected="0">
            <x v="1"/>
          </reference>
        </references>
      </pivotArea>
    </format>
    <format dxfId="316">
      <pivotArea dataOnly="0" labelOnly="1" fieldPosition="0">
        <references count="2">
          <reference field="1" count="1">
            <x v="192"/>
          </reference>
          <reference field="5" count="1" selected="0">
            <x v="2"/>
          </reference>
        </references>
      </pivotArea>
    </format>
    <format dxfId="315">
      <pivotArea dataOnly="0" labelOnly="1" fieldPosition="0">
        <references count="2">
          <reference field="1" count="1">
            <x v="166"/>
          </reference>
          <reference field="5" count="1" selected="0">
            <x v="30"/>
          </reference>
        </references>
      </pivotArea>
    </format>
    <format dxfId="314">
      <pivotArea dataOnly="0" labelOnly="1" fieldPosition="0">
        <references count="2">
          <reference field="1" count="1">
            <x v="130"/>
          </reference>
          <reference field="5" count="1" selected="0">
            <x v="40"/>
          </reference>
        </references>
      </pivotArea>
    </format>
    <format dxfId="313">
      <pivotArea dataOnly="0" labelOnly="1" fieldPosition="0">
        <references count="2">
          <reference field="1" count="1">
            <x v="189"/>
          </reference>
          <reference field="5" count="1" selected="0">
            <x v="9"/>
          </reference>
        </references>
      </pivotArea>
    </format>
    <format dxfId="312">
      <pivotArea dataOnly="0" labelOnly="1" fieldPosition="0">
        <references count="2">
          <reference field="1" count="1">
            <x v="65"/>
          </reference>
          <reference field="5" count="1" selected="0">
            <x v="5"/>
          </reference>
        </references>
      </pivotArea>
    </format>
    <format dxfId="311">
      <pivotArea dataOnly="0" labelOnly="1" fieldPosition="0">
        <references count="2">
          <reference field="1" count="1">
            <x v="263"/>
          </reference>
          <reference field="5" count="1" selected="0">
            <x v="44"/>
          </reference>
        </references>
      </pivotArea>
    </format>
    <format dxfId="310">
      <pivotArea dataOnly="0" labelOnly="1" fieldPosition="0">
        <references count="2">
          <reference field="1" count="1">
            <x v="107"/>
          </reference>
          <reference field="5" count="1" selected="0">
            <x v="38"/>
          </reference>
        </references>
      </pivotArea>
    </format>
    <format dxfId="309">
      <pivotArea dataOnly="0" labelOnly="1" fieldPosition="0">
        <references count="2">
          <reference field="1" count="1">
            <x v="224"/>
          </reference>
          <reference field="5" count="1" selected="0">
            <x v="20"/>
          </reference>
        </references>
      </pivotArea>
    </format>
    <format dxfId="308">
      <pivotArea dataOnly="0" labelOnly="1" fieldPosition="0">
        <references count="2">
          <reference field="1" count="1">
            <x v="73"/>
          </reference>
          <reference field="5" count="1" selected="0">
            <x v="29"/>
          </reference>
        </references>
      </pivotArea>
    </format>
    <format dxfId="307">
      <pivotArea dataOnly="0" labelOnly="1" fieldPosition="0">
        <references count="2">
          <reference field="1" count="1">
            <x v="138"/>
          </reference>
          <reference field="5" count="1" selected="0">
            <x v="21"/>
          </reference>
        </references>
      </pivotArea>
    </format>
    <format dxfId="306">
      <pivotArea dataOnly="0" labelOnly="1" fieldPosition="0">
        <references count="2">
          <reference field="1" count="1">
            <x v="122"/>
          </reference>
          <reference field="5" count="1" selected="0">
            <x v="11"/>
          </reference>
        </references>
      </pivotArea>
    </format>
    <format dxfId="305">
      <pivotArea dataOnly="0" labelOnly="1" fieldPosition="0">
        <references count="2">
          <reference field="1" count="1">
            <x v="169"/>
          </reference>
          <reference field="5" count="1" selected="0">
            <x v="22"/>
          </reference>
        </references>
      </pivotArea>
    </format>
    <format dxfId="304">
      <pivotArea dataOnly="0" labelOnly="1" fieldPosition="0">
        <references count="2">
          <reference field="1" count="1">
            <x v="250"/>
          </reference>
          <reference field="5" count="1" selected="0">
            <x v="13"/>
          </reference>
        </references>
      </pivotArea>
    </format>
    <format dxfId="303">
      <pivotArea dataOnly="0" labelOnly="1" fieldPosition="0">
        <references count="2">
          <reference field="1" count="1">
            <x v="156"/>
          </reference>
          <reference field="5" count="1" selected="0">
            <x v="23"/>
          </reference>
        </references>
      </pivotArea>
    </format>
    <format dxfId="302">
      <pivotArea dataOnly="0" labelOnly="1" fieldPosition="0">
        <references count="2">
          <reference field="1" count="1">
            <x v="134"/>
          </reference>
          <reference field="5" count="1" selected="0">
            <x v="37"/>
          </reference>
        </references>
      </pivotArea>
    </format>
    <format dxfId="301">
      <pivotArea dataOnly="0" labelOnly="1" fieldPosition="0">
        <references count="2">
          <reference field="1" count="1">
            <x v="241"/>
          </reference>
          <reference field="5" count="1" selected="0">
            <x v="24"/>
          </reference>
        </references>
      </pivotArea>
    </format>
    <format dxfId="300">
      <pivotArea dataOnly="0" labelOnly="1" fieldPosition="0">
        <references count="2">
          <reference field="1" count="1">
            <x v="38"/>
          </reference>
          <reference field="5" count="1" selected="0">
            <x v="4"/>
          </reference>
        </references>
      </pivotArea>
    </format>
    <format dxfId="299">
      <pivotArea dataOnly="0" labelOnly="1" fieldPosition="0">
        <references count="2">
          <reference field="1" count="1">
            <x v="203"/>
          </reference>
          <reference field="5" count="1" selected="0">
            <x v="10"/>
          </reference>
        </references>
      </pivotArea>
    </format>
    <format dxfId="298">
      <pivotArea dataOnly="0" labelOnly="1" fieldPosition="0">
        <references count="2">
          <reference field="1" count="1">
            <x v="186"/>
          </reference>
          <reference field="5" count="1" selected="0">
            <x v="8"/>
          </reference>
        </references>
      </pivotArea>
    </format>
    <format dxfId="297">
      <pivotArea dataOnly="0" labelOnly="1" fieldPosition="0">
        <references count="2">
          <reference field="1" count="1">
            <x v="113"/>
          </reference>
          <reference field="5" count="1" selected="0">
            <x v="28"/>
          </reference>
        </references>
      </pivotArea>
    </format>
    <format dxfId="296">
      <pivotArea dataOnly="0" labelOnly="1" fieldPosition="0">
        <references count="2">
          <reference field="1" count="1">
            <x v="175"/>
          </reference>
          <reference field="5" count="1" selected="0">
            <x v="19"/>
          </reference>
        </references>
      </pivotArea>
    </format>
    <format dxfId="295">
      <pivotArea dataOnly="0" labelOnly="1" fieldPosition="0">
        <references count="3">
          <reference field="1" count="1" selected="0">
            <x v="46"/>
          </reference>
          <reference field="4" count="1">
            <x v="130"/>
          </reference>
          <reference field="5" count="1" selected="0">
            <x v="18"/>
          </reference>
        </references>
      </pivotArea>
    </format>
    <format dxfId="294">
      <pivotArea dataOnly="0" labelOnly="1" fieldPosition="0">
        <references count="3">
          <reference field="1" count="1" selected="0">
            <x v="49"/>
          </reference>
          <reference field="4" count="1">
            <x v="137"/>
          </reference>
          <reference field="5" count="1" selected="0">
            <x v="18"/>
          </reference>
        </references>
      </pivotArea>
    </format>
    <format dxfId="293">
      <pivotArea dataOnly="0" labelOnly="1" fieldPosition="0">
        <references count="3">
          <reference field="1" count="1" selected="0">
            <x v="51"/>
          </reference>
          <reference field="4" count="1">
            <x v="192"/>
          </reference>
          <reference field="5" count="1" selected="0">
            <x v="18"/>
          </reference>
        </references>
      </pivotArea>
    </format>
    <format dxfId="292">
      <pivotArea dataOnly="0" labelOnly="1" fieldPosition="0">
        <references count="3">
          <reference field="1" count="1" selected="0">
            <x v="53"/>
          </reference>
          <reference field="4" count="1">
            <x v="107"/>
          </reference>
          <reference field="5" count="1" selected="0">
            <x v="18"/>
          </reference>
        </references>
      </pivotArea>
    </format>
    <format dxfId="291">
      <pivotArea dataOnly="0" labelOnly="1" fieldPosition="0">
        <references count="3">
          <reference field="1" count="1" selected="0">
            <x v="66"/>
          </reference>
          <reference field="4" count="1">
            <x v="131"/>
          </reference>
          <reference field="5" count="1" selected="0">
            <x v="18"/>
          </reference>
        </references>
      </pivotArea>
    </format>
    <format dxfId="290">
      <pivotArea dataOnly="0" labelOnly="1" fieldPosition="0">
        <references count="3">
          <reference field="1" count="1" selected="0">
            <x v="67"/>
          </reference>
          <reference field="4" count="1">
            <x v="188"/>
          </reference>
          <reference field="5" count="1" selected="0">
            <x v="18"/>
          </reference>
        </references>
      </pivotArea>
    </format>
    <format dxfId="289">
      <pivotArea dataOnly="0" labelOnly="1" fieldPosition="0">
        <references count="3">
          <reference field="1" count="1" selected="0">
            <x v="231"/>
          </reference>
          <reference field="4" count="1">
            <x v="64"/>
          </reference>
          <reference field="5" count="1" selected="0">
            <x v="18"/>
          </reference>
        </references>
      </pivotArea>
    </format>
    <format dxfId="288">
      <pivotArea dataOnly="0" labelOnly="1" fieldPosition="0">
        <references count="3">
          <reference field="1" count="1" selected="0">
            <x v="246"/>
          </reference>
          <reference field="4" count="1">
            <x v="173"/>
          </reference>
          <reference field="5" count="1" selected="0">
            <x v="18"/>
          </reference>
        </references>
      </pivotArea>
    </format>
    <format dxfId="287">
      <pivotArea dataOnly="0" labelOnly="1" fieldPosition="0">
        <references count="3">
          <reference field="1" count="1" selected="0">
            <x v="50"/>
          </reference>
          <reference field="4" count="1">
            <x v="152"/>
          </reference>
          <reference field="5" count="1" selected="0">
            <x v="17"/>
          </reference>
        </references>
      </pivotArea>
    </format>
    <format dxfId="286">
      <pivotArea dataOnly="0" labelOnly="1" fieldPosition="0">
        <references count="3">
          <reference field="1" count="1" selected="0">
            <x v="52"/>
          </reference>
          <reference field="4" count="1">
            <x v="200"/>
          </reference>
          <reference field="5" count="1" selected="0">
            <x v="17"/>
          </reference>
        </references>
      </pivotArea>
    </format>
    <format dxfId="285">
      <pivotArea dataOnly="0" labelOnly="1" fieldPosition="0">
        <references count="3">
          <reference field="1" count="1" selected="0">
            <x v="101"/>
          </reference>
          <reference field="4" count="1">
            <x v="229"/>
          </reference>
          <reference field="5" count="1" selected="0">
            <x v="17"/>
          </reference>
        </references>
      </pivotArea>
    </format>
    <format dxfId="284">
      <pivotArea dataOnly="0" labelOnly="1" fieldPosition="0">
        <references count="3">
          <reference field="1" count="1" selected="0">
            <x v="150"/>
          </reference>
          <reference field="4" count="1">
            <x v="148"/>
          </reference>
          <reference field="5" count="1" selected="0">
            <x v="17"/>
          </reference>
        </references>
      </pivotArea>
    </format>
    <format dxfId="283">
      <pivotArea dataOnly="0" labelOnly="1" fieldPosition="0">
        <references count="3">
          <reference field="1" count="1" selected="0">
            <x v="167"/>
          </reference>
          <reference field="4" count="1">
            <x v="67"/>
          </reference>
          <reference field="5" count="1" selected="0">
            <x v="17"/>
          </reference>
        </references>
      </pivotArea>
    </format>
    <format dxfId="282">
      <pivotArea dataOnly="0" labelOnly="1" fieldPosition="0">
        <references count="3">
          <reference field="1" count="1" selected="0">
            <x v="205"/>
          </reference>
          <reference field="4" count="1">
            <x v="57"/>
          </reference>
          <reference field="5" count="1" selected="0">
            <x v="17"/>
          </reference>
        </references>
      </pivotArea>
    </format>
    <format dxfId="281">
      <pivotArea dataOnly="0" labelOnly="1" fieldPosition="0">
        <references count="3">
          <reference field="1" count="1" selected="0">
            <x v="208"/>
          </reference>
          <reference field="4" count="1">
            <x v="139"/>
          </reference>
          <reference field="5" count="1" selected="0">
            <x v="17"/>
          </reference>
        </references>
      </pivotArea>
    </format>
    <format dxfId="280">
      <pivotArea dataOnly="0" labelOnly="1" fieldPosition="0">
        <references count="3">
          <reference field="1" count="1" selected="0">
            <x v="249"/>
          </reference>
          <reference field="4" count="1">
            <x v="42"/>
          </reference>
          <reference field="5" count="1" selected="0">
            <x v="17"/>
          </reference>
        </references>
      </pivotArea>
    </format>
    <format dxfId="279">
      <pivotArea dataOnly="0" labelOnly="1" fieldPosition="0">
        <references count="3">
          <reference field="1" count="1" selected="0">
            <x v="40"/>
          </reference>
          <reference field="4" count="1">
            <x v="217"/>
          </reference>
          <reference field="5" count="1" selected="0">
            <x v="32"/>
          </reference>
        </references>
      </pivotArea>
    </format>
    <format dxfId="278">
      <pivotArea dataOnly="0" labelOnly="1" fieldPosition="0">
        <references count="3">
          <reference field="1" count="1" selected="0">
            <x v="42"/>
          </reference>
          <reference field="4" count="1">
            <x v="217"/>
          </reference>
          <reference field="5" count="1" selected="0">
            <x v="32"/>
          </reference>
        </references>
      </pivotArea>
    </format>
    <format dxfId="277">
      <pivotArea dataOnly="0" labelOnly="1" fieldPosition="0">
        <references count="3">
          <reference field="1" count="1" selected="0">
            <x v="43"/>
          </reference>
          <reference field="4" count="1">
            <x v="96"/>
          </reference>
          <reference field="5" count="1" selected="0">
            <x v="32"/>
          </reference>
        </references>
      </pivotArea>
    </format>
    <format dxfId="276">
      <pivotArea dataOnly="0" labelOnly="1" fieldPosition="0">
        <references count="3">
          <reference field="1" count="1" selected="0">
            <x v="60"/>
          </reference>
          <reference field="4" count="1">
            <x v="32"/>
          </reference>
          <reference field="5" count="1" selected="0">
            <x v="32"/>
          </reference>
        </references>
      </pivotArea>
    </format>
    <format dxfId="275">
      <pivotArea dataOnly="0" labelOnly="1" fieldPosition="0">
        <references count="3">
          <reference field="1" count="1" selected="0">
            <x v="63"/>
          </reference>
          <reference field="4" count="1">
            <x v="74"/>
          </reference>
          <reference field="5" count="1" selected="0">
            <x v="32"/>
          </reference>
        </references>
      </pivotArea>
    </format>
    <format dxfId="274">
      <pivotArea dataOnly="0" labelOnly="1" fieldPosition="0">
        <references count="3">
          <reference field="1" count="1" selected="0">
            <x v="84"/>
          </reference>
          <reference field="4" count="1">
            <x v="162"/>
          </reference>
          <reference field="5" count="1" selected="0">
            <x v="32"/>
          </reference>
        </references>
      </pivotArea>
    </format>
    <format dxfId="273">
      <pivotArea dataOnly="0" labelOnly="1" fieldPosition="0">
        <references count="3">
          <reference field="1" count="1" selected="0">
            <x v="174"/>
          </reference>
          <reference field="4" count="1">
            <x v="96"/>
          </reference>
          <reference field="5" count="1" selected="0">
            <x v="32"/>
          </reference>
        </references>
      </pivotArea>
    </format>
    <format dxfId="272">
      <pivotArea dataOnly="0" labelOnly="1" fieldPosition="0">
        <references count="3">
          <reference field="1" count="1" selected="0">
            <x v="143"/>
          </reference>
          <reference field="4" count="1">
            <x v="145"/>
          </reference>
          <reference field="5" count="1" selected="0">
            <x v="36"/>
          </reference>
        </references>
      </pivotArea>
    </format>
    <format dxfId="271">
      <pivotArea dataOnly="0" labelOnly="1" fieldPosition="0">
        <references count="3">
          <reference field="1" count="1" selected="0">
            <x v="180"/>
          </reference>
          <reference field="4" count="1">
            <x v="29"/>
          </reference>
          <reference field="5" count="1" selected="0">
            <x v="36"/>
          </reference>
        </references>
      </pivotArea>
    </format>
    <format dxfId="270">
      <pivotArea dataOnly="0" labelOnly="1" fieldPosition="0">
        <references count="3">
          <reference field="1" count="1" selected="0">
            <x v="182"/>
          </reference>
          <reference field="4" count="1">
            <x v="12"/>
          </reference>
          <reference field="5" count="1" selected="0">
            <x v="36"/>
          </reference>
        </references>
      </pivotArea>
    </format>
    <format dxfId="269">
      <pivotArea dataOnly="0" labelOnly="1" fieldPosition="0">
        <references count="3">
          <reference field="1" count="1" selected="0">
            <x v="183"/>
          </reference>
          <reference field="4" count="1">
            <x v="13"/>
          </reference>
          <reference field="5" count="1" selected="0">
            <x v="36"/>
          </reference>
        </references>
      </pivotArea>
    </format>
    <format dxfId="268">
      <pivotArea dataOnly="0" labelOnly="1" fieldPosition="0">
        <references count="3">
          <reference field="1" count="1" selected="0">
            <x v="228"/>
          </reference>
          <reference field="4" count="1">
            <x v="153"/>
          </reference>
          <reference field="5" count="1" selected="0">
            <x v="36"/>
          </reference>
        </references>
      </pivotArea>
    </format>
    <format dxfId="267">
      <pivotArea dataOnly="0" labelOnly="1" fieldPosition="0">
        <references count="3">
          <reference field="1" count="1" selected="0">
            <x v="245"/>
          </reference>
          <reference field="4" count="1">
            <x v="26"/>
          </reference>
          <reference field="5" count="1" selected="0">
            <x v="36"/>
          </reference>
        </references>
      </pivotArea>
    </format>
    <format dxfId="266">
      <pivotArea dataOnly="0" labelOnly="1" fieldPosition="0">
        <references count="3">
          <reference field="1" count="1" selected="0">
            <x v="7"/>
          </reference>
          <reference field="4" count="1">
            <x v="117"/>
          </reference>
          <reference field="5" count="1" selected="0">
            <x v="26"/>
          </reference>
        </references>
      </pivotArea>
    </format>
    <format dxfId="265">
      <pivotArea dataOnly="0" labelOnly="1" fieldPosition="0">
        <references count="3">
          <reference field="1" count="1" selected="0">
            <x v="206"/>
          </reference>
          <reference field="4" count="1">
            <x v="142"/>
          </reference>
          <reference field="5" count="1" selected="0">
            <x v="26"/>
          </reference>
        </references>
      </pivotArea>
    </format>
    <format dxfId="264">
      <pivotArea dataOnly="0" labelOnly="1" fieldPosition="0">
        <references count="3">
          <reference field="1" count="1" selected="0">
            <x v="216"/>
          </reference>
          <reference field="4" count="1">
            <x v="88"/>
          </reference>
          <reference field="5" count="1" selected="0">
            <x v="26"/>
          </reference>
        </references>
      </pivotArea>
    </format>
    <format dxfId="263">
      <pivotArea dataOnly="0" labelOnly="1" fieldPosition="0">
        <references count="3">
          <reference field="1" count="1" selected="0">
            <x v="240"/>
          </reference>
          <reference field="4" count="1">
            <x v="20"/>
          </reference>
          <reference field="5" count="1" selected="0">
            <x v="26"/>
          </reference>
        </references>
      </pivotArea>
    </format>
    <format dxfId="262">
      <pivotArea dataOnly="0" labelOnly="1" fieldPosition="0">
        <references count="3">
          <reference field="1" count="1" selected="0">
            <x v="20"/>
          </reference>
          <reference field="4" count="1">
            <x v="183"/>
          </reference>
          <reference field="5" count="1" selected="0">
            <x v="12"/>
          </reference>
        </references>
      </pivotArea>
    </format>
    <format dxfId="261">
      <pivotArea dataOnly="0" labelOnly="1" fieldPosition="0">
        <references count="3">
          <reference field="1" count="1" selected="0">
            <x v="214"/>
          </reference>
          <reference field="4" count="1">
            <x v="52"/>
          </reference>
          <reference field="5" count="1" selected="0">
            <x v="12"/>
          </reference>
        </references>
      </pivotArea>
    </format>
    <format dxfId="260">
      <pivotArea dataOnly="0" labelOnly="1" fieldPosition="0">
        <references count="3">
          <reference field="1" count="1" selected="0">
            <x v="215"/>
          </reference>
          <reference field="4" count="1">
            <x v="164"/>
          </reference>
          <reference field="5" count="1" selected="0">
            <x v="12"/>
          </reference>
        </references>
      </pivotArea>
    </format>
    <format dxfId="259">
      <pivotArea dataOnly="0" labelOnly="1" fieldPosition="0">
        <references count="3">
          <reference field="1" count="1" selected="0">
            <x v="230"/>
          </reference>
          <reference field="4" count="1">
            <x v="159"/>
          </reference>
          <reference field="5" count="1" selected="0">
            <x v="12"/>
          </reference>
        </references>
      </pivotArea>
    </format>
    <format dxfId="258">
      <pivotArea dataOnly="0" labelOnly="1" fieldPosition="0">
        <references count="3">
          <reference field="1" count="1" selected="0">
            <x v="32"/>
          </reference>
          <reference field="4" count="1">
            <x v="14"/>
          </reference>
          <reference field="5" count="1" selected="0">
            <x v="35"/>
          </reference>
        </references>
      </pivotArea>
    </format>
    <format dxfId="257">
      <pivotArea dataOnly="0" labelOnly="1" fieldPosition="0">
        <references count="3">
          <reference field="1" count="1" selected="0">
            <x v="131"/>
          </reference>
          <reference field="4" count="1">
            <x v="55"/>
          </reference>
          <reference field="5" count="1" selected="0">
            <x v="35"/>
          </reference>
        </references>
      </pivotArea>
    </format>
    <format dxfId="256">
      <pivotArea dataOnly="0" labelOnly="1" fieldPosition="0">
        <references count="3">
          <reference field="1" count="1" selected="0">
            <x v="149"/>
          </reference>
          <reference field="4" count="1">
            <x v="22"/>
          </reference>
          <reference field="5" count="1" selected="0">
            <x v="35"/>
          </reference>
        </references>
      </pivotArea>
    </format>
    <format dxfId="255">
      <pivotArea dataOnly="0" labelOnly="1" fieldPosition="0">
        <references count="3">
          <reference field="1" count="1" selected="0">
            <x v="151"/>
          </reference>
          <reference field="4" count="1">
            <x v="93"/>
          </reference>
          <reference field="5" count="1" selected="0">
            <x v="35"/>
          </reference>
        </references>
      </pivotArea>
    </format>
    <format dxfId="254">
      <pivotArea dataOnly="0" labelOnly="1" fieldPosition="0">
        <references count="3">
          <reference field="1" count="1" selected="0">
            <x v="19"/>
          </reference>
          <reference field="4" count="1">
            <x v="19"/>
          </reference>
          <reference field="5" count="1" selected="0">
            <x v="6"/>
          </reference>
        </references>
      </pivotArea>
    </format>
    <format dxfId="253">
      <pivotArea dataOnly="0" labelOnly="1" fieldPosition="0">
        <references count="3">
          <reference field="1" count="1" selected="0">
            <x v="89"/>
          </reference>
          <reference field="4" count="1">
            <x v="23"/>
          </reference>
          <reference field="5" count="1" selected="0">
            <x v="6"/>
          </reference>
        </references>
      </pivotArea>
    </format>
    <format dxfId="252">
      <pivotArea dataOnly="0" labelOnly="1" fieldPosition="0">
        <references count="3">
          <reference field="1" count="1" selected="0">
            <x v="257"/>
          </reference>
          <reference field="4" count="1">
            <x v="100"/>
          </reference>
          <reference field="5" count="1" selected="0">
            <x v="6"/>
          </reference>
        </references>
      </pivotArea>
    </format>
    <format dxfId="251">
      <pivotArea dataOnly="0" labelOnly="1" fieldPosition="0">
        <references count="3">
          <reference field="1" count="1" selected="0">
            <x v="114"/>
          </reference>
          <reference field="4" count="1">
            <x v="232"/>
          </reference>
          <reference field="5" count="1" selected="0">
            <x v="7"/>
          </reference>
        </references>
      </pivotArea>
    </format>
    <format dxfId="250">
      <pivotArea dataOnly="0" labelOnly="1" fieldPosition="0">
        <references count="3">
          <reference field="1" count="1" selected="0">
            <x v="115"/>
          </reference>
          <reference field="4" count="1">
            <x v="232"/>
          </reference>
          <reference field="5" count="1" selected="0">
            <x v="7"/>
          </reference>
        </references>
      </pivotArea>
    </format>
    <format dxfId="249">
      <pivotArea dataOnly="0" labelOnly="1" fieldPosition="0">
        <references count="3">
          <reference field="1" count="1" selected="0">
            <x v="116"/>
          </reference>
          <reference field="4" count="1">
            <x v="232"/>
          </reference>
          <reference field="5" count="1" selected="0">
            <x v="7"/>
          </reference>
        </references>
      </pivotArea>
    </format>
    <format dxfId="248">
      <pivotArea dataOnly="0" labelOnly="1" fieldPosition="0">
        <references count="3">
          <reference field="1" count="1" selected="0">
            <x v="184"/>
          </reference>
          <reference field="4" count="1">
            <x v="127"/>
          </reference>
          <reference field="5" count="1" selected="0">
            <x v="33"/>
          </reference>
        </references>
      </pivotArea>
    </format>
    <format dxfId="247">
      <pivotArea dataOnly="0" labelOnly="1" fieldPosition="0">
        <references count="3">
          <reference field="1" count="1" selected="0">
            <x v="223"/>
          </reference>
          <reference field="4" count="1">
            <x v="30"/>
          </reference>
          <reference field="5" count="1" selected="0">
            <x v="33"/>
          </reference>
        </references>
      </pivotArea>
    </format>
    <format dxfId="246">
      <pivotArea dataOnly="0" labelOnly="1" fieldPosition="0">
        <references count="3">
          <reference field="1" count="1" selected="0">
            <x v="128"/>
          </reference>
          <reference field="4" count="1">
            <x v="21"/>
          </reference>
          <reference field="5" count="1" selected="0">
            <x v="3"/>
          </reference>
        </references>
      </pivotArea>
    </format>
    <format dxfId="245">
      <pivotArea dataOnly="0" labelOnly="1" fieldPosition="0">
        <references count="3">
          <reference field="1" count="1" selected="0">
            <x v="129"/>
          </reference>
          <reference field="4" count="1">
            <x v="102"/>
          </reference>
          <reference field="5" count="1" selected="0">
            <x v="3"/>
          </reference>
        </references>
      </pivotArea>
    </format>
    <format dxfId="244">
      <pivotArea dataOnly="0" labelOnly="1" fieldPosition="0">
        <references count="3">
          <reference field="1" count="1" selected="0">
            <x v="109"/>
          </reference>
          <reference field="4" count="1">
            <x v="70"/>
          </reference>
          <reference field="5" count="1" selected="0">
            <x v="14"/>
          </reference>
        </references>
      </pivotArea>
    </format>
    <format dxfId="243">
      <pivotArea dataOnly="0" labelOnly="1" fieldPosition="0">
        <references count="3">
          <reference field="1" count="1" selected="0">
            <x v="168"/>
          </reference>
          <reference field="4" count="1">
            <x v="194"/>
          </reference>
          <reference field="5" count="1" selected="0">
            <x v="14"/>
          </reference>
        </references>
      </pivotArea>
    </format>
    <format dxfId="242">
      <pivotArea dataOnly="0" labelOnly="1" fieldPosition="0">
        <references count="3">
          <reference field="1" count="1" selected="0">
            <x v="199"/>
          </reference>
          <reference field="4" count="1">
            <x v="37"/>
          </reference>
          <reference field="5" count="1" selected="0">
            <x v="39"/>
          </reference>
        </references>
      </pivotArea>
    </format>
    <format dxfId="241">
      <pivotArea dataOnly="0" labelOnly="1" fieldPosition="0">
        <references count="3">
          <reference field="1" count="1" selected="0">
            <x v="200"/>
          </reference>
          <reference field="4" count="1">
            <x v="81"/>
          </reference>
          <reference field="5" count="1" selected="0">
            <x v="39"/>
          </reference>
        </references>
      </pivotArea>
    </format>
    <format dxfId="240">
      <pivotArea dataOnly="0" labelOnly="1" fieldPosition="0">
        <references count="3">
          <reference field="1" count="1" selected="0">
            <x v="31"/>
          </reference>
          <reference field="4" count="1">
            <x v="170"/>
          </reference>
          <reference field="5" count="1" selected="0">
            <x v="15"/>
          </reference>
        </references>
      </pivotArea>
    </format>
    <format dxfId="239">
      <pivotArea dataOnly="0" labelOnly="1" fieldPosition="0">
        <references count="3">
          <reference field="1" count="1" selected="0">
            <x v="37"/>
          </reference>
          <reference field="4" count="1">
            <x v="41"/>
          </reference>
          <reference field="5" count="1" selected="0">
            <x v="15"/>
          </reference>
        </references>
      </pivotArea>
    </format>
    <format dxfId="238">
      <pivotArea dataOnly="0" labelOnly="1" fieldPosition="0">
        <references count="3">
          <reference field="1" count="1" selected="0">
            <x v="78"/>
          </reference>
          <reference field="4" count="1">
            <x v="156"/>
          </reference>
          <reference field="5" count="1" selected="0">
            <x v="1"/>
          </reference>
        </references>
      </pivotArea>
    </format>
    <format dxfId="237">
      <pivotArea dataOnly="0" labelOnly="1" fieldPosition="0">
        <references count="3">
          <reference field="1" count="1" selected="0">
            <x v="79"/>
          </reference>
          <reference field="4" count="1">
            <x v="157"/>
          </reference>
          <reference field="5" count="1" selected="0">
            <x v="1"/>
          </reference>
        </references>
      </pivotArea>
    </format>
    <format dxfId="236">
      <pivotArea dataOnly="0" labelOnly="1" fieldPosition="0">
        <references count="3">
          <reference field="1" count="1" selected="0">
            <x v="192"/>
          </reference>
          <reference field="4" count="1">
            <x v="90"/>
          </reference>
          <reference field="5" count="1" selected="0">
            <x v="2"/>
          </reference>
        </references>
      </pivotArea>
    </format>
    <format dxfId="235">
      <pivotArea dataOnly="0" labelOnly="1" fieldPosition="0">
        <references count="3">
          <reference field="1" count="1" selected="0">
            <x v="166"/>
          </reference>
          <reference field="4" count="1">
            <x v="201"/>
          </reference>
          <reference field="5" count="1" selected="0">
            <x v="30"/>
          </reference>
        </references>
      </pivotArea>
    </format>
    <format dxfId="234">
      <pivotArea dataOnly="0" labelOnly="1" fieldPosition="0">
        <references count="3">
          <reference field="1" count="1" selected="0">
            <x v="130"/>
          </reference>
          <reference field="4" count="1">
            <x v="166"/>
          </reference>
          <reference field="5" count="1" selected="0">
            <x v="40"/>
          </reference>
        </references>
      </pivotArea>
    </format>
    <format dxfId="233">
      <pivotArea dataOnly="0" labelOnly="1" fieldPosition="0">
        <references count="3">
          <reference field="1" count="1" selected="0">
            <x v="189"/>
          </reference>
          <reference field="4" count="1">
            <x v="227"/>
          </reference>
          <reference field="5" count="1" selected="0">
            <x v="9"/>
          </reference>
        </references>
      </pivotArea>
    </format>
    <format dxfId="232">
      <pivotArea dataOnly="0" labelOnly="1" fieldPosition="0">
        <references count="3">
          <reference field="1" count="1" selected="0">
            <x v="65"/>
          </reference>
          <reference field="4" count="1">
            <x v="187"/>
          </reference>
          <reference field="5" count="1" selected="0">
            <x v="5"/>
          </reference>
        </references>
      </pivotArea>
    </format>
    <format dxfId="231">
      <pivotArea dataOnly="0" labelOnly="1" fieldPosition="0">
        <references count="3">
          <reference field="1" count="1" selected="0">
            <x v="263"/>
          </reference>
          <reference field="4" count="1">
            <x v="232"/>
          </reference>
          <reference field="5" count="1" selected="0">
            <x v="44"/>
          </reference>
        </references>
      </pivotArea>
    </format>
    <format dxfId="230">
      <pivotArea dataOnly="0" labelOnly="1" fieldPosition="0">
        <references count="3">
          <reference field="1" count="1" selected="0">
            <x v="107"/>
          </reference>
          <reference field="4" count="1">
            <x v="208"/>
          </reference>
          <reference field="5" count="1" selected="0">
            <x v="38"/>
          </reference>
        </references>
      </pivotArea>
    </format>
    <format dxfId="229">
      <pivotArea dataOnly="0" labelOnly="1" fieldPosition="0">
        <references count="3">
          <reference field="1" count="1" selected="0">
            <x v="224"/>
          </reference>
          <reference field="4" count="1">
            <x v="141"/>
          </reference>
          <reference field="5" count="1" selected="0">
            <x v="20"/>
          </reference>
        </references>
      </pivotArea>
    </format>
    <format dxfId="228">
      <pivotArea dataOnly="0" labelOnly="1" fieldPosition="0">
        <references count="3">
          <reference field="1" count="1" selected="0">
            <x v="73"/>
          </reference>
          <reference field="4" count="1">
            <x v="146"/>
          </reference>
          <reference field="5" count="1" selected="0">
            <x v="29"/>
          </reference>
        </references>
      </pivotArea>
    </format>
    <format dxfId="227">
      <pivotArea dataOnly="0" labelOnly="1" fieldPosition="0">
        <references count="3">
          <reference field="1" count="1" selected="0">
            <x v="138"/>
          </reference>
          <reference field="4" count="1">
            <x v="149"/>
          </reference>
          <reference field="5" count="1" selected="0">
            <x v="21"/>
          </reference>
        </references>
      </pivotArea>
    </format>
    <format dxfId="226">
      <pivotArea dataOnly="0" labelOnly="1" fieldPosition="0">
        <references count="3">
          <reference field="1" count="1" selected="0">
            <x v="122"/>
          </reference>
          <reference field="4" count="1">
            <x v="132"/>
          </reference>
          <reference field="5" count="1" selected="0">
            <x v="11"/>
          </reference>
        </references>
      </pivotArea>
    </format>
    <format dxfId="225">
      <pivotArea dataOnly="0" labelOnly="1" fieldPosition="0">
        <references count="3">
          <reference field="1" count="1" selected="0">
            <x v="169"/>
          </reference>
          <reference field="4" count="1">
            <x v="151"/>
          </reference>
          <reference field="5" count="1" selected="0">
            <x v="22"/>
          </reference>
        </references>
      </pivotArea>
    </format>
    <format dxfId="224">
      <pivotArea dataOnly="0" labelOnly="1" fieldPosition="0">
        <references count="3">
          <reference field="1" count="1" selected="0">
            <x v="250"/>
          </reference>
          <reference field="4" count="1">
            <x v="226"/>
          </reference>
          <reference field="5" count="1" selected="0">
            <x v="13"/>
          </reference>
        </references>
      </pivotArea>
    </format>
    <format dxfId="223">
      <pivotArea dataOnly="0" labelOnly="1" fieldPosition="0">
        <references count="3">
          <reference field="1" count="1" selected="0">
            <x v="156"/>
          </reference>
          <reference field="4" count="1">
            <x v="189"/>
          </reference>
          <reference field="5" count="1" selected="0">
            <x v="23"/>
          </reference>
        </references>
      </pivotArea>
    </format>
    <format dxfId="222">
      <pivotArea dataOnly="0" labelOnly="1" fieldPosition="0">
        <references count="3">
          <reference field="1" count="1" selected="0">
            <x v="134"/>
          </reference>
          <reference field="4" count="1">
            <x v="178"/>
          </reference>
          <reference field="5" count="1" selected="0">
            <x v="37"/>
          </reference>
        </references>
      </pivotArea>
    </format>
    <format dxfId="221">
      <pivotArea dataOnly="0" labelOnly="1" fieldPosition="0">
        <references count="3">
          <reference field="1" count="1" selected="0">
            <x v="241"/>
          </reference>
          <reference field="4" count="1">
            <x v="99"/>
          </reference>
          <reference field="5" count="1" selected="0">
            <x v="24"/>
          </reference>
        </references>
      </pivotArea>
    </format>
    <format dxfId="220">
      <pivotArea dataOnly="0" labelOnly="1" fieldPosition="0">
        <references count="3">
          <reference field="1" count="1" selected="0">
            <x v="38"/>
          </reference>
          <reference field="4" count="1">
            <x v="34"/>
          </reference>
          <reference field="5" count="1" selected="0">
            <x v="4"/>
          </reference>
        </references>
      </pivotArea>
    </format>
    <format dxfId="219">
      <pivotArea dataOnly="0" labelOnly="1" fieldPosition="0">
        <references count="3">
          <reference field="1" count="1" selected="0">
            <x v="203"/>
          </reference>
          <reference field="4" count="1">
            <x v="196"/>
          </reference>
          <reference field="5" count="1" selected="0">
            <x v="10"/>
          </reference>
        </references>
      </pivotArea>
    </format>
    <format dxfId="218">
      <pivotArea dataOnly="0" labelOnly="1" fieldPosition="0">
        <references count="3">
          <reference field="1" count="1" selected="0">
            <x v="186"/>
          </reference>
          <reference field="4" count="1">
            <x v="8"/>
          </reference>
          <reference field="5" count="1" selected="0">
            <x v="8"/>
          </reference>
        </references>
      </pivotArea>
    </format>
    <format dxfId="217">
      <pivotArea dataOnly="0" labelOnly="1" fieldPosition="0">
        <references count="3">
          <reference field="1" count="1" selected="0">
            <x v="113"/>
          </reference>
          <reference field="4" count="1">
            <x v="206"/>
          </reference>
          <reference field="5" count="1" selected="0">
            <x v="28"/>
          </reference>
        </references>
      </pivotArea>
    </format>
    <format dxfId="216">
      <pivotArea dataOnly="0" labelOnly="1" fieldPosition="0">
        <references count="3">
          <reference field="1" count="1" selected="0">
            <x v="175"/>
          </reference>
          <reference field="4" count="1">
            <x v="9"/>
          </reference>
          <reference field="5" count="1" selected="0">
            <x v="19"/>
          </reference>
        </references>
      </pivotArea>
    </format>
    <format dxfId="215">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54631F-0096-4A29-9981-DFC0F8CF0FF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4:N19" firstHeaderRow="1" firstDataRow="1" firstDataCol="1" rowPageCount="2" colPageCount="1"/>
  <pivotFields count="26">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axis="axisRow" showAll="0">
      <items count="20">
        <item m="1" x="18"/>
        <item x="13"/>
        <item x="16"/>
        <item x="10"/>
        <item x="0"/>
        <item x="5"/>
        <item x="3"/>
        <item x="7"/>
        <item x="11"/>
        <item x="14"/>
        <item x="1"/>
        <item x="2"/>
        <item x="6"/>
        <item x="9"/>
        <item x="12"/>
        <item x="17"/>
        <item x="8"/>
        <item x="15"/>
        <item x="4"/>
        <item t="default"/>
      </items>
    </pivotField>
    <pivotField axis="axisPage" showAll="0">
      <items count="6">
        <item m="1" x="4"/>
        <item m="1" x="2"/>
        <item x="1"/>
        <item x="0"/>
        <item m="1" x="3"/>
        <item t="default"/>
      </items>
    </pivotField>
    <pivotField showAll="0"/>
  </pivotFields>
  <rowFields count="1">
    <field x="23"/>
  </rowFields>
  <rowItems count="15">
    <i>
      <x v="4"/>
    </i>
    <i>
      <x v="5"/>
    </i>
    <i>
      <x v="6"/>
    </i>
    <i>
      <x v="7"/>
    </i>
    <i>
      <x v="8"/>
    </i>
    <i>
      <x v="9"/>
    </i>
    <i>
      <x v="10"/>
    </i>
    <i>
      <x v="11"/>
    </i>
    <i>
      <x v="12"/>
    </i>
    <i>
      <x v="13"/>
    </i>
    <i>
      <x v="14"/>
    </i>
    <i>
      <x v="15"/>
    </i>
    <i>
      <x v="16"/>
    </i>
    <i>
      <x v="17"/>
    </i>
    <i t="grand">
      <x/>
    </i>
  </rowItems>
  <colItems count="1">
    <i/>
  </colItems>
  <pageFields count="2">
    <pageField fld="13" hier="-1"/>
    <pageField fld="24" item="3" hier="-1"/>
  </pageFields>
  <dataFields count="1">
    <dataField name="Count of Year" fld="5"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ED9D7B-F72C-4814-9C54-DC52971F78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4:Q22" firstHeaderRow="1" firstDataRow="1" firstDataCol="1" rowPageCount="2" colPageCount="1"/>
  <pivotFields count="26">
    <pivotField axis="axisRow" showAll="0">
      <items count="2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4"/>
        <item x="245"/>
        <item x="246"/>
        <item x="247"/>
        <item x="248"/>
        <item x="249"/>
        <item x="250"/>
        <item x="251"/>
        <item x="252"/>
        <item x="253"/>
        <item x="254"/>
        <item x="255"/>
        <item x="243"/>
        <item t="default"/>
      </items>
    </pivotField>
    <pivotField axis="axisRow" showAll="0">
      <items count="265">
        <item x="202"/>
        <item x="199"/>
        <item x="188"/>
        <item x="201"/>
        <item x="195"/>
        <item x="189"/>
        <item x="191"/>
        <item x="198"/>
        <item x="135"/>
        <item x="200"/>
        <item x="187"/>
        <item x="214"/>
        <item x="197"/>
        <item x="192"/>
        <item x="193"/>
        <item x="194"/>
        <item x="190"/>
        <item x="196"/>
        <item x="213"/>
        <item x="221"/>
        <item x="0"/>
        <item x="146"/>
        <item x="30"/>
        <item x="107"/>
        <item x="138"/>
        <item x="254"/>
        <item x="137"/>
        <item x="150"/>
        <item x="71"/>
        <item x="130"/>
        <item x="129"/>
        <item x="209"/>
        <item x="208"/>
        <item x="234"/>
        <item x="181"/>
        <item x="216"/>
        <item x="165"/>
        <item x="132"/>
        <item x="17"/>
        <item x="133"/>
        <item x="153"/>
        <item x="157"/>
        <item x="154"/>
        <item x="183"/>
        <item x="203"/>
        <item x="109"/>
        <item x="93"/>
        <item x="94"/>
        <item x="95"/>
        <item x="92"/>
        <item x="43"/>
        <item x="83"/>
        <item x="78"/>
        <item x="239"/>
        <item x="136"/>
        <item x="68"/>
        <item x="126"/>
        <item x="25"/>
        <item x="211"/>
        <item x="24"/>
        <item x="86"/>
        <item x="235"/>
        <item x="231"/>
        <item x="121"/>
        <item x="260"/>
        <item x="64"/>
        <item x="205"/>
        <item x="123"/>
        <item x="246"/>
        <item x="151"/>
        <item x="117"/>
        <item x="259"/>
        <item x="238"/>
        <item x="76"/>
        <item x="258"/>
        <item x="114"/>
        <item x="230"/>
        <item x="173"/>
        <item x="84"/>
        <item x="85"/>
        <item x="120"/>
        <item x="159"/>
        <item x="144"/>
        <item x="128"/>
        <item n="CS Padre José Filipe Rodrigues" x="210"/>
        <item x="100"/>
        <item x="96"/>
        <item x="97"/>
        <item x="242"/>
        <item x="29"/>
        <item x="79"/>
        <item x="141"/>
        <item x="204"/>
        <item x="149"/>
        <item x="7"/>
        <item x="91"/>
        <item x="62"/>
        <item x="61"/>
        <item x="175"/>
        <item x="118"/>
        <item x="143"/>
        <item x="58"/>
        <item x="163"/>
        <item x="46"/>
        <item x="47"/>
        <item x="73"/>
        <item x="74"/>
        <item x="45"/>
        <item x="75"/>
        <item x="2"/>
        <item x="207"/>
        <item x="219"/>
        <item x="60"/>
        <item x="89"/>
        <item x="249"/>
        <item x="250"/>
        <item x="248"/>
        <item x="40"/>
        <item x="217"/>
        <item x="57"/>
        <item x="50"/>
        <item x="39"/>
        <item x="65"/>
        <item x="179"/>
        <item x="164"/>
        <item x="253"/>
        <item x="105"/>
        <item x="222"/>
        <item x="102"/>
        <item x="101"/>
        <item x="37"/>
        <item x="1"/>
        <item x="108"/>
        <item x="170"/>
        <item x="110"/>
        <item x="171"/>
        <item x="19"/>
        <item x="247"/>
        <item x="42"/>
        <item x="23"/>
        <item x="227"/>
        <item x="182"/>
        <item x="119"/>
        <item x="56"/>
        <item x="256"/>
        <item x="169"/>
        <item x="122"/>
        <item x="206"/>
        <item x="134"/>
        <item x="186"/>
        <item x="69"/>
        <item x="27"/>
        <item x="177"/>
        <item x="178"/>
        <item x="176"/>
        <item x="63"/>
        <item x="49"/>
        <item x="251"/>
        <item x="36"/>
        <item x="226"/>
        <item x="35"/>
        <item x="139"/>
        <item x="115"/>
        <item x="240"/>
        <item x="147"/>
        <item x="9"/>
        <item x="87"/>
        <item x="161"/>
        <item x="244"/>
        <item x="66"/>
        <item x="38"/>
        <item x="142"/>
        <item x="229"/>
        <item x="252"/>
        <item x="184"/>
        <item x="10"/>
        <item x="236"/>
        <item x="125"/>
        <item x="241"/>
        <item x="145"/>
        <item x="13"/>
        <item x="148"/>
        <item x="8"/>
        <item x="41"/>
        <item x="72"/>
        <item x="31"/>
        <item x="218"/>
        <item x="22"/>
        <item x="140"/>
        <item x="34"/>
        <item x="215"/>
        <item x="155"/>
        <item x="158"/>
        <item x="104"/>
        <item x="53"/>
        <item x="232"/>
        <item x="54"/>
        <item x="233"/>
        <item x="55"/>
        <item x="26"/>
        <item x="6"/>
        <item x="261"/>
        <item x="12"/>
        <item x="112"/>
        <item x="255"/>
        <item x="99"/>
        <item x="16"/>
        <item x="237"/>
        <item x="262"/>
        <item x="67"/>
        <item x="180"/>
        <item x="228"/>
        <item x="245"/>
        <item x="48"/>
        <item x="106"/>
        <item x="4"/>
        <item x="3"/>
        <item x="111"/>
        <item x="162"/>
        <item x="98"/>
        <item x="20"/>
        <item x="152"/>
        <item x="243"/>
        <item x="224"/>
        <item x="59"/>
        <item x="70"/>
        <item x="212"/>
        <item x="257"/>
        <item x="156"/>
        <item x="14"/>
        <item x="127"/>
        <item x="77"/>
        <item x="185"/>
        <item x="174"/>
        <item x="116"/>
        <item x="80"/>
        <item x="81"/>
        <item x="82"/>
        <item x="172"/>
        <item x="90"/>
        <item x="160"/>
        <item x="28"/>
        <item x="33"/>
        <item x="167"/>
        <item x="166"/>
        <item x="168"/>
        <item x="11"/>
        <item x="52"/>
        <item x="44"/>
        <item x="103"/>
        <item x="21"/>
        <item x="18"/>
        <item x="113"/>
        <item x="223"/>
        <item x="5"/>
        <item x="51"/>
        <item x="32"/>
        <item x="225"/>
        <item x="15"/>
        <item x="220"/>
        <item x="131"/>
        <item x="88"/>
        <item x="124"/>
        <item m="1" x="263"/>
        <item t="default"/>
      </items>
    </pivotField>
    <pivotField showAll="0"/>
    <pivotField showAll="0"/>
    <pivotField showAll="0"/>
    <pivotField dataField="1"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Page" showAll="0">
      <items count="4">
        <item x="1"/>
        <item x="0"/>
        <item x="2"/>
        <item t="default"/>
      </items>
    </pivotField>
    <pivotField showAll="0"/>
    <pivotField axis="axisRow" showAll="0">
      <items count="11">
        <item sd="0" x="7"/>
        <item sd="0" x="6"/>
        <item sd="0" x="0"/>
        <item sd="0" x="1"/>
        <item sd="0" x="8"/>
        <item sd="0" x="2"/>
        <item sd="0" x="9"/>
        <item sd="0" x="4"/>
        <item sd="0" x="5"/>
        <item x="3"/>
        <item t="default" sd="0"/>
      </items>
    </pivotField>
    <pivotField showAll="0"/>
    <pivotField showAll="0"/>
    <pivotField showAll="0"/>
    <pivotField showAll="0"/>
    <pivotField showAll="0"/>
    <pivotField showAll="0"/>
    <pivotField showAll="0"/>
    <pivotField showAll="0"/>
    <pivotField axis="axisPage" showAll="0">
      <items count="6">
        <item m="1" x="4"/>
        <item m="1" x="2"/>
        <item x="1"/>
        <item x="0"/>
        <item m="1" x="3"/>
        <item t="default"/>
      </items>
    </pivotField>
    <pivotField showAll="0"/>
  </pivotFields>
  <rowFields count="3">
    <field x="15"/>
    <field x="1"/>
    <field x="0"/>
  </rowFields>
  <rowItems count="18">
    <i>
      <x/>
    </i>
    <i>
      <x v="1"/>
    </i>
    <i>
      <x v="2"/>
    </i>
    <i>
      <x v="3"/>
    </i>
    <i>
      <x v="4"/>
    </i>
    <i>
      <x v="5"/>
    </i>
    <i>
      <x v="7"/>
    </i>
    <i>
      <x v="8"/>
    </i>
    <i>
      <x v="9"/>
    </i>
    <i r="1">
      <x v="7"/>
    </i>
    <i r="2">
      <x v="193"/>
    </i>
    <i r="1">
      <x v="32"/>
    </i>
    <i r="2">
      <x v="203"/>
    </i>
    <i r="1">
      <x v="66"/>
    </i>
    <i r="2">
      <x v="200"/>
    </i>
    <i r="1">
      <x v="84"/>
    </i>
    <i r="2">
      <x v="205"/>
    </i>
    <i t="grand">
      <x/>
    </i>
  </rowItems>
  <colItems count="1">
    <i/>
  </colItems>
  <pageFields count="2">
    <pageField fld="13" hier="-1"/>
    <pageField fld="24" item="3" hier="-1"/>
  </pageFields>
  <dataFields count="1">
    <dataField name="Count of Location"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5823E6-CDA5-4A78-A190-DE276D1267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4:K41" firstHeaderRow="1" firstDataRow="1" firstDataCol="1" rowPageCount="2" colPageCount="1"/>
  <pivotFields count="26">
    <pivotField showAll="0"/>
    <pivotField showAll="0"/>
    <pivotField showAll="0"/>
    <pivotField showAll="0"/>
    <pivotField showAll="0"/>
    <pivotField axis="axisRow" dataField="1" showAll="0" sortType="descending">
      <items count="46">
        <item x="39"/>
        <item x="29"/>
        <item x="22"/>
        <item x="32"/>
        <item x="10"/>
        <item x="24"/>
        <item x="8"/>
        <item x="42"/>
        <item x="21"/>
        <item x="15"/>
        <item x="34"/>
        <item x="25"/>
        <item x="0"/>
        <item x="11"/>
        <item x="2"/>
        <item x="13"/>
        <item x="36"/>
        <item x="3"/>
        <item x="12"/>
        <item x="7"/>
        <item x="27"/>
        <item x="18"/>
        <item x="26"/>
        <item x="20"/>
        <item x="14"/>
        <item x="35"/>
        <item x="9"/>
        <item m="1" x="44"/>
        <item x="31"/>
        <item x="28"/>
        <item x="30"/>
        <item x="40"/>
        <item x="16"/>
        <item x="23"/>
        <item x="37"/>
        <item x="1"/>
        <item x="6"/>
        <item x="33"/>
        <item x="19"/>
        <item x="4"/>
        <item x="17"/>
        <item x="38"/>
        <item x="41"/>
        <item x="5"/>
        <item x="4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Page" showAll="0">
      <items count="6">
        <item m="1" x="4"/>
        <item m="1" x="2"/>
        <item x="1"/>
        <item x="0"/>
        <item m="1" x="3"/>
        <item t="default"/>
      </items>
    </pivotField>
    <pivotField showAll="0"/>
  </pivotFields>
  <rowFields count="1">
    <field x="5"/>
  </rowFields>
  <rowItems count="37">
    <i>
      <x v="18"/>
    </i>
    <i>
      <x v="17"/>
    </i>
    <i>
      <x v="32"/>
    </i>
    <i>
      <x v="36"/>
    </i>
    <i>
      <x v="26"/>
    </i>
    <i>
      <x v="12"/>
    </i>
    <i>
      <x v="35"/>
    </i>
    <i>
      <x v="6"/>
    </i>
    <i>
      <x v="7"/>
    </i>
    <i>
      <x v="33"/>
    </i>
    <i>
      <x v="3"/>
    </i>
    <i>
      <x v="14"/>
    </i>
    <i>
      <x v="39"/>
    </i>
    <i>
      <x v="15"/>
    </i>
    <i>
      <x v="1"/>
    </i>
    <i>
      <x v="2"/>
    </i>
    <i>
      <x v="30"/>
    </i>
    <i>
      <x v="40"/>
    </i>
    <i>
      <x v="9"/>
    </i>
    <i>
      <x v="5"/>
    </i>
    <i>
      <x v="44"/>
    </i>
    <i>
      <x v="38"/>
    </i>
    <i>
      <x v="20"/>
    </i>
    <i>
      <x v="29"/>
    </i>
    <i>
      <x v="21"/>
    </i>
    <i>
      <x v="11"/>
    </i>
    <i>
      <x v="22"/>
    </i>
    <i>
      <x v="13"/>
    </i>
    <i>
      <x v="23"/>
    </i>
    <i>
      <x v="37"/>
    </i>
    <i>
      <x v="24"/>
    </i>
    <i>
      <x v="4"/>
    </i>
    <i>
      <x v="10"/>
    </i>
    <i>
      <x v="8"/>
    </i>
    <i>
      <x v="28"/>
    </i>
    <i>
      <x v="19"/>
    </i>
    <i t="grand">
      <x/>
    </i>
  </rowItems>
  <colItems count="1">
    <i/>
  </colItems>
  <pageFields count="2">
    <pageField fld="13" hier="-1"/>
    <pageField fld="24" item="3" hier="-1"/>
  </pageFields>
  <dataFields count="1">
    <dataField name="Count of Location"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C7D42B-20C5-4BD5-BF77-C34DCBAB059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4:E7" firstHeaderRow="1" firstDataRow="1" firstDataCol="1" rowPageCount="1" colPageCount="1"/>
  <pivotFields count="26">
    <pivotField showAll="0"/>
    <pivotField showAll="0"/>
    <pivotField showAll="0"/>
    <pivotField showAll="0"/>
    <pivotField showAll="0"/>
    <pivotField dataField="1"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m="1" x="4"/>
        <item m="1" x="2"/>
        <item x="1"/>
        <item x="0"/>
        <item m="1" x="3"/>
        <item t="default"/>
      </items>
    </pivotField>
    <pivotField showAll="0"/>
  </pivotFields>
  <rowFields count="1">
    <field x="24"/>
  </rowFields>
  <rowItems count="3">
    <i>
      <x v="2"/>
    </i>
    <i>
      <x v="3"/>
    </i>
    <i t="grand">
      <x/>
    </i>
  </rowItems>
  <colItems count="1">
    <i/>
  </colItems>
  <pageFields count="1">
    <pageField fld="13" item="1" hier="-1"/>
  </pageFields>
  <dataFields count="1">
    <dataField name="Count of Location"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DE3D17-7BB7-470D-9AD3-047D3558CB8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B7" firstHeaderRow="1" firstDataRow="1" firstDataCol="1" rowPageCount="1" colPageCount="1"/>
  <pivotFields count="26">
    <pivotField showAll="0"/>
    <pivotField showAll="0"/>
    <pivotField showAll="0"/>
    <pivotField showAll="0"/>
    <pivotField showAll="0"/>
    <pivotField dataField="1" showAll="0" sortType="descending">
      <autoSortScope>
        <pivotArea dataOnly="0" outline="0" fieldPosition="0">
          <references count="1">
            <reference field="4294967294" count="1" selected="0">
              <x v="0"/>
            </reference>
          </references>
        </pivotArea>
      </autoSortScope>
    </pivotField>
    <pivotField showAll="0"/>
    <pivotField showAll="0"/>
    <pivotField axis="axisRow" showAll="0">
      <items count="5">
        <item x="1"/>
        <item x="0"/>
        <item x="2"/>
        <item x="3"/>
        <item t="default"/>
      </items>
    </pivotField>
    <pivotField showAll="0"/>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pageFields count="1">
    <pageField fld="13" item="1" hier="-1"/>
  </pageFields>
  <dataFields count="1">
    <dataField name="Count of Location"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B265" headerRowDxfId="416" dataDxfId="415" tableBorderDxfId="414">
  <autoFilter ref="A1:AB265" xr:uid="{00000000-0009-0000-0100-000001000000}"/>
  <sortState xmlns:xlrd2="http://schemas.microsoft.com/office/spreadsheetml/2017/richdata2" ref="A2:V265">
    <sortCondition ref="A1:A265"/>
  </sortState>
  <tableColumns count="28">
    <tableColumn id="1" xr3:uid="{00000000-0010-0000-0000-000001000000}" name="N°" totalsRowLabel="Total" dataDxfId="413"/>
    <tableColumn id="3" xr3:uid="{00000000-0010-0000-0000-000003000000}" name="Project" dataDxfId="412"/>
    <tableColumn id="4" xr3:uid="{00000000-0010-0000-0000-000004000000}" name="Company Name" dataDxfId="411" totalsRowDxfId="410"/>
    <tableColumn id="5" xr3:uid="{00000000-0010-0000-0000-000005000000}" name="Nif" dataDxfId="409" totalsRowDxfId="408"/>
    <tableColumn id="6" xr3:uid="{00000000-0010-0000-0000-000006000000}" name="Address" dataDxfId="407" totalsRowDxfId="406"/>
    <tableColumn id="28" xr3:uid="{00000000-0010-0000-0000-00001C000000}" name="Location" dataDxfId="405" totalsRowDxfId="404"/>
    <tableColumn id="26" xr3:uid="{00000000-0010-0000-0000-00001A000000}" name="Nº Panels" dataDxfId="403" totalsRowDxfId="402"/>
    <tableColumn id="7" xr3:uid="{00000000-0010-0000-0000-000007000000}" name="Kwp" dataDxfId="401" totalsRowDxfId="400"/>
    <tableColumn id="8" xr3:uid="{00000000-0010-0000-0000-000008000000}" name=" Type of Contract" dataDxfId="399" totalsRowDxfId="398"/>
    <tableColumn id="9" xr3:uid="{00000000-0010-0000-0000-000009000000}" name="Sell To" dataDxfId="397" totalsRowDxfId="396"/>
    <tableColumn id="11" xr3:uid="{00000000-0010-0000-0000-00000B000000}" name="Duration" dataDxfId="395" totalsRowDxfId="394"/>
    <tableColumn id="18" xr3:uid="{00000000-0010-0000-0000-000012000000}" name="Duration Month2" dataDxfId="393" totalsRowDxfId="392">
      <calculatedColumnFormula>Table1[[#This Row],[Duration]]*12</calculatedColumnFormula>
    </tableColumn>
    <tableColumn id="14" xr3:uid="{00000000-0010-0000-0000-00000E000000}" name="Start Contract" dataDxfId="391" totalsRowDxfId="390"/>
    <tableColumn id="10" xr3:uid="{00000000-0010-0000-0000-00000A000000}" name="Maintenance" dataDxfId="389" totalsRowDxfId="388">
      <calculatedColumnFormula>IF(AND(Table1[[#This Row],[ Type of Contract]]="ESCO",Table1[[#This Row],[Status Detail]]="ACTIVE"),"yes","no")</calculatedColumnFormula>
    </tableColumn>
    <tableColumn id="25" xr3:uid="{00000000-0010-0000-0000-000019000000}" name="Type of Coverage" dataDxfId="387" totalsRowDxfId="386"/>
    <tableColumn id="24" xr3:uid="{00000000-0010-0000-0000-000018000000}" name="Access" dataDxfId="385" totalsRowDxfId="384"/>
    <tableColumn id="13" xr3:uid="{00000000-0010-0000-0000-00000D000000}" name="Maintenance comment" dataDxfId="383" totalsRowDxfId="382"/>
    <tableColumn id="15" xr3:uid="{00000000-0010-0000-0000-00000F000000}" name="Status Detail" dataDxfId="381" totalsRowDxfId="380"/>
    <tableColumn id="21" xr3:uid="{00000000-0010-0000-0000-000015000000}" name="Nome da Pessoa" dataDxfId="379" totalsRowDxfId="378"/>
    <tableColumn id="23" xr3:uid="{00000000-0010-0000-0000-000017000000}" name="Cargo" dataDxfId="377" totalsRowDxfId="376"/>
    <tableColumn id="20" xr3:uid="{00000000-0010-0000-0000-000014000000}" name="Email" dataDxfId="375" totalsRowDxfId="374"/>
    <tableColumn id="22" xr3:uid="{00000000-0010-0000-0000-000016000000}" name="Telefone" dataDxfId="373" totalsRowDxfId="372"/>
    <tableColumn id="30" xr3:uid="{00000000-0010-0000-0000-00001E000000}" name="End Contract" dataDxfId="371">
      <calculatedColumnFormula>IF(Table1[[#This Row],[Maintenance]]="yes",IF(OR(Table1[[#This Row],[Start Contract]]="",Table1[[#This Row],[Duration Month2]]=""),"",EDATE(Table1[[#This Row],[Start Contract]],Table1[[#This Row],[Duration Month2]])),"-")</calculatedColumnFormula>
    </tableColumn>
    <tableColumn id="35" xr3:uid="{735FB0C7-AD38-41B5-A193-97F0DE49E10E}" name="Year of End Contract" dataDxfId="370">
      <calculatedColumnFormula>IF(OR((W2=""),(W2="-")),"",YEAR(Table1[[#This Row],[End Contract]]))</calculatedColumnFormula>
    </tableColumn>
    <tableColumn id="31" xr3:uid="{00000000-0010-0000-0000-00001F000000}" name="Active Contract" dataDxfId="369" totalsRowDxfId="368">
      <calculatedColumnFormula>IF(Table1[[#This Row],[Maintenance]]="yes",IF(Table1[[#This Row],[End Contract]]="","no",IF(TODAY()&lt;=Table1[[#This Row],[End Contract]],"yes","no")),"no")</calculatedColumnFormula>
    </tableColumn>
    <tableColumn id="32" xr3:uid="{00000000-0010-0000-0000-000020000000}" name="Notes" dataDxfId="367"/>
    <tableColumn id="2" xr3:uid="{4F1315A6-E6D7-439C-A0DD-FEFFA981B404}" name="€€" dataDxfId="366"/>
    <tableColumn id="12" xr3:uid="{F4ADEB24-3E11-4973-A81B-C11AB63A5300}" name="Tipo" dataDxfId="36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F97DEA-56A9-43AA-8B4C-5E88F8E409E1}" name="Table3" displayName="Table3" ref="U2:X39" totalsRowShown="0">
  <autoFilter ref="U2:X39" xr:uid="{45F97DEA-56A9-43AA-8B4C-5E88F8E409E1}"/>
  <tableColumns count="4">
    <tableColumn id="1" xr3:uid="{9AD3818B-4A36-4A35-9703-8BB2C34CFFEE}" name="Column1"/>
    <tableColumn id="2" xr3:uid="{996477EF-4B61-4086-9ABE-BFFCC32258B6}" name="Column2"/>
    <tableColumn id="3" xr3:uid="{5FC1F3A8-D2C9-4B1F-A33A-DC220652218B}" name="Column3">
      <calculatedColumnFormula>_xlfn.XLOOKUP(U3, 'Project Overview'!B:B, 'Project Overview'!Y:Y, "not found")</calculatedColumnFormula>
    </tableColumn>
    <tableColumn id="4" xr3:uid="{D6457C93-21B4-4F91-95AD-B1A3FCCBDAA8}" name="Column4">
      <calculatedColumnFormula>_xlfn.XLOOKUP(U3, 'Project Overview'!B:B, 'Project Overview'!I:I, "not found")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D57A86-9E60-4F2D-BA45-0895FFBD5A7F}" name="Table2" displayName="Table2" ref="Z2:AE38" totalsRowShown="0" headerRowDxfId="205" headerRowBorderDxfId="204" tableBorderDxfId="203">
  <autoFilter ref="Z2:AE38" xr:uid="{11D57A86-9E60-4F2D-BA45-0895FFBD5A7F}"/>
  <tableColumns count="6">
    <tableColumn id="2" xr3:uid="{4D6374F0-8B68-46E2-B68F-82DCFCF4133D}" name="Nome"/>
    <tableColumn id="3" xr3:uid="{E5EECEA3-9B99-4FEE-A16B-705E261AD943}" name="Tipo de Erros"/>
    <tableColumn id="4" xr3:uid="{3EF77F54-9123-4828-84E2-A71F7765BC2F}" name="Contrato de O&amp;M">
      <calculatedColumnFormula>_xlfn.XLOOKUP(Z3, 'Project Overview'!B:B, 'Project Overview'!Y:Y, "not found")</calculatedColumnFormula>
    </tableColumn>
    <tableColumn id="5" xr3:uid="{F7C14F46-0B22-477B-B158-FA3F17651E3F}" name="Tipo de contrato">
      <calculatedColumnFormula>_xlfn.XLOOKUP(Z3, 'Project Overview'!B:B, 'Project Overview'!I:I, "not found")</calculatedColumnFormula>
    </tableColumn>
    <tableColumn id="6" xr3:uid="{3BF0A592-2B85-4438-BC3F-4C85E346E4E8}" name="Recorrente?">
      <calculatedColumnFormula>COUNTIF(U:U, Z3)</calculatedColumnFormula>
    </tableColumn>
    <tableColumn id="7" xr3:uid="{14919B2F-0AD8-4B07-B115-896EEE2B6544}" name="Column1" dataDxfId="202">
      <calculatedColumnFormula>_xlfn.XLOOKUP(Z3, 'Project Overview'!B:B, 'Project Overview'!N:N, "not found")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5CFA61-6BA2-43D3-ADF3-4C2E1E579635}" name="Table4" displayName="Table4" ref="AI2:AM45" totalsRowShown="0">
  <autoFilter ref="AI2:AM45" xr:uid="{895CFA61-6BA2-43D3-ADF3-4C2E1E579635}"/>
  <tableColumns count="5">
    <tableColumn id="1" xr3:uid="{68D600F0-10AB-4F91-8865-E91488CEE2F8}" name="Nome"/>
    <tableColumn id="2" xr3:uid="{BA3B0E82-C21D-4A43-9EBC-7FB083A91191}" name="Tipo de Erros"/>
    <tableColumn id="3" xr3:uid="{D159930C-F98D-4F8A-B6C9-CC9E1924E8DF}" name="Contrato de O&amp;M">
      <calculatedColumnFormula>_xlfn.XLOOKUP(AI3, 'Project Overview'!B:B, 'Project Overview'!Y:Y, "not found")</calculatedColumnFormula>
    </tableColumn>
    <tableColumn id="4" xr3:uid="{5FE5DEC3-E78E-4935-9134-6705B2826390}" name="Tipo de contrato">
      <calculatedColumnFormula>_xlfn.XLOOKUP(AI3, 'Project Overview'!B:B, 'Project Overview'!I:I, "not found")</calculatedColumnFormula>
    </tableColumn>
    <tableColumn id="5" xr3:uid="{CBA78779-D001-4CDD-A91D-BD79B0479356}" name="Recorrente?" dataDxfId="201">
      <calculatedColumnFormula>COUNTIF(Z:Z, AI3)</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940503-8AD1-44EF-A17F-D4D77AD1C3F2}" name="Table5" displayName="Table5" ref="AO2:AS38" totalsRowShown="0">
  <autoFilter ref="AO2:AS38" xr:uid="{66940503-8AD1-44EF-A17F-D4D77AD1C3F2}"/>
  <tableColumns count="5">
    <tableColumn id="1" xr3:uid="{8EA187EA-9C69-493A-B1E7-A77BC1EF719F}" name="Instalação"/>
    <tableColumn id="2" xr3:uid="{A7D0334A-CD61-4871-9043-26C0A44ED55D}" name="Estado"/>
    <tableColumn id="3" xr3:uid="{4EBB4206-72B1-4625-BC93-077D6DF9F9E9}" name="Contrato de O&amp;M">
      <calculatedColumnFormula>_xlfn.XLOOKUP(AO3, 'Project Overview'!B:B, 'Project Overview'!Y:Y, "not found")</calculatedColumnFormula>
    </tableColumn>
    <tableColumn id="4" xr3:uid="{5861E806-7326-4F98-87B5-60B5278249DC}" name="Tipo de contrato">
      <calculatedColumnFormula>_xlfn.XLOOKUP(AO3, 'Project Overview'!B:B, 'Project Overview'!I:I, "not found")</calculatedColumnFormula>
    </tableColumn>
    <tableColumn id="5" xr3:uid="{68821C44-AB98-437A-B40C-FD6A8255CD68}" name="Recorrente?" dataDxfId="200">
      <calculatedColumnFormula>COUNTIF(AI:AI, AO3)</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9DAC67B-7BE5-4534-8981-99E9BF519298}" name="Table6" displayName="Table6" ref="AU2:AY37" totalsRowShown="0">
  <autoFilter ref="AU2:AY37" xr:uid="{69DAC67B-7BE5-4534-8981-99E9BF519298}"/>
  <tableColumns count="5">
    <tableColumn id="1" xr3:uid="{81A2F52E-98C0-498A-BD34-550294DF8AAC}" name="Instalação"/>
    <tableColumn id="2" xr3:uid="{5F397C7F-4114-422E-9C34-1C9F2C4BA339}" name="Erro"/>
    <tableColumn id="3" xr3:uid="{BD5F91FB-5F54-40B3-8C26-FC5B00F1B30D}" name="not found" dataDxfId="199">
      <calculatedColumnFormula>_xlfn.XLOOKUP(AO3, 'Project Overview'!B:B, 'Project Overview'!Y:Y, "not found")</calculatedColumnFormula>
    </tableColumn>
    <tableColumn id="4" xr3:uid="{A8F370E9-0BFD-449A-A9A0-1BAE4B3D7058}" name="not found2" dataDxfId="198">
      <calculatedColumnFormula>_xlfn.XLOOKUP(AU3, 'Project Overview'!B:B, 'Project Overview'!I:I, "not found")</calculatedColumnFormula>
    </tableColumn>
    <tableColumn id="5" xr3:uid="{6C019A3F-1248-44C1-BD8E-6788BDE170AC}" name="1" dataDxfId="197">
      <calculatedColumnFormula>COUNTIF(AI:AI, AO4)</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C1C679A-F158-4397-A3BD-C2EE23F2ECF5}" name="Table38" displayName="Table38" ref="A2:F191" totalsRowShown="0">
  <autoFilter ref="A2:F191" xr:uid="{FC1C679A-F158-4397-A3BD-C2EE23F2ECF5}">
    <filterColumn colId="2">
      <filters blank="1">
        <filter val="yes"/>
      </filters>
    </filterColumn>
    <filterColumn colId="4">
      <filters blank="1">
        <dateGroupItem year="2026" month="4" day="16" dateTimeGrouping="day"/>
        <dateGroupItem year="2026" month="4" day="17" dateTimeGrouping="day"/>
      </filters>
    </filterColumn>
  </autoFilter>
  <tableColumns count="6">
    <tableColumn id="1" xr3:uid="{ACC5895A-E37F-407D-AA48-F332F01CCAF0}" name="Nome"/>
    <tableColumn id="2" xr3:uid="{B34D7E24-C447-4887-B492-77B0314DDEE1}" name="Tipo de Erros" dataDxfId="420"/>
    <tableColumn id="3" xr3:uid="{00A113E7-E754-4E58-926D-652604AE7390}" name="Contrato de O&amp;M" dataDxfId="419">
      <calculatedColumnFormula>_xlfn.XLOOKUP(Table38[[#This Row],[Nome]], 'Project Overview'!B:B, 'Project Overview'!Y:Y, "not found")</calculatedColumnFormula>
    </tableColumn>
    <tableColumn id="4" xr3:uid="{B7DA7F22-076E-42C2-AED4-45CD1681FB96}" name="Tipo de contrato" dataDxfId="418">
      <calculatedColumnFormula>_xlfn.XLOOKUP(Table38[[#This Row],[Nome]], 'Project Overview'!B:B, 'Project Overview'!I:I, "not found")</calculatedColumnFormula>
    </tableColumn>
    <tableColumn id="6" xr3:uid="{BD07B1DF-60BE-4032-8F89-326DBB9B344B}" name="Data" dataDxfId="417"/>
    <tableColumn id="7" xr3:uid="{C6460065-3A36-4DC9-80F4-A10D7FA78AEB}" name="Nota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0EBE44-4445-44E3-96D6-701917C25AC3}" name="Table8" displayName="Table8" ref="A1:G11" totalsRowShown="0">
  <autoFilter ref="A1:G11" xr:uid="{D10EBE44-4445-44E3-96D6-701917C25AC3}"/>
  <tableColumns count="7">
    <tableColumn id="1" xr3:uid="{FA65A39F-F937-46CA-A158-2FFEFF21F50D}" name="Nome" dataDxfId="194"/>
    <tableColumn id="2" xr3:uid="{D3026713-7236-42A7-9941-75EC8CA7C703}" name="Instalação" dataDxfId="196"/>
    <tableColumn id="3" xr3:uid="{B8C3CE67-A7A3-441D-BC60-2099544F998B}" name="Tipo de contrato" dataDxfId="193">
      <calculatedColumnFormula>_xlfn.XLOOKUP(A2, 'Project Overview'!B:B, 'Project Overview'!I:I, "not found")</calculatedColumnFormula>
    </tableColumn>
    <tableColumn id="4" xr3:uid="{470CF99E-F2C7-46D1-A090-851D331CFC12}" name="Data" dataDxfId="192"/>
    <tableColumn id="5" xr3:uid="{74540B71-8A75-4F03-9E6F-3826ECBD7890}" name="Estado"/>
    <tableColumn id="6" xr3:uid="{64CB19EB-7EFB-49BE-934F-AF54CD9473D5}" name="Notas" dataDxfId="195"/>
    <tableColumn id="7" xr3:uid="{C843ED6F-087E-49C8-9D2A-049AFC0B7473}" name="Ação a faz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mailto:fjfcrispim@sapo.pt" TargetMode="External"/><Relationship Id="rId21" Type="http://schemas.openxmlformats.org/officeDocument/2006/relationships/hyperlink" Target="mailto:tecnisata@tecnisata.pt" TargetMode="External"/><Relationship Id="rId42" Type="http://schemas.openxmlformats.org/officeDocument/2006/relationships/hyperlink" Target="mailto:vitor.oliveira@appacdmmaia.org" TargetMode="External"/><Relationship Id="rId47" Type="http://schemas.openxmlformats.org/officeDocument/2006/relationships/hyperlink" Target="mailto:secretaria.bvalcoentre@gmail.com" TargetMode="External"/><Relationship Id="rId63" Type="http://schemas.openxmlformats.org/officeDocument/2006/relationships/hyperlink" Target="mailto:paula.monteiro@entrevinhasemar.com" TargetMode="External"/><Relationship Id="rId68" Type="http://schemas.openxmlformats.org/officeDocument/2006/relationships/hyperlink" Target="mailto:lourenco-777@hotmail.com" TargetMode="External"/><Relationship Id="rId84" Type="http://schemas.openxmlformats.org/officeDocument/2006/relationships/hyperlink" Target="mailto:luis.ramos@useandreuse.pt" TargetMode="External"/><Relationship Id="rId89" Type="http://schemas.openxmlformats.org/officeDocument/2006/relationships/hyperlink" Target="mailto:ana.pereira@oasiselastomers.com" TargetMode="External"/><Relationship Id="rId16" Type="http://schemas.openxmlformats.org/officeDocument/2006/relationships/hyperlink" Target="mailto:ccoelho@diaco.pt" TargetMode="External"/><Relationship Id="rId11" Type="http://schemas.openxmlformats.org/officeDocument/2006/relationships/hyperlink" Target="mailto:oscar.vale@partilhextrema.pt" TargetMode="External"/><Relationship Id="rId32" Type="http://schemas.openxmlformats.org/officeDocument/2006/relationships/hyperlink" Target="mailto:asesm-geral@sapo.pt" TargetMode="External"/><Relationship Id="rId37" Type="http://schemas.openxmlformats.org/officeDocument/2006/relationships/hyperlink" Target="mailto:ricardo.alexandre@cerlicei.pt" TargetMode="External"/><Relationship Id="rId53" Type="http://schemas.openxmlformats.org/officeDocument/2006/relationships/hyperlink" Target="mailto:luisfeijoca@hotmail.com" TargetMode="External"/><Relationship Id="rId58" Type="http://schemas.openxmlformats.org/officeDocument/2006/relationships/hyperlink" Target="mailto:fabiosantos@visabeiraglobal.com" TargetMode="External"/><Relationship Id="rId74" Type="http://schemas.openxmlformats.org/officeDocument/2006/relationships/hyperlink" Target="mailto:financeiro@centrosocialzibreira.com" TargetMode="External"/><Relationship Id="rId79" Type="http://schemas.openxmlformats.org/officeDocument/2006/relationships/hyperlink" Target="mailto:contact@midalpa.com" TargetMode="External"/><Relationship Id="rId5" Type="http://schemas.openxmlformats.org/officeDocument/2006/relationships/hyperlink" Target="mailto:V&#237;torserralhariavieira@hotmail.com" TargetMode="External"/><Relationship Id="rId90" Type="http://schemas.openxmlformats.org/officeDocument/2006/relationships/hyperlink" Target="mailto:lucas.oliveira@azora.pt/mishenkyn@gmail.com" TargetMode="External"/><Relationship Id="rId95" Type="http://schemas.openxmlformats.org/officeDocument/2006/relationships/hyperlink" Target="mailto:marta@sunbird.eu" TargetMode="External"/><Relationship Id="rId22" Type="http://schemas.openxmlformats.org/officeDocument/2006/relationships/hyperlink" Target="mailto:moviportas@gmail.com" TargetMode="External"/><Relationship Id="rId27" Type="http://schemas.openxmlformats.org/officeDocument/2006/relationships/hyperlink" Target="mailto:geral@acumieira.com" TargetMode="External"/><Relationship Id="rId43" Type="http://schemas.openxmlformats.org/officeDocument/2006/relationships/hyperlink" Target="mailto:geral@fir.pt" TargetMode="External"/><Relationship Id="rId48" Type="http://schemas.openxmlformats.org/officeDocument/2006/relationships/hyperlink" Target="mailto:vitor.lopes@iber-oleff.pt" TargetMode="External"/><Relationship Id="rId64" Type="http://schemas.openxmlformats.org/officeDocument/2006/relationships/hyperlink" Target="mailto:geral@alegrivarias.pt" TargetMode="External"/><Relationship Id="rId69" Type="http://schemas.openxmlformats.org/officeDocument/2006/relationships/hyperlink" Target="mailto:joao.pereira@apdp.pt" TargetMode="External"/><Relationship Id="rId80" Type="http://schemas.openxmlformats.org/officeDocument/2006/relationships/hyperlink" Target="mailto:douropao@gmail.com" TargetMode="External"/><Relationship Id="rId85" Type="http://schemas.openxmlformats.org/officeDocument/2006/relationships/hyperlink" Target="mailto:m.sequeira@campus.fct.unl.pt" TargetMode="External"/><Relationship Id="rId12" Type="http://schemas.openxmlformats.org/officeDocument/2006/relationships/hyperlink" Target="mailto:oscar.vale@partilhextrema.pt" TargetMode="External"/><Relationship Id="rId17" Type="http://schemas.openxmlformats.org/officeDocument/2006/relationships/hyperlink" Target="mailto:rui.pinhao@pinhao.pt" TargetMode="External"/><Relationship Id="rId25" Type="http://schemas.openxmlformats.org/officeDocument/2006/relationships/hyperlink" Target="mailto:oscar.vale@partilhextrema.pt" TargetMode="External"/><Relationship Id="rId33" Type="http://schemas.openxmlformats.org/officeDocument/2006/relationships/hyperlink" Target="mailto:gestao@scmgalizes.com" TargetMode="External"/><Relationship Id="rId38" Type="http://schemas.openxmlformats.org/officeDocument/2006/relationships/hyperlink" Target="mailto:dinis.rodrigues@ocasarao.pt" TargetMode="External"/><Relationship Id="rId46" Type="http://schemas.openxmlformats.org/officeDocument/2006/relationships/hyperlink" Target="mailto:geral@cria.com.pt" TargetMode="External"/><Relationship Id="rId59" Type="http://schemas.openxmlformats.org/officeDocument/2006/relationships/hyperlink" Target="mailto:scmfronteira.tss-anabelabrandao@sapo.pt" TargetMode="External"/><Relationship Id="rId67" Type="http://schemas.openxmlformats.org/officeDocument/2006/relationships/hyperlink" Target="mailto:Engenheirofelizardo@gmail.com" TargetMode="External"/><Relationship Id="rId20" Type="http://schemas.openxmlformats.org/officeDocument/2006/relationships/hyperlink" Target="mailto:rui.branco@k-plus-s.com" TargetMode="External"/><Relationship Id="rId41" Type="http://schemas.openxmlformats.org/officeDocument/2006/relationships/hyperlink" Target="mailto:p.martins@pinkplate.pt" TargetMode="External"/><Relationship Id="rId54" Type="http://schemas.openxmlformats.org/officeDocument/2006/relationships/hyperlink" Target="mailto:luisfeijoca@hotmail.com" TargetMode="External"/><Relationship Id="rId62" Type="http://schemas.openxmlformats.org/officeDocument/2006/relationships/hyperlink" Target="mailto:cspr.coordenacao.geral@gmail.com" TargetMode="External"/><Relationship Id="rId70" Type="http://schemas.openxmlformats.org/officeDocument/2006/relationships/hyperlink" Target="mailto:Helder.Faria@energyco.pt" TargetMode="External"/><Relationship Id="rId75" Type="http://schemas.openxmlformats.org/officeDocument/2006/relationships/hyperlink" Target="mailto:infobiocaracol@gmail.com" TargetMode="External"/><Relationship Id="rId83" Type="http://schemas.openxmlformats.org/officeDocument/2006/relationships/hyperlink" Target="mailto:geral@farmaciasantana.com.pt" TargetMode="External"/><Relationship Id="rId88" Type="http://schemas.openxmlformats.org/officeDocument/2006/relationships/hyperlink" Target="mailto:info@luxflor.pt" TargetMode="External"/><Relationship Id="rId91" Type="http://schemas.openxmlformats.org/officeDocument/2006/relationships/hyperlink" Target="mailto:legado@mail.telepac.pt" TargetMode="External"/><Relationship Id="rId96" Type="http://schemas.openxmlformats.org/officeDocument/2006/relationships/hyperlink" Target="mailto:pedro.santos@jetesetecar.com" TargetMode="External"/><Relationship Id="rId1" Type="http://schemas.openxmlformats.org/officeDocument/2006/relationships/hyperlink" Target="mailto:mara.cruz@marmoj.pt" TargetMode="External"/><Relationship Id="rId6" Type="http://schemas.openxmlformats.org/officeDocument/2006/relationships/hyperlink" Target="mailto:lu&#237;sol&#237;veira@colegiocalcao.org" TargetMode="External"/><Relationship Id="rId15" Type="http://schemas.openxmlformats.org/officeDocument/2006/relationships/hyperlink" Target="mailto:ccoelho@diaco.pt" TargetMode="External"/><Relationship Id="rId23" Type="http://schemas.openxmlformats.org/officeDocument/2006/relationships/hyperlink" Target="mailto:moviportas@gmail.com" TargetMode="External"/><Relationship Id="rId28" Type="http://schemas.openxmlformats.org/officeDocument/2006/relationships/hyperlink" Target="mailto:geral@aripsi.pt" TargetMode="External"/><Relationship Id="rId36" Type="http://schemas.openxmlformats.org/officeDocument/2006/relationships/hyperlink" Target="mailto:ricardo.alexandre@cerlicei.pt" TargetMode="External"/><Relationship Id="rId49" Type="http://schemas.openxmlformats.org/officeDocument/2006/relationships/hyperlink" Target="mailto:secretaria.comando@bv-montelavar.pt" TargetMode="External"/><Relationship Id="rId57" Type="http://schemas.openxmlformats.org/officeDocument/2006/relationships/hyperlink" Target="mailto:Fernando.Jorge@energyco.pt" TargetMode="External"/><Relationship Id="rId10" Type="http://schemas.openxmlformats.org/officeDocument/2006/relationships/hyperlink" Target="mailto:curtir@sapo.pt" TargetMode="External"/><Relationship Id="rId31" Type="http://schemas.openxmlformats.org/officeDocument/2006/relationships/hyperlink" Target="mailto:geral@bvrm.pt" TargetMode="External"/><Relationship Id="rId44" Type="http://schemas.openxmlformats.org/officeDocument/2006/relationships/hyperlink" Target="mailto:pedro.rebelo@neutripuro.com" TargetMode="External"/><Relationship Id="rId52" Type="http://schemas.openxmlformats.org/officeDocument/2006/relationships/hyperlink" Target="mailto:luisfeijoca@hotmail.com" TargetMode="External"/><Relationship Id="rId60" Type="http://schemas.openxmlformats.org/officeDocument/2006/relationships/hyperlink" Target="mailto:scmfronteira.tss-anabelabrandao@sapo.pt" TargetMode="External"/><Relationship Id="rId65" Type="http://schemas.openxmlformats.org/officeDocument/2006/relationships/hyperlink" Target="mailto:luisfeijoca@hotmail.com" TargetMode="External"/><Relationship Id="rId73" Type="http://schemas.openxmlformats.org/officeDocument/2006/relationships/hyperlink" Target="mailto:saraoliveira@atrian.pt" TargetMode="External"/><Relationship Id="rId78" Type="http://schemas.openxmlformats.org/officeDocument/2006/relationships/hyperlink" Target="mailto:lourinha-marques@hotmail.com" TargetMode="External"/><Relationship Id="rId81" Type="http://schemas.openxmlformats.org/officeDocument/2006/relationships/hyperlink" Target="mailto:geral@vidamaior.pt" TargetMode="External"/><Relationship Id="rId86" Type="http://schemas.openxmlformats.org/officeDocument/2006/relationships/hyperlink" Target="mailto:centro.social.minde@gmail.com/antonio.branco65@gmail.com" TargetMode="External"/><Relationship Id="rId94" Type="http://schemas.openxmlformats.org/officeDocument/2006/relationships/hyperlink" Target="mailto:marta@sunbird.eu" TargetMode="External"/><Relationship Id="rId99" Type="http://schemas.openxmlformats.org/officeDocument/2006/relationships/vmlDrawing" Target="../drawings/vmlDrawing1.vml"/><Relationship Id="rId101" Type="http://schemas.openxmlformats.org/officeDocument/2006/relationships/comments" Target="../comments1.xml"/><Relationship Id="rId4" Type="http://schemas.openxmlformats.org/officeDocument/2006/relationships/hyperlink" Target="mailto:interuedrcs@gmail.com" TargetMode="External"/><Relationship Id="rId9" Type="http://schemas.openxmlformats.org/officeDocument/2006/relationships/hyperlink" Target="mailto:jovi-sola@sapo.pt" TargetMode="External"/><Relationship Id="rId13" Type="http://schemas.openxmlformats.org/officeDocument/2006/relationships/hyperlink" Target="mailto:joao.mendes@ardavi.pt" TargetMode="External"/><Relationship Id="rId18" Type="http://schemas.openxmlformats.org/officeDocument/2006/relationships/hyperlink" Target="mailto:pedro.santos@jetesetecar.com" TargetMode="External"/><Relationship Id="rId39" Type="http://schemas.openxmlformats.org/officeDocument/2006/relationships/hyperlink" Target="mailto:afalley@temasa.pt" TargetMode="External"/><Relationship Id="rId34" Type="http://schemas.openxmlformats.org/officeDocument/2006/relationships/hyperlink" Target="mailto:producao@coopernico.org" TargetMode="External"/><Relationship Id="rId50" Type="http://schemas.openxmlformats.org/officeDocument/2006/relationships/hyperlink" Target="mailto:DIRECAO@ALVARSOL.PT" TargetMode="External"/><Relationship Id="rId55" Type="http://schemas.openxmlformats.org/officeDocument/2006/relationships/hyperlink" Target="mailto:carlos@monterosa.pt" TargetMode="External"/><Relationship Id="rId76" Type="http://schemas.openxmlformats.org/officeDocument/2006/relationships/hyperlink" Target="mailto:ruben.vieiira@regencysalgados.com" TargetMode="External"/><Relationship Id="rId97" Type="http://schemas.openxmlformats.org/officeDocument/2006/relationships/hyperlink" Target="mailto:carla.alcantara@ondagrafe.pt" TargetMode="External"/><Relationship Id="rId7" Type="http://schemas.openxmlformats.org/officeDocument/2006/relationships/hyperlink" Target="mailto:armando.vieira@sicobrita.pt" TargetMode="External"/><Relationship Id="rId71" Type="http://schemas.openxmlformats.org/officeDocument/2006/relationships/hyperlink" Target="mailto:rui.santos@barroscnc.pt" TargetMode="External"/><Relationship Id="rId92" Type="http://schemas.openxmlformats.org/officeDocument/2006/relationships/hyperlink" Target="mailto:centro.social.minde@gmail.com/antonio.branco65@gmail.com" TargetMode="External"/><Relationship Id="rId2" Type="http://schemas.openxmlformats.org/officeDocument/2006/relationships/hyperlink" Target="mailto:geral@ozepacheco.pt" TargetMode="External"/><Relationship Id="rId29" Type="http://schemas.openxmlformats.org/officeDocument/2006/relationships/hyperlink" Target="mailto:centrosocialalferrarede@gmail.com" TargetMode="External"/><Relationship Id="rId24" Type="http://schemas.openxmlformats.org/officeDocument/2006/relationships/hyperlink" Target="mailto:moviportas@gmail.com" TargetMode="External"/><Relationship Id="rId40" Type="http://schemas.openxmlformats.org/officeDocument/2006/relationships/hyperlink" Target="mailto:ata@taglobal.pt" TargetMode="External"/><Relationship Id="rId45" Type="http://schemas.openxmlformats.org/officeDocument/2006/relationships/hyperlink" Target="mailto:cspsa.lavre@gmail.com" TargetMode="External"/><Relationship Id="rId66" Type="http://schemas.openxmlformats.org/officeDocument/2006/relationships/hyperlink" Target="mailto:luisfeijoca@hotmail.com" TargetMode="External"/><Relationship Id="rId87" Type="http://schemas.openxmlformats.org/officeDocument/2006/relationships/hyperlink" Target="https://www.google.com/search?q=bomflex&amp;sca_esv=6db176930c53557b&amp;ei=Qf9baM3XM5eqkdUPiNT12A0&amp;ved=0ahUKEwiN_Kmd3IyOAxUXVaQEHQhqHdsQ4dUDCBA&amp;uact=5&amp;oq=bomflex&amp;gs_lp=Egxnd3Mtd2l6LXNlcnAiB2JvbWZsZXgyBxAAGIAEGA0yBxAAGIAEGA0yBxAAGIAEGA0yBxAAGIAEGA0yBxAAGIAEGA0yBxAAGIAEGA0yBxAAGIAEGA0yBxAAGIAEGA0yBxAAGIAEGA0yBxAAGIAEGA1ItSNQmQVYqiJwAXgCkAEBmAHvA6ABnBOqAQk3LjYuMS4xLjG4AQPIAQD4AQGYAgygAtwMwgIKEAAYsAMY1gQYR8ICBBAAGEfCAgcQIRigARgKwgIEECEYFcICBRAhGJ8FwgIGEAAYFhgewgIIEAAYFhgKGB7CAgcQABiABBgTwgIIEAAYExgWGB7CAgoQABgTGBYYChgewgIHEAAYgAQYCsICBRAAGIAEwgINEC4YgAQYxwEYChivAcICChAAGIAEGEMYigXCAgsQLhiABBjHARivAcICBRAuGIAEmAMA4gMFEgExIECIBgGQBgiSBwcyLjguMS4xoAfzfrIHBzAuOC4xLjG4B8kMwgcFMi03LjXIB1U&amp;sclient=gws-wiz-serp" TargetMode="External"/><Relationship Id="rId61" Type="http://schemas.openxmlformats.org/officeDocument/2006/relationships/hyperlink" Target="mailto:comercialsul@metaldistendido.com" TargetMode="External"/><Relationship Id="rId82" Type="http://schemas.openxmlformats.org/officeDocument/2006/relationships/hyperlink" Target="mailto:marta@sunbird.eu" TargetMode="External"/><Relationship Id="rId19" Type="http://schemas.openxmlformats.org/officeDocument/2006/relationships/hyperlink" Target="mailto:oscar.vale@partilhextrema.pt" TargetMode="External"/><Relationship Id="rId14" Type="http://schemas.openxmlformats.org/officeDocument/2006/relationships/hyperlink" Target="mailto:ccoelho@diaco.pt" TargetMode="External"/><Relationship Id="rId30" Type="http://schemas.openxmlformats.org/officeDocument/2006/relationships/hyperlink" Target="mailto:centrosocialalferrarede@gmail.com" TargetMode="External"/><Relationship Id="rId35" Type="http://schemas.openxmlformats.org/officeDocument/2006/relationships/hyperlink" Target="mailto:dir.pedralvas@appacdm-lisboa.pt" TargetMode="External"/><Relationship Id="rId56" Type="http://schemas.openxmlformats.org/officeDocument/2006/relationships/hyperlink" Target="mailto:lareiras.sousa@sapo.pt" TargetMode="External"/><Relationship Id="rId77" Type="http://schemas.openxmlformats.org/officeDocument/2006/relationships/hyperlink" Target="mailto:vi-coelho@hotmail.com" TargetMode="External"/><Relationship Id="rId100" Type="http://schemas.openxmlformats.org/officeDocument/2006/relationships/table" Target="../tables/table1.xml"/><Relationship Id="rId8" Type="http://schemas.openxmlformats.org/officeDocument/2006/relationships/hyperlink" Target="mailto:nunorpaulo@mirandesa.pt" TargetMode="External"/><Relationship Id="rId51" Type="http://schemas.openxmlformats.org/officeDocument/2006/relationships/hyperlink" Target="mailto:jose.parente@cspsaojoaodaslampas.com" TargetMode="External"/><Relationship Id="rId72" Type="http://schemas.openxmlformats.org/officeDocument/2006/relationships/hyperlink" Target="mailto:josemanuelrosa123@hotmal.com" TargetMode="External"/><Relationship Id="rId93" Type="http://schemas.openxmlformats.org/officeDocument/2006/relationships/hyperlink" Target="mailto:marta@sunbird.eu" TargetMode="External"/><Relationship Id="rId98" Type="http://schemas.openxmlformats.org/officeDocument/2006/relationships/printerSettings" Target="../printerSettings/printerSettings2.bin"/><Relationship Id="rId3" Type="http://schemas.openxmlformats.org/officeDocument/2006/relationships/hyperlink" Target="mailto:administracao@betafiel.p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pivotTable" Target="../pivotTables/pivotTable5.xml"/><Relationship Id="rId7" Type="http://schemas.openxmlformats.org/officeDocument/2006/relationships/table" Target="../tables/table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table" Target="../tables/table2.xml"/><Relationship Id="rId5" Type="http://schemas.openxmlformats.org/officeDocument/2006/relationships/pivotTable" Target="../pivotTables/pivotTable7.xml"/><Relationship Id="rId10" Type="http://schemas.openxmlformats.org/officeDocument/2006/relationships/table" Target="../tables/table6.xml"/><Relationship Id="rId4" Type="http://schemas.openxmlformats.org/officeDocument/2006/relationships/pivotTable" Target="../pivotTables/pivotTable6.xml"/><Relationship Id="rId9"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
  <sheetViews>
    <sheetView workbookViewId="0">
      <pane ySplit="3" topLeftCell="A4" activePane="bottomLeft" state="frozen"/>
      <selection activeCell="H8" sqref="H1:H1048576"/>
      <selection pane="bottomLeft" activeCell="I13" sqref="I13"/>
    </sheetView>
  </sheetViews>
  <sheetFormatPr defaultRowHeight="14.4" x14ac:dyDescent="0.3"/>
  <cols>
    <col min="1" max="1" width="16" customWidth="1"/>
    <col min="2" max="2" width="13" customWidth="1"/>
    <col min="3" max="3" width="14" customWidth="1"/>
    <col min="4" max="4" width="13" customWidth="1"/>
    <col min="5" max="5" width="14" customWidth="1"/>
    <col min="6" max="6" width="4" customWidth="1"/>
    <col min="7" max="7" width="14" customWidth="1"/>
    <col min="8" max="8" width="16.109375" bestFit="1" customWidth="1"/>
    <col min="9" max="9" width="14" customWidth="1"/>
    <col min="10" max="10" width="8.5546875" customWidth="1"/>
    <col min="11" max="11" width="14" customWidth="1"/>
    <col min="12" max="12" width="4" customWidth="1"/>
    <col min="13" max="13" width="17" customWidth="1"/>
    <col min="14" max="14" width="27.109375" customWidth="1"/>
  </cols>
  <sheetData>
    <row r="1" spans="1:14" x14ac:dyDescent="0.3">
      <c r="A1" s="292" t="s">
        <v>0</v>
      </c>
      <c r="B1" s="292"/>
      <c r="C1" s="292"/>
      <c r="D1" s="292"/>
      <c r="E1" s="292"/>
      <c r="F1" s="292"/>
      <c r="G1" s="292"/>
      <c r="H1" s="292"/>
      <c r="I1" s="292"/>
      <c r="J1" s="292"/>
      <c r="K1" s="292"/>
      <c r="L1" s="292"/>
      <c r="M1" s="292"/>
      <c r="N1" s="292"/>
    </row>
    <row r="2" spans="1:14" x14ac:dyDescent="0.3">
      <c r="A2" s="292"/>
      <c r="B2" s="292"/>
      <c r="C2" s="292"/>
      <c r="D2" s="292"/>
      <c r="E2" s="292"/>
      <c r="F2" s="292"/>
      <c r="G2" s="292"/>
      <c r="H2" s="292"/>
      <c r="I2" s="292"/>
      <c r="J2" s="292"/>
      <c r="K2" s="292"/>
      <c r="L2" s="292"/>
      <c r="M2" s="292"/>
      <c r="N2" s="292"/>
    </row>
    <row r="3" spans="1:14" x14ac:dyDescent="0.3">
      <c r="A3" s="300"/>
      <c r="B3" s="300"/>
      <c r="C3" s="300"/>
      <c r="D3" s="300"/>
      <c r="E3" s="300"/>
      <c r="F3" s="300"/>
      <c r="G3" s="300"/>
      <c r="H3" s="300"/>
      <c r="I3" s="300"/>
      <c r="J3" s="300"/>
      <c r="K3" s="300"/>
      <c r="L3" s="300"/>
      <c r="M3" s="300"/>
      <c r="N3" s="300"/>
    </row>
    <row r="4" spans="1:14" x14ac:dyDescent="0.3">
      <c r="A4" s="308" t="s">
        <v>1</v>
      </c>
      <c r="B4" s="308"/>
      <c r="D4" s="305" t="s">
        <v>1342</v>
      </c>
      <c r="E4" s="305"/>
      <c r="G4" s="299" t="s">
        <v>1351</v>
      </c>
      <c r="H4" s="299"/>
      <c r="J4" s="301" t="s">
        <v>1343</v>
      </c>
      <c r="K4" s="301"/>
      <c r="M4" s="308" t="s">
        <v>1344</v>
      </c>
      <c r="N4" s="308"/>
    </row>
    <row r="5" spans="1:14" ht="14.4" customHeight="1" x14ac:dyDescent="0.3">
      <c r="A5" s="306">
        <f>COUNTA('Project Overview'!B:B)-1</f>
        <v>264</v>
      </c>
      <c r="B5" s="307"/>
      <c r="D5" s="293">
        <f>COUNTIF('Project Overview'!N:N,"yes")</f>
        <v>88</v>
      </c>
      <c r="E5" s="294"/>
      <c r="G5" s="302">
        <f ca="1">COUNTIF('Project Overview'!Y:Y,"yes")</f>
        <v>80</v>
      </c>
      <c r="H5" s="303"/>
      <c r="J5" s="309">
        <f ca="1">COUNTIFS('Project Overview'!Y:Y,"no",'Project Overview'!N:N,"yes")</f>
        <v>8</v>
      </c>
      <c r="K5" s="310"/>
      <c r="M5" s="306">
        <f ca="1">COUNTIFS('Project Overview'!W:W,"&gt;="&amp;TODAY(),'Project Overview'!W:W,"&lt;="&amp;EDATE(TODAY(),6))</f>
        <v>4</v>
      </c>
      <c r="N5" s="307"/>
    </row>
    <row r="6" spans="1:14" ht="14.4" customHeight="1" x14ac:dyDescent="0.3">
      <c r="A6" s="307"/>
      <c r="B6" s="307"/>
      <c r="D6" s="295"/>
      <c r="E6" s="296"/>
      <c r="G6" s="303"/>
      <c r="H6" s="303"/>
      <c r="J6" s="310"/>
      <c r="K6" s="310"/>
      <c r="M6" s="307"/>
      <c r="N6" s="307"/>
    </row>
    <row r="7" spans="1:14" ht="14.4" customHeight="1" x14ac:dyDescent="0.3">
      <c r="A7" s="307"/>
      <c r="B7" s="307"/>
      <c r="D7" s="297"/>
      <c r="E7" s="298"/>
      <c r="G7" s="303"/>
      <c r="H7" s="303"/>
      <c r="J7" s="310"/>
      <c r="K7" s="310"/>
      <c r="M7" s="307"/>
      <c r="N7" s="307"/>
    </row>
    <row r="9" spans="1:14" ht="15.6" x14ac:dyDescent="0.3">
      <c r="A9" s="304" t="s">
        <v>2</v>
      </c>
      <c r="B9" s="304"/>
      <c r="C9" s="304"/>
      <c r="D9" s="304"/>
      <c r="E9" s="304"/>
      <c r="F9" s="304"/>
      <c r="H9" s="304" t="str">
        <f>"Taxa de retenção: " &amp; TEXT(I12/I13,"0%")</f>
        <v>Taxa de retenção: 90%</v>
      </c>
      <c r="I9" s="304"/>
      <c r="J9" s="304"/>
      <c r="K9" s="304"/>
      <c r="L9" s="304"/>
      <c r="M9" s="304"/>
      <c r="N9" s="304"/>
    </row>
    <row r="10" spans="1:14" x14ac:dyDescent="0.3">
      <c r="A10" s="210" t="s">
        <v>1292</v>
      </c>
      <c r="B10" s="210" t="s">
        <v>1354</v>
      </c>
      <c r="H10" s="210" t="s">
        <v>1381</v>
      </c>
      <c r="I10" s="210" t="s">
        <v>1354</v>
      </c>
    </row>
    <row r="11" spans="1:14" x14ac:dyDescent="0.3">
      <c r="A11" s="211" t="str">
        <f>Painel_Apoio!A5</f>
        <v>EPC</v>
      </c>
      <c r="B11" s="211">
        <f>Painel_Apoio!B5</f>
        <v>22</v>
      </c>
      <c r="H11" s="211" t="str">
        <f>Painel_Apoio!D5</f>
        <v>no</v>
      </c>
      <c r="I11" s="211">
        <f>Painel_Apoio!E5</f>
        <v>9</v>
      </c>
    </row>
    <row r="12" spans="1:14" x14ac:dyDescent="0.3">
      <c r="A12" s="211" t="str">
        <f>Painel_Apoio!A6</f>
        <v>ESCO</v>
      </c>
      <c r="B12" s="211">
        <f>Painel_Apoio!B6</f>
        <v>67</v>
      </c>
      <c r="H12" s="211" t="str">
        <f>Painel_Apoio!D6</f>
        <v>yes</v>
      </c>
      <c r="I12" s="211">
        <f>Painel_Apoio!E6</f>
        <v>80</v>
      </c>
    </row>
    <row r="13" spans="1:14" x14ac:dyDescent="0.3">
      <c r="A13" s="211" t="str">
        <f>Painel_Apoio!A7</f>
        <v>Grand Total</v>
      </c>
      <c r="B13" s="211">
        <f>Painel_Apoio!B7</f>
        <v>89</v>
      </c>
      <c r="H13" s="211" t="str">
        <f>Painel_Apoio!D7</f>
        <v>Grand Total</v>
      </c>
      <c r="I13" s="211">
        <f>Painel_Apoio!E7</f>
        <v>89</v>
      </c>
    </row>
    <row r="26" spans="1:14" ht="15.6" x14ac:dyDescent="0.3">
      <c r="A26" s="304" t="s">
        <v>3</v>
      </c>
      <c r="B26" s="304"/>
      <c r="C26" s="304"/>
      <c r="D26" s="304"/>
      <c r="E26" s="304"/>
      <c r="F26" s="304"/>
      <c r="G26" s="304"/>
      <c r="I26" s="304" t="s">
        <v>1350</v>
      </c>
      <c r="J26" s="304"/>
      <c r="K26" s="304"/>
      <c r="L26" s="304"/>
      <c r="M26" s="304"/>
      <c r="N26" s="304"/>
    </row>
    <row r="27" spans="1:14" x14ac:dyDescent="0.3">
      <c r="A27" s="210" t="s">
        <v>1356</v>
      </c>
      <c r="B27" s="210" t="s">
        <v>1354</v>
      </c>
      <c r="I27" s="210" t="s">
        <v>1355</v>
      </c>
      <c r="J27" s="210" t="s">
        <v>1354</v>
      </c>
    </row>
    <row r="28" spans="1:14" x14ac:dyDescent="0.3">
      <c r="A28" s="211" t="str">
        <f>Painel_Apoio!J5</f>
        <v>Lisboa</v>
      </c>
      <c r="B28" s="211">
        <f>Painel_Apoio!K5</f>
        <v>8</v>
      </c>
      <c r="I28" s="211">
        <f>Painel_Apoio!M5</f>
        <v>2026</v>
      </c>
      <c r="J28" s="211">
        <f>Painel_Apoio!N5</f>
        <v>5</v>
      </c>
    </row>
    <row r="29" spans="1:14" x14ac:dyDescent="0.3">
      <c r="A29" s="211" t="str">
        <f>Painel_Apoio!J6</f>
        <v>Leiria</v>
      </c>
      <c r="B29" s="211">
        <f>Painel_Apoio!K6</f>
        <v>8</v>
      </c>
      <c r="I29" s="211">
        <f>Painel_Apoio!M6</f>
        <v>2027</v>
      </c>
      <c r="J29" s="211">
        <f>Painel_Apoio!N6</f>
        <v>8</v>
      </c>
    </row>
    <row r="30" spans="1:14" x14ac:dyDescent="0.3">
      <c r="A30" s="211" t="str">
        <f>Painel_Apoio!J7</f>
        <v>Santarém</v>
      </c>
      <c r="B30" s="211">
        <f>Painel_Apoio!K7</f>
        <v>7</v>
      </c>
      <c r="I30" s="211">
        <f>Painel_Apoio!M7</f>
        <v>2028</v>
      </c>
      <c r="J30" s="211">
        <f>Painel_Apoio!N7</f>
        <v>5</v>
      </c>
    </row>
    <row r="31" spans="1:14" x14ac:dyDescent="0.3">
      <c r="A31" s="211" t="str">
        <f>Painel_Apoio!J8</f>
        <v>Sintra</v>
      </c>
      <c r="B31" s="211">
        <f>Painel_Apoio!K8</f>
        <v>6</v>
      </c>
      <c r="I31" s="211">
        <f>Painel_Apoio!M8</f>
        <v>2029</v>
      </c>
      <c r="J31" s="211">
        <f>Painel_Apoio!N8</f>
        <v>3</v>
      </c>
    </row>
    <row r="32" spans="1:14" x14ac:dyDescent="0.3">
      <c r="A32" s="211" t="str">
        <f>Painel_Apoio!J9</f>
        <v>Porto</v>
      </c>
      <c r="B32" s="211">
        <f>Painel_Apoio!K9</f>
        <v>4</v>
      </c>
      <c r="I32" s="211">
        <f>Painel_Apoio!M9</f>
        <v>2032</v>
      </c>
      <c r="J32" s="211">
        <f>Painel_Apoio!N9</f>
        <v>3</v>
      </c>
    </row>
    <row r="33" spans="1:14" x14ac:dyDescent="0.3">
      <c r="A33" s="211" t="str">
        <f>Painel_Apoio!J10</f>
        <v>Castelo Branco</v>
      </c>
      <c r="B33" s="211">
        <f>Painel_Apoio!K10</f>
        <v>4</v>
      </c>
      <c r="I33" s="211">
        <f>Painel_Apoio!M10</f>
        <v>2033</v>
      </c>
      <c r="J33" s="211">
        <f>Painel_Apoio!N10</f>
        <v>7</v>
      </c>
    </row>
    <row r="34" spans="1:14" x14ac:dyDescent="0.3">
      <c r="A34" s="211" t="str">
        <f>Painel_Apoio!J11</f>
        <v>Setúbal</v>
      </c>
      <c r="B34" s="211">
        <f>Painel_Apoio!K11</f>
        <v>4</v>
      </c>
      <c r="I34" s="211">
        <f>Painel_Apoio!M11</f>
        <v>2034</v>
      </c>
      <c r="J34" s="211">
        <f>Painel_Apoio!N11</f>
        <v>3</v>
      </c>
    </row>
    <row r="35" spans="1:14" x14ac:dyDescent="0.3">
      <c r="A35" s="211" t="str">
        <f>Painel_Apoio!J12</f>
        <v>Aveiro</v>
      </c>
      <c r="B35" s="211">
        <f>Painel_Apoio!K12</f>
        <v>3</v>
      </c>
      <c r="I35" s="211">
        <f>Painel_Apoio!M12</f>
        <v>2035</v>
      </c>
      <c r="J35" s="211">
        <f>Painel_Apoio!N12</f>
        <v>7</v>
      </c>
    </row>
    <row r="36" spans="1:14" x14ac:dyDescent="0.3">
      <c r="A36" s="211" t="str">
        <f>Painel_Apoio!J13</f>
        <v>Badajoz</v>
      </c>
      <c r="B36" s="211">
        <f>Painel_Apoio!K13</f>
        <v>3</v>
      </c>
      <c r="I36" s="211">
        <f>Painel_Apoio!M13</f>
        <v>2036</v>
      </c>
      <c r="J36" s="211">
        <f>Painel_Apoio!N13</f>
        <v>10</v>
      </c>
    </row>
    <row r="37" spans="1:14" x14ac:dyDescent="0.3">
      <c r="A37" s="211" t="str">
        <f>Painel_Apoio!J14</f>
        <v>São João da Madeira</v>
      </c>
      <c r="B37" s="211">
        <f>Painel_Apoio!K14</f>
        <v>2</v>
      </c>
      <c r="I37" s="211">
        <f>Painel_Apoio!M14</f>
        <v>2037</v>
      </c>
      <c r="J37" s="211">
        <f>Painel_Apoio!N14</f>
        <v>5</v>
      </c>
    </row>
    <row r="38" spans="1:14" x14ac:dyDescent="0.3">
      <c r="I38" s="211">
        <f>Painel_Apoio!M15</f>
        <v>2038</v>
      </c>
      <c r="J38" s="211">
        <f>Painel_Apoio!N15</f>
        <v>16</v>
      </c>
    </row>
    <row r="39" spans="1:14" x14ac:dyDescent="0.3">
      <c r="I39" s="211">
        <f>Painel_Apoio!M16</f>
        <v>2039</v>
      </c>
      <c r="J39" s="211">
        <f>Painel_Apoio!N16</f>
        <v>5</v>
      </c>
    </row>
    <row r="40" spans="1:14" x14ac:dyDescent="0.3">
      <c r="I40" s="211">
        <f>Painel_Apoio!M17</f>
        <v>2041</v>
      </c>
      <c r="J40" s="211">
        <f>Painel_Apoio!N17</f>
        <v>2</v>
      </c>
    </row>
    <row r="41" spans="1:14" x14ac:dyDescent="0.3">
      <c r="I41" s="211">
        <f>Painel_Apoio!M18</f>
        <v>2043</v>
      </c>
      <c r="J41" s="211">
        <f>Painel_Apoio!N18</f>
        <v>1</v>
      </c>
    </row>
    <row r="42" spans="1:14" x14ac:dyDescent="0.3">
      <c r="I42" s="211"/>
      <c r="J42" s="211"/>
    </row>
    <row r="43" spans="1:14" ht="15.6" x14ac:dyDescent="0.3">
      <c r="A43" s="304" t="s">
        <v>4</v>
      </c>
      <c r="B43" s="304"/>
      <c r="C43" s="304"/>
      <c r="D43" s="304"/>
      <c r="E43" s="304"/>
      <c r="F43" s="304"/>
      <c r="G43" s="304"/>
      <c r="H43" s="304"/>
      <c r="I43" s="304"/>
      <c r="J43" s="304"/>
      <c r="K43" s="304"/>
      <c r="L43" s="304"/>
      <c r="M43" s="304"/>
      <c r="N43" s="304"/>
    </row>
    <row r="45" spans="1:14" ht="24.6" customHeight="1" x14ac:dyDescent="0.3"/>
  </sheetData>
  <mergeCells count="17">
    <mergeCell ref="A43:N43"/>
    <mergeCell ref="D4:E4"/>
    <mergeCell ref="M5:N7"/>
    <mergeCell ref="M4:N4"/>
    <mergeCell ref="H9:N9"/>
    <mergeCell ref="A5:B7"/>
    <mergeCell ref="J5:K7"/>
    <mergeCell ref="A9:F9"/>
    <mergeCell ref="A26:G26"/>
    <mergeCell ref="I26:N26"/>
    <mergeCell ref="A4:B4"/>
    <mergeCell ref="A1:N2"/>
    <mergeCell ref="D5:E7"/>
    <mergeCell ref="G4:H4"/>
    <mergeCell ref="A3:N3"/>
    <mergeCell ref="J4:K4"/>
    <mergeCell ref="G5:H7"/>
  </mergeCells>
  <pageMargins left="0.75" right="0.75" top="1" bottom="1" header="0.5" footer="0.5"/>
  <pageSetup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D265"/>
  <sheetViews>
    <sheetView zoomScale="85" zoomScaleNormal="85" workbookViewId="0">
      <pane xSplit="2" ySplit="1" topLeftCell="F71" activePane="bottomRight" state="frozen"/>
      <selection activeCell="H8" sqref="H1:H1048576"/>
      <selection pane="topRight" activeCell="H8" sqref="H1:H1048576"/>
      <selection pane="bottomLeft" activeCell="H8" sqref="H1:H1048576"/>
      <selection pane="bottomRight" activeCell="K80" sqref="K80"/>
    </sheetView>
  </sheetViews>
  <sheetFormatPr defaultRowHeight="14.4" outlineLevelCol="1" x14ac:dyDescent="0.3"/>
  <cols>
    <col min="1" max="1" width="6.21875" customWidth="1"/>
    <col min="2" max="2" width="47.21875" bestFit="1" customWidth="1"/>
    <col min="3" max="3" width="68.77734375" bestFit="1" customWidth="1"/>
    <col min="4" max="4" width="11.5546875" bestFit="1" customWidth="1" outlineLevel="1"/>
    <col min="5" max="5" width="94.44140625" bestFit="1" customWidth="1" outlineLevel="1"/>
    <col min="6" max="7" width="19.21875" customWidth="1" outlineLevel="1"/>
    <col min="8" max="8" width="9.21875" style="6" customWidth="1" outlineLevel="1"/>
    <col min="9" max="9" width="10.77734375" customWidth="1" outlineLevel="1"/>
    <col min="10" max="10" width="12.77734375" customWidth="1" outlineLevel="1"/>
    <col min="11" max="11" width="11.21875" customWidth="1" outlineLevel="1"/>
    <col min="12" max="12" width="11" customWidth="1" outlineLevel="1"/>
    <col min="13" max="13" width="22.77734375" customWidth="1" outlineLevel="1"/>
    <col min="14" max="15" width="16.5546875" customWidth="1" outlineLevel="1"/>
    <col min="16" max="16" width="29.77734375" customWidth="1" outlineLevel="1"/>
    <col min="17" max="17" width="66" customWidth="1" outlineLevel="1"/>
    <col min="18" max="18" width="15.77734375" customWidth="1"/>
    <col min="19" max="19" width="87.77734375" customWidth="1"/>
    <col min="20" max="20" width="37.88671875" customWidth="1"/>
    <col min="21" max="21" width="68.77734375" style="7" customWidth="1"/>
    <col min="22" max="22" width="20.77734375" style="7" customWidth="1"/>
    <col min="23" max="23" width="20.77734375" style="213" customWidth="1"/>
    <col min="24" max="24" width="20.77734375" customWidth="1"/>
    <col min="25" max="25" width="20.109375" customWidth="1"/>
    <col min="26" max="26" width="25" customWidth="1"/>
    <col min="27" max="27" width="10.6640625" style="279" bestFit="1" customWidth="1"/>
  </cols>
  <sheetData>
    <row r="1" spans="1:28" ht="27" customHeight="1" thickBot="1" x14ac:dyDescent="0.35">
      <c r="A1" s="1" t="s">
        <v>22</v>
      </c>
      <c r="B1" s="2" t="s">
        <v>24</v>
      </c>
      <c r="C1" s="1" t="s">
        <v>25</v>
      </c>
      <c r="D1" s="3" t="s">
        <v>26</v>
      </c>
      <c r="E1" s="3" t="s">
        <v>27</v>
      </c>
      <c r="F1" s="3" t="s">
        <v>28</v>
      </c>
      <c r="G1" s="3" t="s">
        <v>29</v>
      </c>
      <c r="H1" s="3" t="s">
        <v>30</v>
      </c>
      <c r="I1" s="3" t="s">
        <v>31</v>
      </c>
      <c r="J1" s="3" t="s">
        <v>32</v>
      </c>
      <c r="K1" s="3" t="s">
        <v>33</v>
      </c>
      <c r="L1" s="3" t="s">
        <v>34</v>
      </c>
      <c r="M1" s="4" t="s">
        <v>35</v>
      </c>
      <c r="N1" s="5" t="s">
        <v>36</v>
      </c>
      <c r="O1" s="5" t="s">
        <v>37</v>
      </c>
      <c r="P1" s="5" t="s">
        <v>38</v>
      </c>
      <c r="Q1" s="5" t="s">
        <v>39</v>
      </c>
      <c r="R1" s="5" t="s">
        <v>40</v>
      </c>
      <c r="S1" s="4" t="s">
        <v>41</v>
      </c>
      <c r="T1" s="4" t="s">
        <v>42</v>
      </c>
      <c r="U1" s="4" t="s">
        <v>43</v>
      </c>
      <c r="V1" s="4" t="s">
        <v>44</v>
      </c>
      <c r="W1" s="197" t="s">
        <v>45</v>
      </c>
      <c r="X1" s="224" t="s">
        <v>1353</v>
      </c>
      <c r="Y1" s="207" t="s">
        <v>46</v>
      </c>
      <c r="Z1" s="207" t="s">
        <v>47</v>
      </c>
      <c r="AA1" s="275" t="s">
        <v>1404</v>
      </c>
      <c r="AB1" s="207" t="s">
        <v>1407</v>
      </c>
    </row>
    <row r="2" spans="1:28" x14ac:dyDescent="0.3">
      <c r="A2" s="48">
        <v>1</v>
      </c>
      <c r="B2" s="48" t="s">
        <v>48</v>
      </c>
      <c r="C2" s="48" t="s">
        <v>49</v>
      </c>
      <c r="D2" s="75">
        <v>500001022</v>
      </c>
      <c r="E2" s="75" t="s">
        <v>50</v>
      </c>
      <c r="F2" s="75" t="s">
        <v>51</v>
      </c>
      <c r="G2" s="75">
        <v>220</v>
      </c>
      <c r="H2" s="75">
        <v>61.6</v>
      </c>
      <c r="I2" s="75" t="s">
        <v>11</v>
      </c>
      <c r="J2" s="75" t="s">
        <v>52</v>
      </c>
      <c r="K2" s="75">
        <v>7</v>
      </c>
      <c r="L2" s="75">
        <f>Table1[[#This Row],[Duration]]*12</f>
        <v>84</v>
      </c>
      <c r="M2" s="77">
        <v>43724</v>
      </c>
      <c r="N2" s="78" t="str">
        <f>IF(AND(Table1[[#This Row],[ Type of Contract]]="ESCO",Table1[[#This Row],[Status Detail]]="ACTIVE"),"yes","no")</f>
        <v>yes</v>
      </c>
      <c r="O2" s="78" t="s">
        <v>53</v>
      </c>
      <c r="P2" s="78" t="s">
        <v>54</v>
      </c>
      <c r="Q2" s="79"/>
      <c r="R2" s="80" t="s">
        <v>7</v>
      </c>
      <c r="S2" s="49" t="s">
        <v>55</v>
      </c>
      <c r="T2" s="49" t="s">
        <v>56</v>
      </c>
      <c r="U2" s="141" t="s">
        <v>57</v>
      </c>
      <c r="V2" s="141">
        <v>212279020</v>
      </c>
      <c r="W2" s="119">
        <f>IF(Table1[[#This Row],[Maintenance]]="yes",IF(OR(Table1[[#This Row],[Start Contract]]="",Table1[[#This Row],[Duration Month2]]=""),"",EDATE(Table1[[#This Row],[Start Contract]],Table1[[#This Row],[Duration Month2]])),"-")</f>
        <v>46281</v>
      </c>
      <c r="X2" s="115">
        <f>IF(OR((W2=""),(W2="-")),"",YEAR(Table1[[#This Row],[End Contract]]))</f>
        <v>2026</v>
      </c>
      <c r="Y2" s="54" t="str">
        <f ca="1">IF(Table1[[#This Row],[Maintenance]]="yes",IF(Table1[[#This Row],[End Contract]]="","no",IF(TODAY()&lt;=Table1[[#This Row],[End Contract]],"yes","no")),"no")</f>
        <v>yes</v>
      </c>
      <c r="Z2" s="54"/>
      <c r="AA2" s="277" t="s">
        <v>178</v>
      </c>
      <c r="AB2" s="276" t="s">
        <v>1406</v>
      </c>
    </row>
    <row r="3" spans="1:28" x14ac:dyDescent="0.3">
      <c r="A3" s="50">
        <v>2</v>
      </c>
      <c r="B3" s="50" t="s">
        <v>58</v>
      </c>
      <c r="C3" s="50" t="s">
        <v>59</v>
      </c>
      <c r="D3" s="81">
        <v>510912974</v>
      </c>
      <c r="E3" s="81" t="s">
        <v>60</v>
      </c>
      <c r="F3" s="81" t="s">
        <v>19</v>
      </c>
      <c r="G3" s="81">
        <v>272</v>
      </c>
      <c r="H3" s="81">
        <v>89.8</v>
      </c>
      <c r="I3" s="81" t="s">
        <v>11</v>
      </c>
      <c r="J3" s="75" t="s">
        <v>52</v>
      </c>
      <c r="K3" s="81">
        <v>15</v>
      </c>
      <c r="L3" s="81">
        <f>Table1[[#This Row],[Duration]]*12</f>
        <v>180</v>
      </c>
      <c r="M3" s="82">
        <v>43803</v>
      </c>
      <c r="N3" s="46" t="str">
        <f>IF(AND(Table1[[#This Row],[ Type of Contract]]="ESCO",Table1[[#This Row],[Status Detail]]="ACTIVE"),"yes","no")</f>
        <v>yes</v>
      </c>
      <c r="O3" s="46" t="s">
        <v>53</v>
      </c>
      <c r="P3" s="46" t="s">
        <v>61</v>
      </c>
      <c r="Q3" s="76"/>
      <c r="R3" s="49" t="s">
        <v>7</v>
      </c>
      <c r="S3" s="49" t="s">
        <v>62</v>
      </c>
      <c r="T3" s="49" t="s">
        <v>63</v>
      </c>
      <c r="U3" s="141" t="s">
        <v>64</v>
      </c>
      <c r="V3" s="141">
        <v>917275304</v>
      </c>
      <c r="W3" s="119">
        <f>IF(Table1[[#This Row],[Maintenance]]="yes",IF(OR(Table1[[#This Row],[Start Contract]]="",Table1[[#This Row],[Duration Month2]]=""),"",EDATE(Table1[[#This Row],[Start Contract]],Table1[[#This Row],[Duration Month2]])),"-")</f>
        <v>49282</v>
      </c>
      <c r="X3" s="115">
        <f>IF(OR((W3=""),(W3="-")),"",YEAR(Table1[[#This Row],[End Contract]]))</f>
        <v>2034</v>
      </c>
      <c r="Y3" s="54" t="str">
        <f ca="1">IF(Table1[[#This Row],[Maintenance]]="yes",IF(Table1[[#This Row],[End Contract]]="","no",IF(TODAY()&lt;=Table1[[#This Row],[End Contract]],"yes","no")),"no")</f>
        <v>yes</v>
      </c>
      <c r="Z3" s="54"/>
      <c r="AA3" s="277" t="s">
        <v>178</v>
      </c>
      <c r="AB3" s="276" t="s">
        <v>1406</v>
      </c>
    </row>
    <row r="4" spans="1:28" x14ac:dyDescent="0.3">
      <c r="A4" s="48">
        <v>3</v>
      </c>
      <c r="B4" s="48" t="s">
        <v>65</v>
      </c>
      <c r="C4" s="48" t="s">
        <v>66</v>
      </c>
      <c r="D4" s="75">
        <v>510731570</v>
      </c>
      <c r="E4" s="75" t="s">
        <v>67</v>
      </c>
      <c r="F4" s="75" t="s">
        <v>68</v>
      </c>
      <c r="G4" s="75">
        <v>90</v>
      </c>
      <c r="H4" s="75">
        <v>29.7</v>
      </c>
      <c r="I4" s="75" t="s">
        <v>11</v>
      </c>
      <c r="J4" s="75" t="s">
        <v>52</v>
      </c>
      <c r="K4" s="75">
        <v>15</v>
      </c>
      <c r="L4" s="75">
        <f>Table1[[#This Row],[Duration]]*12</f>
        <v>180</v>
      </c>
      <c r="M4" s="77">
        <v>43831</v>
      </c>
      <c r="N4" s="78" t="str">
        <f>IF(AND(Table1[[#This Row],[ Type of Contract]]="ESCO",Table1[[#This Row],[Status Detail]]="ACTIVE"),"yes","no")</f>
        <v>yes</v>
      </c>
      <c r="O4" s="78" t="s">
        <v>53</v>
      </c>
      <c r="P4" s="78" t="s">
        <v>61</v>
      </c>
      <c r="Q4" s="79"/>
      <c r="R4" s="80" t="s">
        <v>7</v>
      </c>
      <c r="S4" s="49" t="s">
        <v>69</v>
      </c>
      <c r="T4" s="49" t="s">
        <v>70</v>
      </c>
      <c r="U4" s="141" t="s">
        <v>71</v>
      </c>
      <c r="V4" s="141" t="s">
        <v>72</v>
      </c>
      <c r="W4" s="119">
        <f>IF(Table1[[#This Row],[Maintenance]]="yes",IF(OR(Table1[[#This Row],[Start Contract]]="",Table1[[#This Row],[Duration Month2]]=""),"",EDATE(Table1[[#This Row],[Start Contract]],Table1[[#This Row],[Duration Month2]])),"-")</f>
        <v>49310</v>
      </c>
      <c r="X4" s="115">
        <f>IF(OR((W4=""),(W4="-")),"",YEAR(Table1[[#This Row],[End Contract]]))</f>
        <v>2035</v>
      </c>
      <c r="Y4" s="54" t="str">
        <f ca="1">IF(Table1[[#This Row],[Maintenance]]="yes",IF(Table1[[#This Row],[End Contract]]="","no",IF(TODAY()&lt;=Table1[[#This Row],[End Contract]],"yes","no")),"no")</f>
        <v>yes</v>
      </c>
      <c r="Z4" s="54"/>
      <c r="AA4" s="277" t="s">
        <v>178</v>
      </c>
      <c r="AB4" s="276" t="s">
        <v>1406</v>
      </c>
    </row>
    <row r="5" spans="1:28" x14ac:dyDescent="0.3">
      <c r="A5" s="48">
        <v>4</v>
      </c>
      <c r="B5" s="50" t="s">
        <v>1425</v>
      </c>
      <c r="C5" s="50" t="s">
        <v>74</v>
      </c>
      <c r="D5" s="81">
        <v>502265906</v>
      </c>
      <c r="E5" s="81" t="s">
        <v>75</v>
      </c>
      <c r="F5" s="81" t="s">
        <v>51</v>
      </c>
      <c r="G5" s="81">
        <v>684</v>
      </c>
      <c r="H5" s="81">
        <v>307.8</v>
      </c>
      <c r="I5" s="81" t="s">
        <v>8</v>
      </c>
      <c r="J5" s="75" t="s">
        <v>76</v>
      </c>
      <c r="K5" s="238">
        <v>2</v>
      </c>
      <c r="L5" s="90">
        <f>Table1[[#This Row],[Duration]]*12</f>
        <v>24</v>
      </c>
      <c r="M5" s="232">
        <v>45474</v>
      </c>
      <c r="N5" s="46" t="s">
        <v>77</v>
      </c>
      <c r="O5" s="46" t="s">
        <v>53</v>
      </c>
      <c r="P5" s="46" t="s">
        <v>78</v>
      </c>
      <c r="Q5" s="76" t="s">
        <v>79</v>
      </c>
      <c r="R5" s="49" t="s">
        <v>7</v>
      </c>
      <c r="S5" s="49" t="s">
        <v>80</v>
      </c>
      <c r="T5" s="49" t="s">
        <v>70</v>
      </c>
      <c r="U5" s="141" t="s">
        <v>81</v>
      </c>
      <c r="V5" s="141">
        <v>962546961</v>
      </c>
      <c r="W5" s="119">
        <f>IF(Table1[[#This Row],[Maintenance]]="yes",IF(OR(Table1[[#This Row],[Start Contract]]="",Table1[[#This Row],[Duration Month2]]=""),"",EDATE(Table1[[#This Row],[Start Contract]],Table1[[#This Row],[Duration Month2]])),"-")</f>
        <v>46204</v>
      </c>
      <c r="X5" s="115">
        <f>IF(OR((W5=""),(W5="-")),"",YEAR(Table1[[#This Row],[End Contract]]))</f>
        <v>2026</v>
      </c>
      <c r="Y5" s="54" t="str">
        <f ca="1">IF(Table1[[#This Row],[Maintenance]]="yes",IF(Table1[[#This Row],[End Contract]]="","no",IF(TODAY()&lt;=Table1[[#This Row],[End Contract]],"yes","no")),"no")</f>
        <v>yes</v>
      </c>
      <c r="Z5" s="54" t="s">
        <v>82</v>
      </c>
      <c r="AA5" s="277">
        <v>1750</v>
      </c>
      <c r="AB5" s="277" t="s">
        <v>1408</v>
      </c>
    </row>
    <row r="6" spans="1:28" x14ac:dyDescent="0.3">
      <c r="A6" s="48">
        <v>4</v>
      </c>
      <c r="B6" s="50" t="s">
        <v>83</v>
      </c>
      <c r="C6" s="50" t="s">
        <v>74</v>
      </c>
      <c r="D6" s="81">
        <v>502265906</v>
      </c>
      <c r="E6" s="81" t="s">
        <v>84</v>
      </c>
      <c r="F6" s="81" t="s">
        <v>51</v>
      </c>
      <c r="G6" s="81">
        <v>648</v>
      </c>
      <c r="H6" s="81">
        <v>243</v>
      </c>
      <c r="I6" s="81" t="s">
        <v>11</v>
      </c>
      <c r="J6" s="75" t="s">
        <v>52</v>
      </c>
      <c r="K6" s="81">
        <v>8</v>
      </c>
      <c r="L6" s="81">
        <f>Table1[[#This Row],[Duration]]*12</f>
        <v>96</v>
      </c>
      <c r="M6" s="199">
        <v>44013</v>
      </c>
      <c r="N6" s="46" t="str">
        <f>IF(AND(Table1[[#This Row],[ Type of Contract]]="ESCO",Table1[[#This Row],[Status Detail]]="ACTIVE"),"yes","no")</f>
        <v>yes</v>
      </c>
      <c r="O6" s="46" t="s">
        <v>53</v>
      </c>
      <c r="P6" s="46" t="s">
        <v>54</v>
      </c>
      <c r="Q6" s="76"/>
      <c r="R6" s="49" t="s">
        <v>7</v>
      </c>
      <c r="S6" s="49" t="s">
        <v>80</v>
      </c>
      <c r="T6" s="49" t="s">
        <v>70</v>
      </c>
      <c r="U6" s="141" t="s">
        <v>81</v>
      </c>
      <c r="V6" s="141">
        <v>272989489</v>
      </c>
      <c r="W6" s="119">
        <f>IF(Table1[[#This Row],[Maintenance]]="yes",IF(OR(Table1[[#This Row],[Start Contract]]="",Table1[[#This Row],[Duration Month2]]=""),"",EDATE(Table1[[#This Row],[Start Contract]],Table1[[#This Row],[Duration Month2]])),"-")</f>
        <v>46935</v>
      </c>
      <c r="X6" s="115">
        <f>IF(OR((W6=""),(W6="-")),"",YEAR(Table1[[#This Row],[End Contract]]))</f>
        <v>2028</v>
      </c>
      <c r="Y6" s="54" t="str">
        <f ca="1">IF(Table1[[#This Row],[Maintenance]]="yes",IF(Table1[[#This Row],[End Contract]]="","no",IF(TODAY()&lt;=Table1[[#This Row],[End Contract]],"yes","no")),"no")</f>
        <v>yes</v>
      </c>
      <c r="Z6" s="54"/>
      <c r="AA6" s="277" t="s">
        <v>178</v>
      </c>
      <c r="AB6" s="276" t="s">
        <v>1406</v>
      </c>
    </row>
    <row r="7" spans="1:28" x14ac:dyDescent="0.3">
      <c r="A7" s="48">
        <v>5</v>
      </c>
      <c r="B7" s="50" t="s">
        <v>85</v>
      </c>
      <c r="C7" s="50" t="s">
        <v>86</v>
      </c>
      <c r="D7" s="81">
        <v>505435748</v>
      </c>
      <c r="E7" s="81" t="s">
        <v>87</v>
      </c>
      <c r="F7" s="81" t="s">
        <v>16</v>
      </c>
      <c r="G7" s="81">
        <v>360</v>
      </c>
      <c r="H7" s="81">
        <v>138.6</v>
      </c>
      <c r="I7" s="81" t="s">
        <v>15</v>
      </c>
      <c r="J7" s="75" t="s">
        <v>52</v>
      </c>
      <c r="K7" s="81">
        <v>15</v>
      </c>
      <c r="L7" s="81">
        <f>Table1[[#This Row],[Duration]]*12</f>
        <v>180</v>
      </c>
      <c r="M7" s="82">
        <v>44136</v>
      </c>
      <c r="N7" s="46" t="str">
        <f>IF(AND(Table1[[#This Row],[ Type of Contract]]="ESCO",Table1[[#This Row],[Status Detail]]="ACTIVE"),"yes","no")</f>
        <v>no</v>
      </c>
      <c r="O7" s="46" t="s">
        <v>53</v>
      </c>
      <c r="P7" s="46" t="s">
        <v>61</v>
      </c>
      <c r="Q7" s="76"/>
      <c r="R7" s="49" t="s">
        <v>7</v>
      </c>
      <c r="S7" s="49" t="s">
        <v>88</v>
      </c>
      <c r="T7" s="49" t="s">
        <v>70</v>
      </c>
      <c r="U7" s="49" t="s">
        <v>89</v>
      </c>
      <c r="V7" s="49">
        <v>917569054</v>
      </c>
      <c r="W7" s="119" t="str">
        <f>IF(Table1[[#This Row],[Maintenance]]="yes",IF(OR(Table1[[#This Row],[Start Contract]]="",Table1[[#This Row],[Duration Month2]]=""),"",EDATE(Table1[[#This Row],[Start Contract]],Table1[[#This Row],[Duration Month2]])),"-")</f>
        <v>-</v>
      </c>
      <c r="X7" s="115" t="str">
        <f>IF(OR((W7=""),(W7="-")),"",YEAR(Table1[[#This Row],[End Contract]]))</f>
        <v/>
      </c>
      <c r="Y7" s="54" t="str">
        <f ca="1">IF(Table1[[#This Row],[Maintenance]]="yes",IF(Table1[[#This Row],[End Contract]]="","no",IF(TODAY()&lt;=Table1[[#This Row],[End Contract]],"yes","no")),"no")</f>
        <v>no</v>
      </c>
      <c r="Z7" s="54"/>
      <c r="AA7" s="54"/>
      <c r="AB7" s="54"/>
    </row>
    <row r="8" spans="1:28" x14ac:dyDescent="0.3">
      <c r="A8" s="48">
        <v>6</v>
      </c>
      <c r="B8" s="50" t="s">
        <v>90</v>
      </c>
      <c r="C8" s="50" t="s">
        <v>91</v>
      </c>
      <c r="D8" s="81">
        <v>500792640</v>
      </c>
      <c r="E8" s="81" t="s">
        <v>92</v>
      </c>
      <c r="F8" s="81" t="s">
        <v>93</v>
      </c>
      <c r="G8" s="81">
        <v>68</v>
      </c>
      <c r="H8" s="81">
        <v>26.18</v>
      </c>
      <c r="I8" s="81" t="s">
        <v>11</v>
      </c>
      <c r="J8" s="75" t="s">
        <v>52</v>
      </c>
      <c r="K8" s="81">
        <f>84/12</f>
        <v>7</v>
      </c>
      <c r="L8" s="81">
        <f>Table1[[#This Row],[Duration]]*12</f>
        <v>84</v>
      </c>
      <c r="M8" s="82">
        <v>44105</v>
      </c>
      <c r="N8" s="46" t="str">
        <f>IF(AND(Table1[[#This Row],[ Type of Contract]]="ESCO",Table1[[#This Row],[Status Detail]]="ACTIVE"),"yes","no")</f>
        <v>yes</v>
      </c>
      <c r="O8" s="46" t="s">
        <v>94</v>
      </c>
      <c r="P8" s="46" t="s">
        <v>61</v>
      </c>
      <c r="Q8" s="76"/>
      <c r="R8" s="49" t="s">
        <v>7</v>
      </c>
      <c r="S8" s="49" t="s">
        <v>95</v>
      </c>
      <c r="T8" s="49" t="s">
        <v>96</v>
      </c>
      <c r="U8" s="141" t="s">
        <v>97</v>
      </c>
      <c r="V8" s="141">
        <v>232861270</v>
      </c>
      <c r="W8" s="119">
        <f>IF(Table1[[#This Row],[Maintenance]]="yes",IF(OR(Table1[[#This Row],[Start Contract]]="",Table1[[#This Row],[Duration Month2]]=""),"",EDATE(Table1[[#This Row],[Start Contract]],Table1[[#This Row],[Duration Month2]])),"-")</f>
        <v>46661</v>
      </c>
      <c r="X8" s="115">
        <f>IF(OR((W8=""),(W8="-")),"",YEAR(Table1[[#This Row],[End Contract]]))</f>
        <v>2027</v>
      </c>
      <c r="Y8" s="54" t="str">
        <f ca="1">IF(Table1[[#This Row],[Maintenance]]="yes",IF(Table1[[#This Row],[End Contract]]="","no",IF(TODAY()&lt;=Table1[[#This Row],[End Contract]],"yes","no")),"no")</f>
        <v>yes</v>
      </c>
      <c r="Z8" s="54"/>
      <c r="AA8" s="277" t="s">
        <v>178</v>
      </c>
      <c r="AB8" s="276" t="s">
        <v>1406</v>
      </c>
    </row>
    <row r="9" spans="1:28" x14ac:dyDescent="0.3">
      <c r="A9" s="51">
        <v>7</v>
      </c>
      <c r="B9" s="51" t="s">
        <v>98</v>
      </c>
      <c r="C9" s="51" t="s">
        <v>99</v>
      </c>
      <c r="D9" s="83">
        <v>509891500</v>
      </c>
      <c r="E9" s="83" t="s">
        <v>100</v>
      </c>
      <c r="F9" s="83"/>
      <c r="G9" s="83"/>
      <c r="H9" s="83">
        <v>45</v>
      </c>
      <c r="I9" s="83" t="s">
        <v>11</v>
      </c>
      <c r="J9" s="83" t="s">
        <v>52</v>
      </c>
      <c r="K9" s="83">
        <v>15</v>
      </c>
      <c r="L9" s="83">
        <f>Table1[[#This Row],[Duration]]*12</f>
        <v>180</v>
      </c>
      <c r="M9" s="85"/>
      <c r="N9" s="86" t="str">
        <f>IF(AND(Table1[[#This Row],[ Type of Contract]]="ESCO",Table1[[#This Row],[Status Detail]]="ACTIVE"),"yes","no")</f>
        <v>no</v>
      </c>
      <c r="O9" s="86"/>
      <c r="P9" s="86"/>
      <c r="Q9" s="84"/>
      <c r="R9" s="87" t="s">
        <v>14</v>
      </c>
      <c r="S9" s="52" t="s">
        <v>101</v>
      </c>
      <c r="T9" s="52" t="s">
        <v>70</v>
      </c>
      <c r="U9" s="52"/>
      <c r="V9" s="52"/>
      <c r="W9" s="119" t="str">
        <f>IF(Table1[[#This Row],[Maintenance]]="yes",IF(OR(Table1[[#This Row],[Start Contract]]="",Table1[[#This Row],[Duration Month2]]=""),"",EDATE(Table1[[#This Row],[Start Contract]],Table1[[#This Row],[Duration Month2]])),"-")</f>
        <v>-</v>
      </c>
      <c r="X9" s="115" t="str">
        <f>IF(OR((W9=""),(W9="-")),"",YEAR(Table1[[#This Row],[End Contract]]))</f>
        <v/>
      </c>
      <c r="Y9" s="54" t="str">
        <f ca="1">IF(Table1[[#This Row],[Maintenance]]="yes",IF(Table1[[#This Row],[End Contract]]="","no",IF(TODAY()&lt;=Table1[[#This Row],[End Contract]],"yes","no")),"no")</f>
        <v>no</v>
      </c>
      <c r="Z9" s="54"/>
      <c r="AA9" s="54"/>
      <c r="AB9" s="54"/>
    </row>
    <row r="10" spans="1:28" x14ac:dyDescent="0.3">
      <c r="A10" s="50">
        <v>8</v>
      </c>
      <c r="B10" s="50" t="s">
        <v>102</v>
      </c>
      <c r="C10" s="50" t="s">
        <v>103</v>
      </c>
      <c r="D10" s="81">
        <v>501754679</v>
      </c>
      <c r="E10" s="81" t="s">
        <v>104</v>
      </c>
      <c r="F10" s="81" t="s">
        <v>105</v>
      </c>
      <c r="G10" s="81">
        <v>360</v>
      </c>
      <c r="H10" s="81">
        <v>138.6</v>
      </c>
      <c r="I10" s="81" t="s">
        <v>11</v>
      </c>
      <c r="J10" s="75" t="s">
        <v>52</v>
      </c>
      <c r="K10" s="81">
        <v>15</v>
      </c>
      <c r="L10" s="81">
        <f>Table1[[#This Row],[Duration]]*12</f>
        <v>180</v>
      </c>
      <c r="M10" s="82">
        <v>44228</v>
      </c>
      <c r="N10" s="46" t="str">
        <f>IF(AND(Table1[[#This Row],[ Type of Contract]]="ESCO",Table1[[#This Row],[Status Detail]]="ACTIVE"),"yes","no")</f>
        <v>yes</v>
      </c>
      <c r="O10" s="46" t="s">
        <v>53</v>
      </c>
      <c r="P10" s="46" t="s">
        <v>61</v>
      </c>
      <c r="Q10" s="76"/>
      <c r="R10" s="49" t="s">
        <v>7</v>
      </c>
      <c r="S10" s="49" t="s">
        <v>106</v>
      </c>
      <c r="T10" s="49" t="s">
        <v>63</v>
      </c>
      <c r="U10" s="141" t="s">
        <v>107</v>
      </c>
      <c r="V10" s="144" t="s">
        <v>108</v>
      </c>
      <c r="W10" s="119">
        <f>IF(Table1[[#This Row],[Maintenance]]="yes",IF(OR(Table1[[#This Row],[Start Contract]]="",Table1[[#This Row],[Duration Month2]]=""),"",EDATE(Table1[[#This Row],[Start Contract]],Table1[[#This Row],[Duration Month2]])),"-")</f>
        <v>49706</v>
      </c>
      <c r="X10" s="115">
        <f>IF(OR((W10=""),(W10="-")),"",YEAR(Table1[[#This Row],[End Contract]]))</f>
        <v>2036</v>
      </c>
      <c r="Y10" s="54" t="str">
        <f ca="1">IF(Table1[[#This Row],[Maintenance]]="yes",IF(Table1[[#This Row],[End Contract]]="","no",IF(TODAY()&lt;=Table1[[#This Row],[End Contract]],"yes","no")),"no")</f>
        <v>yes</v>
      </c>
      <c r="Z10" s="54"/>
      <c r="AA10" s="277" t="s">
        <v>178</v>
      </c>
      <c r="AB10" s="276" t="s">
        <v>1406</v>
      </c>
    </row>
    <row r="11" spans="1:28" x14ac:dyDescent="0.3">
      <c r="A11" s="48">
        <v>9</v>
      </c>
      <c r="B11" s="48" t="s">
        <v>1419</v>
      </c>
      <c r="C11" s="48" t="s">
        <v>110</v>
      </c>
      <c r="D11" s="75">
        <v>514968044</v>
      </c>
      <c r="E11" s="75" t="s">
        <v>111</v>
      </c>
      <c r="F11" s="75" t="s">
        <v>16</v>
      </c>
      <c r="G11" s="75">
        <v>68</v>
      </c>
      <c r="H11" s="75">
        <v>26.86</v>
      </c>
      <c r="I11" s="75" t="s">
        <v>15</v>
      </c>
      <c r="J11" s="75" t="s">
        <v>52</v>
      </c>
      <c r="K11" s="75">
        <v>8</v>
      </c>
      <c r="L11" s="75">
        <f>Table1[[#This Row],[Duration]]*12</f>
        <v>96</v>
      </c>
      <c r="M11" s="76">
        <v>44287</v>
      </c>
      <c r="N11" s="46" t="str">
        <f>IF(AND(Table1[[#This Row],[ Type of Contract]]="ESCO",Table1[[#This Row],[Status Detail]]="ACTIVE"),"yes","no")</f>
        <v>no</v>
      </c>
      <c r="O11" s="46" t="s">
        <v>53</v>
      </c>
      <c r="P11" s="46" t="s">
        <v>61</v>
      </c>
      <c r="Q11" s="76"/>
      <c r="R11" s="80" t="s">
        <v>7</v>
      </c>
      <c r="S11" s="49" t="s">
        <v>112</v>
      </c>
      <c r="T11" s="49" t="s">
        <v>70</v>
      </c>
      <c r="U11" s="49" t="s">
        <v>113</v>
      </c>
      <c r="V11" s="49">
        <v>912378796</v>
      </c>
      <c r="W11" s="119" t="str">
        <f>IF(Table1[[#This Row],[Maintenance]]="yes",IF(OR(Table1[[#This Row],[Start Contract]]="",Table1[[#This Row],[Duration Month2]]=""),"",EDATE(Table1[[#This Row],[Start Contract]],Table1[[#This Row],[Duration Month2]])),"-")</f>
        <v>-</v>
      </c>
      <c r="X11" s="115" t="str">
        <f>IF(OR((W11=""),(W11="-")),"",YEAR(Table1[[#This Row],[End Contract]]))</f>
        <v/>
      </c>
      <c r="Y11" s="54" t="str">
        <f ca="1">IF(Table1[[#This Row],[Maintenance]]="yes",IF(Table1[[#This Row],[End Contract]]="","no",IF(TODAY()&lt;=Table1[[#This Row],[End Contract]],"yes","no")),"no")</f>
        <v>no</v>
      </c>
      <c r="Z11" s="54"/>
      <c r="AA11" s="54"/>
      <c r="AB11" s="54"/>
    </row>
    <row r="12" spans="1:28" x14ac:dyDescent="0.3">
      <c r="A12" s="48">
        <v>10</v>
      </c>
      <c r="B12" s="50" t="s">
        <v>114</v>
      </c>
      <c r="C12" s="50" t="s">
        <v>115</v>
      </c>
      <c r="D12" s="81">
        <v>503722170</v>
      </c>
      <c r="E12" s="81" t="s">
        <v>116</v>
      </c>
      <c r="F12" s="81" t="s">
        <v>117</v>
      </c>
      <c r="G12" s="81">
        <v>158</v>
      </c>
      <c r="H12" s="81">
        <v>59.25</v>
      </c>
      <c r="I12" s="81" t="s">
        <v>11</v>
      </c>
      <c r="J12" s="75" t="s">
        <v>52</v>
      </c>
      <c r="K12" s="81">
        <v>7</v>
      </c>
      <c r="L12" s="81">
        <f>Table1[[#This Row],[Duration]]*12</f>
        <v>84</v>
      </c>
      <c r="M12" s="82">
        <v>44348</v>
      </c>
      <c r="N12" s="46" t="str">
        <f>IF(AND(Table1[[#This Row],[ Type of Contract]]="ESCO",Table1[[#This Row],[Status Detail]]="ACTIVE"),"yes","no")</f>
        <v>yes</v>
      </c>
      <c r="O12" s="46" t="s">
        <v>53</v>
      </c>
      <c r="P12" s="46" t="s">
        <v>61</v>
      </c>
      <c r="Q12" s="76"/>
      <c r="R12" s="49" t="s">
        <v>7</v>
      </c>
      <c r="S12" s="49" t="s">
        <v>118</v>
      </c>
      <c r="T12" s="49" t="s">
        <v>70</v>
      </c>
      <c r="U12" s="141" t="s">
        <v>119</v>
      </c>
      <c r="V12" s="141">
        <v>939017210</v>
      </c>
      <c r="W12" s="119">
        <f>IF(Table1[[#This Row],[Maintenance]]="yes",IF(OR(Table1[[#This Row],[Start Contract]]="",Table1[[#This Row],[Duration Month2]]=""),"",EDATE(Table1[[#This Row],[Start Contract]],Table1[[#This Row],[Duration Month2]])),"-")</f>
        <v>46905</v>
      </c>
      <c r="X12" s="115">
        <f>IF(OR((W12=""),(W12="-")),"",YEAR(Table1[[#This Row],[End Contract]]))</f>
        <v>2028</v>
      </c>
      <c r="Y12" s="54" t="str">
        <f ca="1">IF(Table1[[#This Row],[Maintenance]]="yes",IF(Table1[[#This Row],[End Contract]]="","no",IF(TODAY()&lt;=Table1[[#This Row],[End Contract]],"yes","no")),"no")</f>
        <v>yes</v>
      </c>
      <c r="Z12" s="54"/>
      <c r="AA12" s="277" t="s">
        <v>178</v>
      </c>
      <c r="AB12" s="276" t="s">
        <v>1406</v>
      </c>
    </row>
    <row r="13" spans="1:28" x14ac:dyDescent="0.3">
      <c r="A13" s="48">
        <v>11</v>
      </c>
      <c r="B13" s="48" t="s">
        <v>120</v>
      </c>
      <c r="C13" s="48" t="s">
        <v>121</v>
      </c>
      <c r="D13" s="75">
        <v>505030896</v>
      </c>
      <c r="E13" s="75" t="s">
        <v>122</v>
      </c>
      <c r="F13" s="75" t="s">
        <v>105</v>
      </c>
      <c r="G13" s="75">
        <v>114</v>
      </c>
      <c r="H13" s="75">
        <v>45.03</v>
      </c>
      <c r="I13" s="75" t="s">
        <v>11</v>
      </c>
      <c r="J13" s="75" t="s">
        <v>52</v>
      </c>
      <c r="K13" s="75">
        <v>15</v>
      </c>
      <c r="L13" s="75">
        <f>Table1[[#This Row],[Duration]]*12</f>
        <v>180</v>
      </c>
      <c r="M13" s="76">
        <v>44287</v>
      </c>
      <c r="N13" s="46" t="str">
        <f>IF(AND(Table1[[#This Row],[ Type of Contract]]="ESCO",Table1[[#This Row],[Status Detail]]="ACTIVE"),"yes","no")</f>
        <v>yes</v>
      </c>
      <c r="O13" s="46" t="s">
        <v>53</v>
      </c>
      <c r="P13" s="46" t="s">
        <v>61</v>
      </c>
      <c r="Q13" s="76"/>
      <c r="R13" s="80" t="s">
        <v>7</v>
      </c>
      <c r="S13" s="49" t="s">
        <v>123</v>
      </c>
      <c r="T13" s="49" t="s">
        <v>70</v>
      </c>
      <c r="U13" s="144" t="s">
        <v>124</v>
      </c>
      <c r="V13" s="141">
        <v>912006543</v>
      </c>
      <c r="W13" s="119">
        <f>IF(Table1[[#This Row],[Maintenance]]="yes",IF(OR(Table1[[#This Row],[Start Contract]]="",Table1[[#This Row],[Duration Month2]]=""),"",EDATE(Table1[[#This Row],[Start Contract]],Table1[[#This Row],[Duration Month2]])),"-")</f>
        <v>49766</v>
      </c>
      <c r="X13" s="115">
        <f>IF(OR((W13=""),(W13="-")),"",YEAR(Table1[[#This Row],[End Contract]]))</f>
        <v>2036</v>
      </c>
      <c r="Y13" s="54" t="str">
        <f ca="1">IF(Table1[[#This Row],[Maintenance]]="yes",IF(Table1[[#This Row],[End Contract]]="","no",IF(TODAY()&lt;=Table1[[#This Row],[End Contract]],"yes","no")),"no")</f>
        <v>yes</v>
      </c>
      <c r="Z13" s="54"/>
      <c r="AA13" s="277" t="s">
        <v>178</v>
      </c>
      <c r="AB13" s="276" t="s">
        <v>1406</v>
      </c>
    </row>
    <row r="14" spans="1:28" x14ac:dyDescent="0.3">
      <c r="A14" s="50">
        <v>12</v>
      </c>
      <c r="B14" s="50" t="s">
        <v>125</v>
      </c>
      <c r="C14" s="50" t="s">
        <v>126</v>
      </c>
      <c r="D14" s="81">
        <v>505185016</v>
      </c>
      <c r="E14" s="81" t="s">
        <v>127</v>
      </c>
      <c r="F14" s="81"/>
      <c r="G14" s="81"/>
      <c r="H14" s="81">
        <v>385</v>
      </c>
      <c r="I14" s="81" t="s">
        <v>11</v>
      </c>
      <c r="J14" s="75" t="s">
        <v>52</v>
      </c>
      <c r="K14" s="81">
        <v>15</v>
      </c>
      <c r="L14" s="81">
        <f>Table1[[#This Row],[Duration]]*12</f>
        <v>180</v>
      </c>
      <c r="M14" s="82"/>
      <c r="N14" s="46" t="str">
        <f>IF(AND(Table1[[#This Row],[ Type of Contract]]="ESCO",Table1[[#This Row],[Status Detail]]="ACTIVE"),"yes","no")</f>
        <v>no</v>
      </c>
      <c r="O14" s="46"/>
      <c r="P14" s="46"/>
      <c r="Q14" s="76"/>
      <c r="R14" s="49" t="s">
        <v>14</v>
      </c>
      <c r="S14" s="49" t="s">
        <v>128</v>
      </c>
      <c r="T14" s="49" t="s">
        <v>70</v>
      </c>
      <c r="U14" s="49" t="s">
        <v>129</v>
      </c>
      <c r="V14" s="49">
        <v>219577123</v>
      </c>
      <c r="W14" s="119" t="str">
        <f>IF(Table1[[#This Row],[Maintenance]]="yes",IF(OR(Table1[[#This Row],[Start Contract]]="",Table1[[#This Row],[Duration Month2]]=""),"",EDATE(Table1[[#This Row],[Start Contract]],Table1[[#This Row],[Duration Month2]])),"-")</f>
        <v>-</v>
      </c>
      <c r="X14" s="115" t="str">
        <f>IF(OR((W14=""),(W14="-")),"",YEAR(Table1[[#This Row],[End Contract]]))</f>
        <v/>
      </c>
      <c r="Y14" s="54" t="str">
        <f ca="1">IF(Table1[[#This Row],[Maintenance]]="yes",IF(Table1[[#This Row],[End Contract]]="","no",IF(TODAY()&lt;=Table1[[#This Row],[End Contract]],"yes","no")),"no")</f>
        <v>no</v>
      </c>
      <c r="Z14" s="54"/>
      <c r="AA14" s="54"/>
      <c r="AB14" s="54"/>
    </row>
    <row r="15" spans="1:28" x14ac:dyDescent="0.3">
      <c r="A15" s="48">
        <v>13</v>
      </c>
      <c r="B15" s="48" t="s">
        <v>130</v>
      </c>
      <c r="C15" s="48" t="s">
        <v>131</v>
      </c>
      <c r="D15" s="75">
        <v>503995762</v>
      </c>
      <c r="E15" s="75" t="s">
        <v>132</v>
      </c>
      <c r="F15" s="75" t="s">
        <v>105</v>
      </c>
      <c r="G15" s="75">
        <v>256</v>
      </c>
      <c r="H15" s="75">
        <v>101.12</v>
      </c>
      <c r="I15" s="75" t="s">
        <v>11</v>
      </c>
      <c r="J15" s="75" t="s">
        <v>52</v>
      </c>
      <c r="K15" s="75">
        <v>15</v>
      </c>
      <c r="L15" s="75">
        <f>Table1[[#This Row],[Duration]]*12</f>
        <v>180</v>
      </c>
      <c r="M15" s="76">
        <v>44287</v>
      </c>
      <c r="N15" s="46" t="str">
        <f>IF(AND(Table1[[#This Row],[ Type of Contract]]="ESCO",Table1[[#This Row],[Status Detail]]="ACTIVE"),"yes","no")</f>
        <v>yes</v>
      </c>
      <c r="O15" s="46" t="s">
        <v>53</v>
      </c>
      <c r="P15" s="46" t="s">
        <v>61</v>
      </c>
      <c r="Q15" s="76"/>
      <c r="R15" s="80" t="s">
        <v>7</v>
      </c>
      <c r="S15" s="49" t="s">
        <v>133</v>
      </c>
      <c r="T15" s="49" t="s">
        <v>70</v>
      </c>
      <c r="U15" s="144" t="s">
        <v>134</v>
      </c>
      <c r="V15" s="141">
        <v>912242073</v>
      </c>
      <c r="W15" s="119">
        <f>IF(Table1[[#This Row],[Maintenance]]="yes",IF(OR(Table1[[#This Row],[Start Contract]]="",Table1[[#This Row],[Duration Month2]]=""),"",EDATE(Table1[[#This Row],[Start Contract]],Table1[[#This Row],[Duration Month2]])),"-")</f>
        <v>49766</v>
      </c>
      <c r="X15" s="115">
        <f>IF(OR((W15=""),(W15="-")),"",YEAR(Table1[[#This Row],[End Contract]]))</f>
        <v>2036</v>
      </c>
      <c r="Y15" s="54" t="str">
        <f ca="1">IF(Table1[[#This Row],[Maintenance]]="yes",IF(Table1[[#This Row],[End Contract]]="","no",IF(TODAY()&lt;=Table1[[#This Row],[End Contract]],"yes","no")),"no")</f>
        <v>yes</v>
      </c>
      <c r="Z15" s="54"/>
      <c r="AA15" s="277" t="s">
        <v>178</v>
      </c>
      <c r="AB15" s="276" t="s">
        <v>1406</v>
      </c>
    </row>
    <row r="16" spans="1:28" ht="27.6" customHeight="1" x14ac:dyDescent="0.3">
      <c r="A16" s="50">
        <v>14</v>
      </c>
      <c r="B16" s="50" t="s">
        <v>135</v>
      </c>
      <c r="C16" s="50" t="s">
        <v>136</v>
      </c>
      <c r="D16" s="81">
        <v>501782265</v>
      </c>
      <c r="E16" s="81" t="s">
        <v>137</v>
      </c>
      <c r="F16" s="81" t="s">
        <v>105</v>
      </c>
      <c r="G16" s="81">
        <v>475</v>
      </c>
      <c r="H16" s="81">
        <v>187.63</v>
      </c>
      <c r="I16" s="81" t="s">
        <v>11</v>
      </c>
      <c r="J16" s="75" t="s">
        <v>52</v>
      </c>
      <c r="K16" s="81">
        <v>15</v>
      </c>
      <c r="L16" s="81">
        <f>Table1[[#This Row],[Duration]]*12</f>
        <v>180</v>
      </c>
      <c r="M16" s="82">
        <v>44287</v>
      </c>
      <c r="N16" s="46" t="str">
        <f>IF(AND(Table1[[#This Row],[ Type of Contract]]="ESCO",Table1[[#This Row],[Status Detail]]="ACTIVE"),"yes","no")</f>
        <v>yes</v>
      </c>
      <c r="O16" s="46" t="s">
        <v>53</v>
      </c>
      <c r="P16" s="46" t="s">
        <v>61</v>
      </c>
      <c r="Q16" s="76"/>
      <c r="R16" s="49" t="s">
        <v>7</v>
      </c>
      <c r="S16" s="53" t="s">
        <v>138</v>
      </c>
      <c r="T16" s="49" t="s">
        <v>139</v>
      </c>
      <c r="U16" s="141" t="s">
        <v>140</v>
      </c>
      <c r="V16" s="142" t="s">
        <v>141</v>
      </c>
      <c r="W16" s="119">
        <f>IF(Table1[[#This Row],[Maintenance]]="yes",IF(OR(Table1[[#This Row],[Start Contract]]="",Table1[[#This Row],[Duration Month2]]=""),"",EDATE(Table1[[#This Row],[Start Contract]],Table1[[#This Row],[Duration Month2]])),"-")</f>
        <v>49766</v>
      </c>
      <c r="X16" s="115">
        <f>IF(OR((W16=""),(W16="-")),"",YEAR(Table1[[#This Row],[End Contract]]))</f>
        <v>2036</v>
      </c>
      <c r="Y16" s="54" t="str">
        <f ca="1">IF(Table1[[#This Row],[Maintenance]]="yes",IF(Table1[[#This Row],[End Contract]]="","no",IF(TODAY()&lt;=Table1[[#This Row],[End Contract]],"yes","no")),"no")</f>
        <v>yes</v>
      </c>
      <c r="Z16" s="54"/>
      <c r="AA16" s="277" t="s">
        <v>178</v>
      </c>
      <c r="AB16" s="276" t="s">
        <v>1406</v>
      </c>
    </row>
    <row r="17" spans="1:28" x14ac:dyDescent="0.3">
      <c r="A17" s="48">
        <v>15</v>
      </c>
      <c r="B17" s="48" t="s">
        <v>142</v>
      </c>
      <c r="C17" s="48" t="s">
        <v>143</v>
      </c>
      <c r="D17" s="75">
        <v>500751722</v>
      </c>
      <c r="E17" s="75" t="s">
        <v>144</v>
      </c>
      <c r="F17" s="81" t="s">
        <v>20</v>
      </c>
      <c r="G17" s="75">
        <v>76</v>
      </c>
      <c r="H17" s="75">
        <v>30.02</v>
      </c>
      <c r="I17" s="75" t="s">
        <v>11</v>
      </c>
      <c r="J17" s="75" t="s">
        <v>52</v>
      </c>
      <c r="K17" s="75">
        <v>15</v>
      </c>
      <c r="L17" s="75">
        <f>Table1[[#This Row],[Duration]]*12</f>
        <v>180</v>
      </c>
      <c r="M17" s="76">
        <v>44317</v>
      </c>
      <c r="N17" s="46" t="str">
        <f>IF(AND(Table1[[#This Row],[ Type of Contract]]="ESCO",Table1[[#This Row],[Status Detail]]="ACTIVE"),"yes","no")</f>
        <v>yes</v>
      </c>
      <c r="O17" s="46" t="s">
        <v>53</v>
      </c>
      <c r="P17" s="46" t="s">
        <v>61</v>
      </c>
      <c r="Q17" s="76"/>
      <c r="R17" s="80" t="s">
        <v>7</v>
      </c>
      <c r="S17" s="49" t="s">
        <v>145</v>
      </c>
      <c r="T17" s="49" t="s">
        <v>70</v>
      </c>
      <c r="U17" s="141" t="s">
        <v>146</v>
      </c>
      <c r="V17" s="141">
        <v>918302947</v>
      </c>
      <c r="W17" s="119">
        <f>IF(Table1[[#This Row],[Maintenance]]="yes",IF(OR(Table1[[#This Row],[Start Contract]]="",Table1[[#This Row],[Duration Month2]]=""),"",EDATE(Table1[[#This Row],[Start Contract]],Table1[[#This Row],[Duration Month2]])),"-")</f>
        <v>49796</v>
      </c>
      <c r="X17" s="115">
        <f>IF(OR((W17=""),(W17="-")),"",YEAR(Table1[[#This Row],[End Contract]]))</f>
        <v>2036</v>
      </c>
      <c r="Y17" s="54" t="str">
        <f ca="1">IF(Table1[[#This Row],[Maintenance]]="yes",IF(Table1[[#This Row],[End Contract]]="","no",IF(TODAY()&lt;=Table1[[#This Row],[End Contract]],"yes","no")),"no")</f>
        <v>yes</v>
      </c>
      <c r="Z17" s="54"/>
      <c r="AA17" s="277" t="s">
        <v>178</v>
      </c>
      <c r="AB17" s="276" t="s">
        <v>1406</v>
      </c>
    </row>
    <row r="18" spans="1:28" ht="27.6" customHeight="1" x14ac:dyDescent="0.3">
      <c r="A18" s="50">
        <v>16</v>
      </c>
      <c r="B18" s="50" t="s">
        <v>147</v>
      </c>
      <c r="C18" s="50" t="s">
        <v>148</v>
      </c>
      <c r="D18" s="81">
        <v>513203524</v>
      </c>
      <c r="E18" s="81" t="s">
        <v>149</v>
      </c>
      <c r="F18" s="81" t="s">
        <v>17</v>
      </c>
      <c r="G18" s="81">
        <v>75</v>
      </c>
      <c r="H18" s="81">
        <v>29.625</v>
      </c>
      <c r="I18" s="81" t="s">
        <v>11</v>
      </c>
      <c r="J18" s="75" t="s">
        <v>52</v>
      </c>
      <c r="K18" s="81">
        <v>15</v>
      </c>
      <c r="L18" s="81">
        <f>Table1[[#This Row],[Duration]]*12</f>
        <v>180</v>
      </c>
      <c r="M18" s="77">
        <v>44531</v>
      </c>
      <c r="N18" s="78" t="str">
        <f>IF(AND(Table1[[#This Row],[ Type of Contract]]="ESCO",Table1[[#This Row],[Status Detail]]="ACTIVE"),"yes","no")</f>
        <v>yes</v>
      </c>
      <c r="O18" s="78" t="s">
        <v>150</v>
      </c>
      <c r="P18" s="78" t="s">
        <v>61</v>
      </c>
      <c r="Q18" s="79"/>
      <c r="R18" s="49" t="s">
        <v>7</v>
      </c>
      <c r="S18" s="53" t="s">
        <v>151</v>
      </c>
      <c r="T18" s="49" t="s">
        <v>152</v>
      </c>
      <c r="U18" s="148" t="s">
        <v>153</v>
      </c>
      <c r="V18" s="141">
        <v>915913810</v>
      </c>
      <c r="W18" s="119">
        <f>IF(Table1[[#This Row],[Maintenance]]="yes",IF(OR(Table1[[#This Row],[Start Contract]]="",Table1[[#This Row],[Duration Month2]]=""),"",EDATE(Table1[[#This Row],[Start Contract]],Table1[[#This Row],[Duration Month2]])),"-")</f>
        <v>50010</v>
      </c>
      <c r="X18" s="115">
        <f>IF(OR((W18=""),(W18="-")),"",YEAR(Table1[[#This Row],[End Contract]]))</f>
        <v>2036</v>
      </c>
      <c r="Y18" s="54" t="str">
        <f ca="1">IF(Table1[[#This Row],[Maintenance]]="yes",IF(Table1[[#This Row],[End Contract]]="","no",IF(TODAY()&lt;=Table1[[#This Row],[End Contract]],"yes","no")),"no")</f>
        <v>yes</v>
      </c>
      <c r="Z18" s="54"/>
      <c r="AA18" s="277" t="s">
        <v>178</v>
      </c>
      <c r="AB18" s="276" t="s">
        <v>1406</v>
      </c>
    </row>
    <row r="19" spans="1:28" ht="27.6" customHeight="1" x14ac:dyDescent="0.3">
      <c r="A19" s="48">
        <v>17</v>
      </c>
      <c r="B19" s="48" t="s">
        <v>154</v>
      </c>
      <c r="C19" s="48" t="s">
        <v>155</v>
      </c>
      <c r="D19" s="75">
        <v>502480335</v>
      </c>
      <c r="E19" s="75" t="s">
        <v>156</v>
      </c>
      <c r="F19" s="75" t="s">
        <v>157</v>
      </c>
      <c r="G19" s="75">
        <v>144</v>
      </c>
      <c r="H19" s="75">
        <v>64.599999999999994</v>
      </c>
      <c r="I19" s="75" t="s">
        <v>11</v>
      </c>
      <c r="J19" s="75" t="s">
        <v>52</v>
      </c>
      <c r="K19" s="75">
        <v>7</v>
      </c>
      <c r="L19" s="75">
        <f>Table1[[#This Row],[Duration]]*12</f>
        <v>84</v>
      </c>
      <c r="M19" s="76">
        <v>44348</v>
      </c>
      <c r="N19" s="46" t="str">
        <f>IF(AND(Table1[[#This Row],[ Type of Contract]]="ESCO",Table1[[#This Row],[Status Detail]]="ACTIVE"),"yes","no")</f>
        <v>yes</v>
      </c>
      <c r="O19" s="46" t="s">
        <v>53</v>
      </c>
      <c r="P19" s="46" t="s">
        <v>61</v>
      </c>
      <c r="Q19" s="76"/>
      <c r="R19" s="80" t="s">
        <v>7</v>
      </c>
      <c r="S19" s="53" t="s">
        <v>159</v>
      </c>
      <c r="T19" s="49" t="s">
        <v>70</v>
      </c>
      <c r="U19" s="144" t="s">
        <v>160</v>
      </c>
      <c r="V19" s="141">
        <v>924434110</v>
      </c>
      <c r="W19" s="119">
        <f>IF(Table1[[#This Row],[Maintenance]]="yes",IF(OR(Table1[[#This Row],[Start Contract]]="",Table1[[#This Row],[Duration Month2]]=""),"",EDATE(Table1[[#This Row],[Start Contract]],Table1[[#This Row],[Duration Month2]])),"-")</f>
        <v>46905</v>
      </c>
      <c r="X19" s="115">
        <f>IF(OR((W19=""),(W19="-")),"",YEAR(Table1[[#This Row],[End Contract]]))</f>
        <v>2028</v>
      </c>
      <c r="Y19" s="54" t="str">
        <f ca="1">IF(Table1[[#This Row],[Maintenance]]="yes",IF(Table1[[#This Row],[End Contract]]="","no",IF(TODAY()&lt;=Table1[[#This Row],[End Contract]],"yes","no")),"no")</f>
        <v>yes</v>
      </c>
      <c r="Z19" s="54"/>
      <c r="AA19" s="277" t="s">
        <v>178</v>
      </c>
      <c r="AB19" s="276" t="s">
        <v>1406</v>
      </c>
    </row>
    <row r="20" spans="1:28" x14ac:dyDescent="0.3">
      <c r="A20" s="50">
        <v>18</v>
      </c>
      <c r="B20" s="50" t="s">
        <v>161</v>
      </c>
      <c r="C20" s="50" t="s">
        <v>162</v>
      </c>
      <c r="D20" s="81">
        <v>500269203</v>
      </c>
      <c r="E20" s="81" t="s">
        <v>163</v>
      </c>
      <c r="F20" s="81" t="s">
        <v>164</v>
      </c>
      <c r="G20" s="81">
        <v>192</v>
      </c>
      <c r="H20" s="81">
        <v>85.5</v>
      </c>
      <c r="I20" s="81" t="s">
        <v>11</v>
      </c>
      <c r="J20" s="75" t="s">
        <v>52</v>
      </c>
      <c r="K20" s="81">
        <v>8</v>
      </c>
      <c r="L20" s="81">
        <f>Table1[[#This Row],[Duration]]*12</f>
        <v>96</v>
      </c>
      <c r="M20" s="82">
        <v>44317</v>
      </c>
      <c r="N20" s="46" t="str">
        <f>IF(AND(Table1[[#This Row],[ Type of Contract]]="ESCO",Table1[[#This Row],[Status Detail]]="ACTIVE"),"yes","no")</f>
        <v>yes</v>
      </c>
      <c r="O20" s="46" t="s">
        <v>53</v>
      </c>
      <c r="P20" s="46" t="s">
        <v>61</v>
      </c>
      <c r="Q20" s="76"/>
      <c r="R20" s="49" t="s">
        <v>7</v>
      </c>
      <c r="S20" s="49" t="s">
        <v>165</v>
      </c>
      <c r="T20" s="49" t="s">
        <v>166</v>
      </c>
      <c r="U20" s="141" t="s">
        <v>167</v>
      </c>
      <c r="V20" s="144">
        <v>966631463</v>
      </c>
      <c r="W20" s="119">
        <f>IF(Table1[[#This Row],[Maintenance]]="yes",IF(OR(Table1[[#This Row],[Start Contract]]="",Table1[[#This Row],[Duration Month2]]=""),"",EDATE(Table1[[#This Row],[Start Contract]],Table1[[#This Row],[Duration Month2]])),"-")</f>
        <v>47239</v>
      </c>
      <c r="X20" s="115">
        <f>IF(OR((W20=""),(W20="-")),"",YEAR(Table1[[#This Row],[End Contract]]))</f>
        <v>2029</v>
      </c>
      <c r="Y20" s="54" t="str">
        <f ca="1">IF(Table1[[#This Row],[Maintenance]]="yes",IF(Table1[[#This Row],[End Contract]]="","no",IF(TODAY()&lt;=Table1[[#This Row],[End Contract]],"yes","no")),"no")</f>
        <v>yes</v>
      </c>
      <c r="Z20" s="54"/>
      <c r="AA20" s="277" t="s">
        <v>178</v>
      </c>
      <c r="AB20" s="276" t="s">
        <v>1406</v>
      </c>
    </row>
    <row r="21" spans="1:28" x14ac:dyDescent="0.3">
      <c r="A21" s="48">
        <v>19</v>
      </c>
      <c r="B21" s="48" t="s">
        <v>168</v>
      </c>
      <c r="C21" s="48" t="s">
        <v>169</v>
      </c>
      <c r="D21" s="75">
        <v>501150617</v>
      </c>
      <c r="E21" s="75" t="s">
        <v>170</v>
      </c>
      <c r="F21" s="75" t="s">
        <v>16</v>
      </c>
      <c r="G21" s="75">
        <v>360</v>
      </c>
      <c r="H21" s="75">
        <v>163.80000000000001</v>
      </c>
      <c r="I21" s="75" t="s">
        <v>15</v>
      </c>
      <c r="J21" s="75" t="s">
        <v>52</v>
      </c>
      <c r="K21" s="75">
        <v>15</v>
      </c>
      <c r="L21" s="75">
        <f>Table1[[#This Row],[Duration]]*12</f>
        <v>180</v>
      </c>
      <c r="M21" s="76">
        <v>44440</v>
      </c>
      <c r="N21" s="46" t="str">
        <f>IF(AND(Table1[[#This Row],[ Type of Contract]]="ESCO",Table1[[#This Row],[Status Detail]]="ACTIVE"),"yes","no")</f>
        <v>no</v>
      </c>
      <c r="O21" s="46" t="s">
        <v>53</v>
      </c>
      <c r="P21" s="46" t="s">
        <v>61</v>
      </c>
      <c r="Q21" s="76"/>
      <c r="R21" s="80" t="s">
        <v>7</v>
      </c>
      <c r="S21" s="49" t="s">
        <v>171</v>
      </c>
      <c r="T21" s="49" t="s">
        <v>172</v>
      </c>
      <c r="U21" s="49" t="s">
        <v>173</v>
      </c>
      <c r="V21" s="49" t="s">
        <v>174</v>
      </c>
      <c r="W21" s="119" t="str">
        <f>IF(Table1[[#This Row],[Maintenance]]="yes",IF(OR(Table1[[#This Row],[Start Contract]]="",Table1[[#This Row],[Duration Month2]]=""),"",EDATE(Table1[[#This Row],[Start Contract]],Table1[[#This Row],[Duration Month2]])),"-")</f>
        <v>-</v>
      </c>
      <c r="X21" s="115" t="str">
        <f>IF(OR((W21=""),(W21="-")),"",YEAR(Table1[[#This Row],[End Contract]]))</f>
        <v/>
      </c>
      <c r="Y21" s="54" t="str">
        <f ca="1">IF(Table1[[#This Row],[Maintenance]]="yes",IF(Table1[[#This Row],[End Contract]]="","no",IF(TODAY()&lt;=Table1[[#This Row],[End Contract]],"yes","no")),"no")</f>
        <v>no</v>
      </c>
      <c r="Z21" s="54"/>
      <c r="AA21" s="54"/>
      <c r="AB21" s="54"/>
    </row>
    <row r="22" spans="1:28" x14ac:dyDescent="0.3">
      <c r="A22" s="50">
        <v>20</v>
      </c>
      <c r="B22" s="50" t="s">
        <v>1427</v>
      </c>
      <c r="C22" s="50" t="s">
        <v>176</v>
      </c>
      <c r="D22" s="81">
        <v>196141494</v>
      </c>
      <c r="E22" s="81" t="s">
        <v>177</v>
      </c>
      <c r="F22" s="81" t="s">
        <v>68</v>
      </c>
      <c r="G22" s="81">
        <v>108</v>
      </c>
      <c r="H22" s="81">
        <v>42.7</v>
      </c>
      <c r="I22" s="81" t="s">
        <v>8</v>
      </c>
      <c r="J22" s="75" t="s">
        <v>76</v>
      </c>
      <c r="K22" s="81">
        <v>0</v>
      </c>
      <c r="L22" s="81">
        <f>Table1[[#This Row],[Duration]]*12</f>
        <v>0</v>
      </c>
      <c r="M22" s="82" t="s">
        <v>178</v>
      </c>
      <c r="N22" s="46" t="str">
        <f>IF(AND(Table1[[#This Row],[ Type of Contract]]="ESCO",Table1[[#This Row],[Status Detail]]="ACTIVE"),"yes","no")</f>
        <v>no</v>
      </c>
      <c r="O22" s="46" t="s">
        <v>53</v>
      </c>
      <c r="P22" s="46" t="s">
        <v>61</v>
      </c>
      <c r="Q22" s="76" t="s">
        <v>179</v>
      </c>
      <c r="R22" s="49" t="s">
        <v>7</v>
      </c>
      <c r="S22" s="49" t="s">
        <v>176</v>
      </c>
      <c r="T22" s="49" t="s">
        <v>70</v>
      </c>
      <c r="U22" s="49"/>
      <c r="V22" s="49">
        <v>961302782</v>
      </c>
      <c r="W22" s="119" t="str">
        <f>IF(Table1[[#This Row],[Maintenance]]="yes",IF(OR(Table1[[#This Row],[Start Contract]]="",Table1[[#This Row],[Duration Month2]]=""),"",EDATE(Table1[[#This Row],[Start Contract]],Table1[[#This Row],[Duration Month2]])),"-")</f>
        <v>-</v>
      </c>
      <c r="X22" s="115" t="str">
        <f>IF(OR((W22=""),(W22="-")),"",YEAR(Table1[[#This Row],[End Contract]]))</f>
        <v/>
      </c>
      <c r="Y22" s="54" t="str">
        <f ca="1">IF(Table1[[#This Row],[Maintenance]]="yes",IF(Table1[[#This Row],[End Contract]]="","no",IF(TODAY()&lt;=Table1[[#This Row],[End Contract]],"yes","no")),"no")</f>
        <v>no</v>
      </c>
      <c r="Z22" s="54"/>
      <c r="AA22" s="54"/>
      <c r="AB22" s="54"/>
    </row>
    <row r="23" spans="1:28" ht="27.6" customHeight="1" x14ac:dyDescent="0.3">
      <c r="A23" s="48">
        <v>21</v>
      </c>
      <c r="B23" s="48" t="s">
        <v>180</v>
      </c>
      <c r="C23" s="48" t="s">
        <v>181</v>
      </c>
      <c r="D23" s="75">
        <v>502782374</v>
      </c>
      <c r="E23" s="75" t="s">
        <v>182</v>
      </c>
      <c r="F23" s="75" t="s">
        <v>16</v>
      </c>
      <c r="G23" s="75">
        <v>160</v>
      </c>
      <c r="H23" s="75">
        <v>72.8</v>
      </c>
      <c r="I23" s="75" t="s">
        <v>8</v>
      </c>
      <c r="J23" s="75" t="s">
        <v>76</v>
      </c>
      <c r="K23" s="75">
        <v>1</v>
      </c>
      <c r="L23" s="75">
        <f>Table1[[#This Row],[Duration]]*12</f>
        <v>12</v>
      </c>
      <c r="M23" s="76">
        <v>46179</v>
      </c>
      <c r="N23" s="46" t="s">
        <v>77</v>
      </c>
      <c r="O23" s="46" t="s">
        <v>53</v>
      </c>
      <c r="P23" s="46" t="s">
        <v>61</v>
      </c>
      <c r="Q23" s="76" t="s">
        <v>183</v>
      </c>
      <c r="R23" s="80" t="s">
        <v>7</v>
      </c>
      <c r="S23" s="53" t="s">
        <v>184</v>
      </c>
      <c r="T23" s="49" t="s">
        <v>70</v>
      </c>
      <c r="U23" s="144" t="s">
        <v>185</v>
      </c>
      <c r="V23" s="141">
        <v>938095499</v>
      </c>
      <c r="W23" s="119">
        <f>IF(Table1[[#This Row],[Maintenance]]="yes",IF(OR(Table1[[#This Row],[Start Contract]]="",Table1[[#This Row],[Duration Month2]]=""),"",EDATE(Table1[[#This Row],[Start Contract]],Table1[[#This Row],[Duration Month2]])),"-")</f>
        <v>46544</v>
      </c>
      <c r="X23" s="115">
        <f>IF(OR((W23=""),(W23="-")),"",YEAR(Table1[[#This Row],[End Contract]]))</f>
        <v>2027</v>
      </c>
      <c r="Y23" s="54" t="str">
        <f ca="1">IF(Table1[[#This Row],[Maintenance]]="yes",IF(Table1[[#This Row],[End Contract]]="","no",IF(TODAY()&lt;=Table1[[#This Row],[End Contract]],"yes","no")),"no")</f>
        <v>yes</v>
      </c>
      <c r="Z23" s="54" t="s">
        <v>186</v>
      </c>
      <c r="AA23" s="277"/>
      <c r="AB23" s="54"/>
    </row>
    <row r="24" spans="1:28" x14ac:dyDescent="0.3">
      <c r="A24" s="50">
        <v>22</v>
      </c>
      <c r="B24" s="50" t="s">
        <v>187</v>
      </c>
      <c r="C24" s="50" t="s">
        <v>188</v>
      </c>
      <c r="D24" s="81">
        <v>509875874</v>
      </c>
      <c r="E24" s="81" t="s">
        <v>189</v>
      </c>
      <c r="F24" s="75" t="s">
        <v>9</v>
      </c>
      <c r="G24" s="75"/>
      <c r="H24" s="75">
        <v>140</v>
      </c>
      <c r="I24" s="81" t="s">
        <v>8</v>
      </c>
      <c r="J24" s="75" t="s">
        <v>76</v>
      </c>
      <c r="K24" s="81">
        <v>0</v>
      </c>
      <c r="L24" s="81">
        <f>Table1[[#This Row],[Duration]]*12</f>
        <v>0</v>
      </c>
      <c r="M24" s="82" t="s">
        <v>178</v>
      </c>
      <c r="N24" s="46" t="str">
        <f>IF(AND(Table1[[#This Row],[ Type of Contract]]="ESCO",Table1[[#This Row],[Status Detail]]="ACTIVE"),"yes","no")</f>
        <v>no</v>
      </c>
      <c r="O24" s="46"/>
      <c r="P24" s="46"/>
      <c r="Q24" s="76"/>
      <c r="R24" s="49" t="s">
        <v>7</v>
      </c>
      <c r="S24" s="49"/>
      <c r="T24" s="49"/>
      <c r="U24" s="49"/>
      <c r="V24" s="49"/>
      <c r="W24" s="119" t="str">
        <f>IF(Table1[[#This Row],[Maintenance]]="yes",IF(OR(Table1[[#This Row],[Start Contract]]="",Table1[[#This Row],[Duration Month2]]=""),"",EDATE(Table1[[#This Row],[Start Contract]],Table1[[#This Row],[Duration Month2]])),"-")</f>
        <v>-</v>
      </c>
      <c r="X24" s="115" t="str">
        <f>IF(OR((W24=""),(W24="-")),"",YEAR(Table1[[#This Row],[End Contract]]))</f>
        <v/>
      </c>
      <c r="Y24" s="54" t="str">
        <f ca="1">IF(Table1[[#This Row],[Maintenance]]="yes",IF(Table1[[#This Row],[End Contract]]="","no",IF(TODAY()&lt;=Table1[[#This Row],[End Contract]],"yes","no")),"no")</f>
        <v>no</v>
      </c>
      <c r="Z24" s="54"/>
      <c r="AA24" s="54"/>
      <c r="AB24" s="54"/>
    </row>
    <row r="25" spans="1:28" x14ac:dyDescent="0.3">
      <c r="A25" s="48">
        <v>23</v>
      </c>
      <c r="B25" s="48" t="s">
        <v>190</v>
      </c>
      <c r="C25" s="48" t="s">
        <v>191</v>
      </c>
      <c r="D25" s="75">
        <v>514345250</v>
      </c>
      <c r="E25" s="75" t="s">
        <v>192</v>
      </c>
      <c r="F25" s="75" t="s">
        <v>9</v>
      </c>
      <c r="G25" s="75">
        <v>48</v>
      </c>
      <c r="H25" s="75">
        <v>18</v>
      </c>
      <c r="I25" s="75" t="s">
        <v>8</v>
      </c>
      <c r="J25" s="75" t="s">
        <v>76</v>
      </c>
      <c r="K25" s="75">
        <v>0</v>
      </c>
      <c r="L25" s="75">
        <f>Table1[[#This Row],[Duration]]*12</f>
        <v>0</v>
      </c>
      <c r="M25" s="76">
        <v>44582</v>
      </c>
      <c r="N25" s="46" t="str">
        <f>IF(AND(Table1[[#This Row],[ Type of Contract]]="ESCO",Table1[[#This Row],[Status Detail]]="ACTIVE"),"yes","no")</f>
        <v>no</v>
      </c>
      <c r="O25" s="46" t="s">
        <v>54</v>
      </c>
      <c r="P25" s="46" t="s">
        <v>61</v>
      </c>
      <c r="Q25" s="76" t="s">
        <v>183</v>
      </c>
      <c r="R25" s="49" t="s">
        <v>7</v>
      </c>
      <c r="S25" s="122" t="s">
        <v>193</v>
      </c>
      <c r="T25" s="54"/>
      <c r="U25" s="54" t="s">
        <v>194</v>
      </c>
      <c r="V25" s="122">
        <v>919237074</v>
      </c>
      <c r="W25" s="119" t="str">
        <f>IF(Table1[[#This Row],[Maintenance]]="yes",IF(OR(Table1[[#This Row],[Start Contract]]="",Table1[[#This Row],[Duration Month2]]=""),"",EDATE(Table1[[#This Row],[Start Contract]],Table1[[#This Row],[Duration Month2]])),"-")</f>
        <v>-</v>
      </c>
      <c r="X25" s="115" t="str">
        <f>IF(OR((W25=""),(W25="-")),"",YEAR(Table1[[#This Row],[End Contract]]))</f>
        <v/>
      </c>
      <c r="Y25" s="54" t="str">
        <f ca="1">IF(Table1[[#This Row],[Maintenance]]="yes",IF(Table1[[#This Row],[End Contract]]="","no",IF(TODAY()&lt;=Table1[[#This Row],[End Contract]],"yes","no")),"no")</f>
        <v>no</v>
      </c>
      <c r="Z25" s="54"/>
      <c r="AA25" s="54"/>
      <c r="AB25" s="54"/>
    </row>
    <row r="26" spans="1:28" x14ac:dyDescent="0.3">
      <c r="A26" s="50">
        <v>24</v>
      </c>
      <c r="B26" s="50" t="s">
        <v>1445</v>
      </c>
      <c r="C26" s="50" t="s">
        <v>195</v>
      </c>
      <c r="D26" s="81">
        <v>508975913</v>
      </c>
      <c r="E26" s="81" t="s">
        <v>196</v>
      </c>
      <c r="F26" s="81" t="s">
        <v>18</v>
      </c>
      <c r="G26" s="81"/>
      <c r="H26" s="81">
        <v>42.7</v>
      </c>
      <c r="I26" s="81" t="s">
        <v>8</v>
      </c>
      <c r="J26" s="75" t="s">
        <v>76</v>
      </c>
      <c r="K26" s="81">
        <v>0</v>
      </c>
      <c r="L26" s="81">
        <f>Table1[[#This Row],[Duration]]*12</f>
        <v>0</v>
      </c>
      <c r="M26" s="82">
        <v>44922</v>
      </c>
      <c r="N26" s="88" t="str">
        <f>IF(AND(Table1[[#This Row],[ Type of Contract]]="ESCO",Table1[[#This Row],[Status Detail]]="ACTIVE"),"yes","no")</f>
        <v>no</v>
      </c>
      <c r="O26" s="88"/>
      <c r="P26" s="88"/>
      <c r="Q26" s="82"/>
      <c r="R26" s="49" t="s">
        <v>14</v>
      </c>
      <c r="S26" s="49" t="s">
        <v>197</v>
      </c>
      <c r="T26" s="49" t="s">
        <v>70</v>
      </c>
      <c r="U26" s="49"/>
      <c r="V26" s="49"/>
      <c r="W26" s="119" t="str">
        <f>IF(Table1[[#This Row],[Maintenance]]="yes",IF(OR(Table1[[#This Row],[Start Contract]]="",Table1[[#This Row],[Duration Month2]]=""),"",EDATE(Table1[[#This Row],[Start Contract]],Table1[[#This Row],[Duration Month2]])),"-")</f>
        <v>-</v>
      </c>
      <c r="X26" s="115" t="str">
        <f>IF(OR((W26=""),(W26="-")),"",YEAR(Table1[[#This Row],[End Contract]]))</f>
        <v/>
      </c>
      <c r="Y26" s="54" t="str">
        <f ca="1">IF(Table1[[#This Row],[Maintenance]]="yes",IF(Table1[[#This Row],[End Contract]]="","no",IF(TODAY()&lt;=Table1[[#This Row],[End Contract]],"yes","no")),"no")</f>
        <v>no</v>
      </c>
      <c r="Z26" s="54"/>
      <c r="AA26" s="54"/>
      <c r="AB26" s="54"/>
    </row>
    <row r="27" spans="1:28" x14ac:dyDescent="0.3">
      <c r="A27" s="48">
        <v>25</v>
      </c>
      <c r="B27" s="48" t="s">
        <v>198</v>
      </c>
      <c r="C27" s="48" t="s">
        <v>199</v>
      </c>
      <c r="D27" s="75">
        <v>500782016</v>
      </c>
      <c r="E27" s="75" t="s">
        <v>200</v>
      </c>
      <c r="F27" s="75"/>
      <c r="G27" s="75"/>
      <c r="H27" s="75">
        <v>85.5</v>
      </c>
      <c r="I27" s="75" t="s">
        <v>11</v>
      </c>
      <c r="J27" s="75" t="s">
        <v>52</v>
      </c>
      <c r="K27" s="75">
        <v>10</v>
      </c>
      <c r="L27" s="75">
        <f>Table1[[#This Row],[Duration]]*12</f>
        <v>120</v>
      </c>
      <c r="M27" s="76"/>
      <c r="N27" s="46" t="str">
        <f>IF(AND(Table1[[#This Row],[ Type of Contract]]="ESCO",Table1[[#This Row],[Status Detail]]="ACTIVE"),"yes","no")</f>
        <v>no</v>
      </c>
      <c r="O27" s="46"/>
      <c r="P27" s="46"/>
      <c r="Q27" s="76"/>
      <c r="R27" s="80" t="s">
        <v>14</v>
      </c>
      <c r="S27" s="49" t="s">
        <v>201</v>
      </c>
      <c r="T27" s="49" t="s">
        <v>202</v>
      </c>
      <c r="U27" s="49" t="s">
        <v>203</v>
      </c>
      <c r="V27" s="49"/>
      <c r="W27" s="119" t="str">
        <f>IF(Table1[[#This Row],[Maintenance]]="yes",IF(OR(Table1[[#This Row],[Start Contract]]="",Table1[[#This Row],[Duration Month2]]=""),"",EDATE(Table1[[#This Row],[Start Contract]],Table1[[#This Row],[Duration Month2]])),"-")</f>
        <v>-</v>
      </c>
      <c r="X27" s="115" t="str">
        <f>IF(OR((W27=""),(W27="-")),"",YEAR(Table1[[#This Row],[End Contract]]))</f>
        <v/>
      </c>
      <c r="Y27" s="54" t="str">
        <f ca="1">IF(Table1[[#This Row],[Maintenance]]="yes",IF(Table1[[#This Row],[End Contract]]="","no",IF(TODAY()&lt;=Table1[[#This Row],[End Contract]],"yes","no")),"no")</f>
        <v>no</v>
      </c>
      <c r="Z27" s="54"/>
      <c r="AA27" s="54"/>
      <c r="AB27" s="54"/>
    </row>
    <row r="28" spans="1:28" x14ac:dyDescent="0.3">
      <c r="A28" s="50">
        <v>26</v>
      </c>
      <c r="B28" s="50" t="s">
        <v>204</v>
      </c>
      <c r="C28" s="50" t="s">
        <v>205</v>
      </c>
      <c r="D28" s="81">
        <v>502882514</v>
      </c>
      <c r="E28" s="81" t="s">
        <v>206</v>
      </c>
      <c r="F28" s="81" t="s">
        <v>93</v>
      </c>
      <c r="G28" s="81">
        <v>152</v>
      </c>
      <c r="H28" s="81">
        <v>69.2</v>
      </c>
      <c r="I28" s="81" t="s">
        <v>11</v>
      </c>
      <c r="J28" s="75" t="s">
        <v>52</v>
      </c>
      <c r="K28" s="81">
        <v>15</v>
      </c>
      <c r="L28" s="81">
        <f>Table1[[#This Row],[Duration]]*12</f>
        <v>180</v>
      </c>
      <c r="M28" s="82">
        <v>44440</v>
      </c>
      <c r="N28" s="46" t="str">
        <f>IF(AND(Table1[[#This Row],[ Type of Contract]]="ESCO",Table1[[#This Row],[Status Detail]]="ACTIVE"),"yes","no")</f>
        <v>yes</v>
      </c>
      <c r="O28" s="46" t="s">
        <v>207</v>
      </c>
      <c r="P28" s="46" t="s">
        <v>208</v>
      </c>
      <c r="Q28" s="76"/>
      <c r="R28" s="49" t="s">
        <v>7</v>
      </c>
      <c r="S28" s="49" t="s">
        <v>209</v>
      </c>
      <c r="T28" s="49" t="s">
        <v>166</v>
      </c>
      <c r="U28" s="141" t="s">
        <v>210</v>
      </c>
      <c r="V28" s="151" t="s">
        <v>211</v>
      </c>
      <c r="W28" s="119">
        <f>IF(Table1[[#This Row],[Maintenance]]="yes",IF(OR(Table1[[#This Row],[Start Contract]]="",Table1[[#This Row],[Duration Month2]]=""),"",EDATE(Table1[[#This Row],[Start Contract]],Table1[[#This Row],[Duration Month2]])),"-")</f>
        <v>49919</v>
      </c>
      <c r="X28" s="115">
        <f>IF(OR((W28=""),(W28="-")),"",YEAR(Table1[[#This Row],[End Contract]]))</f>
        <v>2036</v>
      </c>
      <c r="Y28" s="54" t="str">
        <f ca="1">IF(Table1[[#This Row],[Maintenance]]="yes",IF(Table1[[#This Row],[End Contract]]="","no",IF(TODAY()&lt;=Table1[[#This Row],[End Contract]],"yes","no")),"no")</f>
        <v>yes</v>
      </c>
      <c r="Z28" s="54"/>
      <c r="AA28" s="277">
        <v>8760</v>
      </c>
      <c r="AB28" s="54" t="s">
        <v>1409</v>
      </c>
    </row>
    <row r="29" spans="1:28" x14ac:dyDescent="0.3">
      <c r="A29" s="48">
        <v>27</v>
      </c>
      <c r="B29" s="48" t="s">
        <v>212</v>
      </c>
      <c r="C29" s="48" t="s">
        <v>213</v>
      </c>
      <c r="D29" s="75">
        <v>513018590</v>
      </c>
      <c r="E29" s="75" t="s">
        <v>214</v>
      </c>
      <c r="F29" s="75" t="s">
        <v>19</v>
      </c>
      <c r="G29" s="75">
        <v>408</v>
      </c>
      <c r="H29" s="75">
        <v>183.6</v>
      </c>
      <c r="I29" s="75" t="s">
        <v>11</v>
      </c>
      <c r="J29" s="75" t="s">
        <v>52</v>
      </c>
      <c r="K29" s="75">
        <v>7</v>
      </c>
      <c r="L29" s="75">
        <f>Table1[[#This Row],[Duration]]*12</f>
        <v>84</v>
      </c>
      <c r="M29" s="82">
        <v>44470</v>
      </c>
      <c r="N29" s="46" t="str">
        <f>IF(AND(Table1[[#This Row],[ Type of Contract]]="ESCO",Table1[[#This Row],[Status Detail]]="ACTIVE"),"yes","no")</f>
        <v>yes</v>
      </c>
      <c r="O29" s="46" t="s">
        <v>53</v>
      </c>
      <c r="P29" s="46" t="s">
        <v>61</v>
      </c>
      <c r="Q29" s="76"/>
      <c r="R29" s="80" t="s">
        <v>7</v>
      </c>
      <c r="S29" s="49" t="s">
        <v>216</v>
      </c>
      <c r="T29" s="49" t="s">
        <v>70</v>
      </c>
      <c r="U29" s="141" t="s">
        <v>217</v>
      </c>
      <c r="V29" s="193">
        <v>968973531</v>
      </c>
      <c r="W29" s="119">
        <f>IF(Table1[[#This Row],[Maintenance]]="yes",IF(OR(Table1[[#This Row],[Start Contract]]="",Table1[[#This Row],[Duration Month2]]=""),"",EDATE(Table1[[#This Row],[Start Contract]],Table1[[#This Row],[Duration Month2]])),"-")</f>
        <v>47027</v>
      </c>
      <c r="X29" s="115">
        <f>IF(OR((W29=""),(W29="-")),"",YEAR(Table1[[#This Row],[End Contract]]))</f>
        <v>2028</v>
      </c>
      <c r="Y29" s="54" t="str">
        <f ca="1">IF(Table1[[#This Row],[Maintenance]]="yes",IF(Table1[[#This Row],[End Contract]]="","no",IF(TODAY()&lt;=Table1[[#This Row],[End Contract]],"yes","no")),"no")</f>
        <v>yes</v>
      </c>
      <c r="Z29" s="54"/>
      <c r="AA29" s="277" t="s">
        <v>178</v>
      </c>
      <c r="AB29" s="276" t="s">
        <v>1406</v>
      </c>
    </row>
    <row r="30" spans="1:28" x14ac:dyDescent="0.3">
      <c r="A30" s="50">
        <v>28</v>
      </c>
      <c r="B30" s="50" t="s">
        <v>218</v>
      </c>
      <c r="C30" s="50" t="s">
        <v>219</v>
      </c>
      <c r="D30" s="81">
        <v>501258060</v>
      </c>
      <c r="E30" s="81" t="s">
        <v>220</v>
      </c>
      <c r="F30" s="81" t="s">
        <v>17</v>
      </c>
      <c r="G30" s="81">
        <v>100</v>
      </c>
      <c r="H30" s="81">
        <v>45.5</v>
      </c>
      <c r="I30" s="81" t="s">
        <v>11</v>
      </c>
      <c r="J30" s="75" t="s">
        <v>52</v>
      </c>
      <c r="K30" s="81">
        <v>20</v>
      </c>
      <c r="L30" s="81">
        <f>Table1[[#This Row],[Duration]]*12</f>
        <v>240</v>
      </c>
      <c r="M30" s="82">
        <v>44470</v>
      </c>
      <c r="N30" s="46" t="str">
        <f>IF(AND(Table1[[#This Row],[ Type of Contract]]="ESCO",Table1[[#This Row],[Status Detail]]="ACTIVE"),"yes","no")</f>
        <v>yes</v>
      </c>
      <c r="O30" s="46" t="s">
        <v>53</v>
      </c>
      <c r="P30" s="46" t="s">
        <v>61</v>
      </c>
      <c r="Q30" s="76"/>
      <c r="R30" s="49" t="s">
        <v>7</v>
      </c>
      <c r="S30" s="49" t="s">
        <v>221</v>
      </c>
      <c r="T30" s="49" t="s">
        <v>70</v>
      </c>
      <c r="U30" s="141" t="s">
        <v>222</v>
      </c>
      <c r="V30" s="141">
        <v>917528030</v>
      </c>
      <c r="W30" s="119">
        <f>IF(Table1[[#This Row],[Maintenance]]="yes",IF(OR(Table1[[#This Row],[Start Contract]]="",Table1[[#This Row],[Duration Month2]]=""),"",EDATE(Table1[[#This Row],[Start Contract]],Table1[[#This Row],[Duration Month2]])),"-")</f>
        <v>51775</v>
      </c>
      <c r="X30" s="115">
        <f>IF(OR((W30=""),(W30="-")),"",YEAR(Table1[[#This Row],[End Contract]]))</f>
        <v>2041</v>
      </c>
      <c r="Y30" s="54" t="str">
        <f ca="1">IF(Table1[[#This Row],[Maintenance]]="yes",IF(Table1[[#This Row],[End Contract]]="","no",IF(TODAY()&lt;=Table1[[#This Row],[End Contract]],"yes","no")),"no")</f>
        <v>yes</v>
      </c>
      <c r="Z30" s="54"/>
      <c r="AA30" s="277" t="s">
        <v>178</v>
      </c>
      <c r="AB30" s="276" t="s">
        <v>1406</v>
      </c>
    </row>
    <row r="31" spans="1:28" ht="27.6" customHeight="1" x14ac:dyDescent="0.3">
      <c r="A31" s="48">
        <v>29</v>
      </c>
      <c r="B31" s="48" t="s">
        <v>223</v>
      </c>
      <c r="C31" s="48" t="s">
        <v>224</v>
      </c>
      <c r="D31" s="75">
        <v>502786078</v>
      </c>
      <c r="E31" s="75" t="s">
        <v>225</v>
      </c>
      <c r="F31" s="75" t="s">
        <v>20</v>
      </c>
      <c r="G31" s="75">
        <v>340</v>
      </c>
      <c r="H31" s="75">
        <f>210*0.53</f>
        <v>111.30000000000001</v>
      </c>
      <c r="I31" s="75" t="s">
        <v>11</v>
      </c>
      <c r="J31" s="75" t="s">
        <v>52</v>
      </c>
      <c r="K31" s="75">
        <v>15</v>
      </c>
      <c r="L31" s="75">
        <f>Table1[[#This Row],[Duration]]*12</f>
        <v>180</v>
      </c>
      <c r="M31" s="82">
        <v>44501</v>
      </c>
      <c r="N31" s="46" t="str">
        <f>IF(AND(Table1[[#This Row],[ Type of Contract]]="ESCO",Table1[[#This Row],[Status Detail]]="ACTIVE"),"yes","no")</f>
        <v>yes</v>
      </c>
      <c r="O31" s="46" t="s">
        <v>53</v>
      </c>
      <c r="P31" s="46" t="s">
        <v>78</v>
      </c>
      <c r="Q31" s="76"/>
      <c r="R31" s="80" t="s">
        <v>7</v>
      </c>
      <c r="S31" s="53" t="s">
        <v>226</v>
      </c>
      <c r="T31" s="49" t="s">
        <v>227</v>
      </c>
      <c r="U31" s="141" t="s">
        <v>228</v>
      </c>
      <c r="V31" s="141" t="s">
        <v>229</v>
      </c>
      <c r="W31" s="119">
        <f>IF(Table1[[#This Row],[Maintenance]]="yes",IF(OR(Table1[[#This Row],[Start Contract]]="",Table1[[#This Row],[Duration Month2]]=""),"",EDATE(Table1[[#This Row],[Start Contract]],Table1[[#This Row],[Duration Month2]])),"-")</f>
        <v>49980</v>
      </c>
      <c r="X31" s="115">
        <f>IF(OR((W31=""),(W31="-")),"",YEAR(Table1[[#This Row],[End Contract]]))</f>
        <v>2036</v>
      </c>
      <c r="Y31" s="54" t="str">
        <f ca="1">IF(Table1[[#This Row],[Maintenance]]="yes",IF(Table1[[#This Row],[End Contract]]="","no",IF(TODAY()&lt;=Table1[[#This Row],[End Contract]],"yes","no")),"no")</f>
        <v>yes</v>
      </c>
      <c r="Z31" s="54"/>
      <c r="AA31" s="277" t="s">
        <v>178</v>
      </c>
      <c r="AB31" s="276" t="s">
        <v>1406</v>
      </c>
    </row>
    <row r="32" spans="1:28" ht="27.6" customHeight="1" x14ac:dyDescent="0.3">
      <c r="A32" s="50">
        <v>30</v>
      </c>
      <c r="B32" s="50" t="s">
        <v>230</v>
      </c>
      <c r="C32" s="50" t="s">
        <v>231</v>
      </c>
      <c r="D32" s="81">
        <v>507685733</v>
      </c>
      <c r="E32" s="81" t="s">
        <v>232</v>
      </c>
      <c r="F32" s="81" t="s">
        <v>16</v>
      </c>
      <c r="G32" s="81">
        <v>576</v>
      </c>
      <c r="H32" s="81">
        <v>254.8</v>
      </c>
      <c r="I32" s="81" t="s">
        <v>15</v>
      </c>
      <c r="J32" s="75" t="s">
        <v>52</v>
      </c>
      <c r="K32" s="81">
        <v>15</v>
      </c>
      <c r="L32" s="81">
        <f>Table1[[#This Row],[Duration]]*12</f>
        <v>180</v>
      </c>
      <c r="M32" s="82">
        <v>44531</v>
      </c>
      <c r="N32" s="46" t="str">
        <f>IF(AND(Table1[[#This Row],[ Type of Contract]]="ESCO",Table1[[#This Row],[Status Detail]]="ACTIVE"),"yes","no")</f>
        <v>no</v>
      </c>
      <c r="O32" s="46" t="s">
        <v>53</v>
      </c>
      <c r="P32" s="46" t="s">
        <v>61</v>
      </c>
      <c r="Q32" s="76"/>
      <c r="R32" s="49" t="s">
        <v>7</v>
      </c>
      <c r="S32" s="53" t="s">
        <v>233</v>
      </c>
      <c r="T32" s="49" t="s">
        <v>166</v>
      </c>
      <c r="U32" s="49"/>
      <c r="V32" s="49">
        <v>910983469</v>
      </c>
      <c r="W32" s="119" t="str">
        <f>IF(Table1[[#This Row],[Maintenance]]="yes",IF(OR(Table1[[#This Row],[Start Contract]]="",Table1[[#This Row],[Duration Month2]]=""),"",EDATE(Table1[[#This Row],[Start Contract]],Table1[[#This Row],[Duration Month2]])),"-")</f>
        <v>-</v>
      </c>
      <c r="X32" s="115" t="str">
        <f>IF(OR((W32=""),(W32="-")),"",YEAR(Table1[[#This Row],[End Contract]]))</f>
        <v/>
      </c>
      <c r="Y32" s="54" t="str">
        <f ca="1">IF(Table1[[#This Row],[Maintenance]]="yes",IF(Table1[[#This Row],[End Contract]]="","no",IF(TODAY()&lt;=Table1[[#This Row],[End Contract]],"yes","no")),"no")</f>
        <v>no</v>
      </c>
      <c r="Z32" s="54"/>
      <c r="AA32" s="54"/>
      <c r="AB32" s="54"/>
    </row>
    <row r="33" spans="1:28" x14ac:dyDescent="0.3">
      <c r="A33" s="48">
        <v>31</v>
      </c>
      <c r="B33" s="48" t="s">
        <v>234</v>
      </c>
      <c r="C33" s="48" t="s">
        <v>235</v>
      </c>
      <c r="D33" s="75">
        <v>502893575</v>
      </c>
      <c r="E33" s="75" t="s">
        <v>236</v>
      </c>
      <c r="F33" s="75"/>
      <c r="G33" s="75"/>
      <c r="H33" s="75">
        <v>172.9</v>
      </c>
      <c r="I33" s="75" t="s">
        <v>11</v>
      </c>
      <c r="J33" s="75" t="s">
        <v>52</v>
      </c>
      <c r="K33" s="75">
        <v>15</v>
      </c>
      <c r="L33" s="75">
        <f>Table1[[#This Row],[Duration]]*12</f>
        <v>180</v>
      </c>
      <c r="M33" s="76"/>
      <c r="N33" s="46" t="str">
        <f>IF(AND(Table1[[#This Row],[ Type of Contract]]="ESCO",Table1[[#This Row],[Status Detail]]="ACTIVE"),"yes","no")</f>
        <v>no</v>
      </c>
      <c r="O33" s="46"/>
      <c r="P33" s="46"/>
      <c r="Q33" s="76"/>
      <c r="R33" s="80" t="s">
        <v>14</v>
      </c>
      <c r="S33" s="49" t="s">
        <v>237</v>
      </c>
      <c r="T33" s="49" t="s">
        <v>238</v>
      </c>
      <c r="U33" s="49"/>
      <c r="V33" s="49"/>
      <c r="W33" s="119" t="str">
        <f>IF(Table1[[#This Row],[Maintenance]]="yes",IF(OR(Table1[[#This Row],[Start Contract]]="",Table1[[#This Row],[Duration Month2]]=""),"",EDATE(Table1[[#This Row],[Start Contract]],Table1[[#This Row],[Duration Month2]])),"-")</f>
        <v>-</v>
      </c>
      <c r="X33" s="115" t="str">
        <f>IF(OR((W33=""),(W33="-")),"",YEAR(Table1[[#This Row],[End Contract]]))</f>
        <v/>
      </c>
      <c r="Y33" s="54" t="str">
        <f ca="1">IF(Table1[[#This Row],[Maintenance]]="yes",IF(Table1[[#This Row],[End Contract]]="","no",IF(TODAY()&lt;=Table1[[#This Row],[End Contract]],"yes","no")),"no")</f>
        <v>no</v>
      </c>
      <c r="Z33" s="54"/>
      <c r="AA33" s="54"/>
      <c r="AB33" s="54"/>
    </row>
    <row r="34" spans="1:28" x14ac:dyDescent="0.3">
      <c r="A34" s="50">
        <v>32</v>
      </c>
      <c r="B34" s="50" t="s">
        <v>239</v>
      </c>
      <c r="C34" s="50" t="s">
        <v>240</v>
      </c>
      <c r="D34" s="81">
        <v>503502707</v>
      </c>
      <c r="E34" s="81" t="s">
        <v>241</v>
      </c>
      <c r="F34" s="81" t="s">
        <v>17</v>
      </c>
      <c r="G34" s="81">
        <v>80</v>
      </c>
      <c r="H34" s="81">
        <v>36.4</v>
      </c>
      <c r="I34" s="81" t="s">
        <v>8</v>
      </c>
      <c r="J34" s="75" t="s">
        <v>76</v>
      </c>
      <c r="K34" s="81">
        <v>0</v>
      </c>
      <c r="L34" s="81">
        <f>Table1[[#This Row],[Duration]]*12</f>
        <v>0</v>
      </c>
      <c r="M34" s="82" t="s">
        <v>178</v>
      </c>
      <c r="N34" s="46" t="str">
        <f>IF(AND(Table1[[#This Row],[ Type of Contract]]="ESCO",Table1[[#This Row],[Status Detail]]="ACTIVE"),"yes","no")</f>
        <v>no</v>
      </c>
      <c r="O34" s="46" t="s">
        <v>53</v>
      </c>
      <c r="P34" s="46" t="s">
        <v>61</v>
      </c>
      <c r="Q34" s="76" t="s">
        <v>183</v>
      </c>
      <c r="R34" s="49" t="s">
        <v>7</v>
      </c>
      <c r="S34" s="49" t="s">
        <v>242</v>
      </c>
      <c r="T34" s="49" t="s">
        <v>243</v>
      </c>
      <c r="U34" s="49"/>
      <c r="V34" s="49"/>
      <c r="W34" s="119" t="str">
        <f>IF(Table1[[#This Row],[Maintenance]]="yes",IF(OR(Table1[[#This Row],[Start Contract]]="",Table1[[#This Row],[Duration Month2]]=""),"",EDATE(Table1[[#This Row],[Start Contract]],Table1[[#This Row],[Duration Month2]])),"-")</f>
        <v>-</v>
      </c>
      <c r="X34" s="115" t="str">
        <f>IF(OR((W34=""),(W34="-")),"",YEAR(Table1[[#This Row],[End Contract]]))</f>
        <v/>
      </c>
      <c r="Y34" s="54" t="str">
        <f ca="1">IF(Table1[[#This Row],[Maintenance]]="yes",IF(Table1[[#This Row],[End Contract]]="","no",IF(TODAY()&lt;=Table1[[#This Row],[End Contract]],"yes","no")),"no")</f>
        <v>no</v>
      </c>
      <c r="Z34" s="54"/>
      <c r="AA34" s="54"/>
      <c r="AB34" s="54"/>
    </row>
    <row r="35" spans="1:28" ht="55.2" customHeight="1" x14ac:dyDescent="0.3">
      <c r="A35" s="48">
        <v>33</v>
      </c>
      <c r="B35" s="48" t="s">
        <v>244</v>
      </c>
      <c r="C35" s="48" t="s">
        <v>245</v>
      </c>
      <c r="D35" s="75">
        <v>501277676</v>
      </c>
      <c r="E35" s="75" t="s">
        <v>246</v>
      </c>
      <c r="F35" s="75" t="s">
        <v>247</v>
      </c>
      <c r="G35" s="75">
        <v>1824</v>
      </c>
      <c r="H35" s="75">
        <f>1824*0.45</f>
        <v>820.80000000000007</v>
      </c>
      <c r="I35" s="75" t="s">
        <v>11</v>
      </c>
      <c r="J35" s="75" t="s">
        <v>52</v>
      </c>
      <c r="K35" s="75">
        <v>15</v>
      </c>
      <c r="L35" s="75">
        <f>Table1[[#This Row],[Duration]]*12</f>
        <v>180</v>
      </c>
      <c r="M35" s="76">
        <v>44743</v>
      </c>
      <c r="N35" s="46" t="str">
        <f>IF(AND(Table1[[#This Row],[ Type of Contract]]="ESCO",Table1[[#This Row],[Status Detail]]="ACTIVE"),"yes","no")</f>
        <v>yes</v>
      </c>
      <c r="O35" s="46" t="s">
        <v>207</v>
      </c>
      <c r="P35" s="46" t="s">
        <v>208</v>
      </c>
      <c r="Q35" s="76"/>
      <c r="R35" s="80" t="s">
        <v>7</v>
      </c>
      <c r="S35" s="53" t="s">
        <v>248</v>
      </c>
      <c r="T35" s="49" t="s">
        <v>249</v>
      </c>
      <c r="U35" s="144" t="s">
        <v>250</v>
      </c>
      <c r="V35" s="142" t="s">
        <v>251</v>
      </c>
      <c r="W35" s="119">
        <f>IF(Table1[[#This Row],[Maintenance]]="yes",IF(OR(Table1[[#This Row],[Start Contract]]="",Table1[[#This Row],[Duration Month2]]=""),"",EDATE(Table1[[#This Row],[Start Contract]],Table1[[#This Row],[Duration Month2]])),"-")</f>
        <v>50222</v>
      </c>
      <c r="X35" s="115">
        <f>IF(OR((W35=""),(W35="-")),"",YEAR(Table1[[#This Row],[End Contract]]))</f>
        <v>2037</v>
      </c>
      <c r="Y35" s="54" t="str">
        <f ca="1">IF(Table1[[#This Row],[Maintenance]]="yes",IF(Table1[[#This Row],[End Contract]]="","no",IF(TODAY()&lt;=Table1[[#This Row],[End Contract]],"yes","no")),"no")</f>
        <v>yes</v>
      </c>
      <c r="Z35" s="54"/>
      <c r="AA35" s="277" t="s">
        <v>178</v>
      </c>
      <c r="AB35" s="276" t="s">
        <v>1406</v>
      </c>
    </row>
    <row r="36" spans="1:28" ht="27.6" customHeight="1" x14ac:dyDescent="0.3">
      <c r="A36" s="48">
        <v>34</v>
      </c>
      <c r="B36" s="50" t="s">
        <v>252</v>
      </c>
      <c r="C36" s="48" t="s">
        <v>253</v>
      </c>
      <c r="D36" s="75">
        <v>501416382</v>
      </c>
      <c r="E36" s="75" t="s">
        <v>254</v>
      </c>
      <c r="F36" s="75" t="s">
        <v>255</v>
      </c>
      <c r="G36" s="75">
        <v>144</v>
      </c>
      <c r="H36" s="75">
        <v>76.319999999999993</v>
      </c>
      <c r="I36" s="75" t="s">
        <v>11</v>
      </c>
      <c r="J36" s="75" t="s">
        <v>52</v>
      </c>
      <c r="K36" s="75">
        <v>15</v>
      </c>
      <c r="L36" s="75">
        <f>Table1[[#This Row],[Duration]]*12</f>
        <v>180</v>
      </c>
      <c r="M36" s="76">
        <v>44501</v>
      </c>
      <c r="N36" s="46" t="str">
        <f>IF(AND(Table1[[#This Row],[ Type of Contract]]="ESCO",Table1[[#This Row],[Status Detail]]="ACTIVE"),"yes","no")</f>
        <v>yes</v>
      </c>
      <c r="O36" s="46" t="s">
        <v>53</v>
      </c>
      <c r="P36" s="46" t="s">
        <v>61</v>
      </c>
      <c r="Q36" s="76"/>
      <c r="R36" s="80" t="s">
        <v>7</v>
      </c>
      <c r="S36" s="53" t="s">
        <v>256</v>
      </c>
      <c r="T36" s="49" t="s">
        <v>257</v>
      </c>
      <c r="U36" s="141" t="s">
        <v>258</v>
      </c>
      <c r="V36" s="141">
        <v>966969869</v>
      </c>
      <c r="W36" s="119">
        <f>IF(Table1[[#This Row],[Maintenance]]="yes",IF(OR(Table1[[#This Row],[Start Contract]]="",Table1[[#This Row],[Duration Month2]]=""),"",EDATE(Table1[[#This Row],[Start Contract]],Table1[[#This Row],[Duration Month2]])),"-")</f>
        <v>49980</v>
      </c>
      <c r="X36" s="115">
        <f>IF(OR((W36=""),(W36="-")),"",YEAR(Table1[[#This Row],[End Contract]]))</f>
        <v>2036</v>
      </c>
      <c r="Y36" s="54" t="str">
        <f ca="1">IF(Table1[[#This Row],[Maintenance]]="yes",IF(Table1[[#This Row],[End Contract]]="","no",IF(TODAY()&lt;=Table1[[#This Row],[End Contract]],"yes","no")),"no")</f>
        <v>yes</v>
      </c>
      <c r="Z36" s="54"/>
      <c r="AA36" s="277" t="s">
        <v>178</v>
      </c>
      <c r="AB36" s="276" t="s">
        <v>1406</v>
      </c>
    </row>
    <row r="37" spans="1:28" x14ac:dyDescent="0.3">
      <c r="A37" s="50">
        <v>35</v>
      </c>
      <c r="B37" s="50" t="s">
        <v>259</v>
      </c>
      <c r="C37" s="50" t="s">
        <v>260</v>
      </c>
      <c r="D37" s="81">
        <v>504277219</v>
      </c>
      <c r="E37" s="81" t="s">
        <v>261</v>
      </c>
      <c r="F37" s="81"/>
      <c r="G37" s="81"/>
      <c r="H37" s="81">
        <v>45.1</v>
      </c>
      <c r="I37" s="81" t="s">
        <v>11</v>
      </c>
      <c r="J37" s="75" t="s">
        <v>52</v>
      </c>
      <c r="K37" s="81">
        <v>15</v>
      </c>
      <c r="L37" s="81">
        <f>Table1[[#This Row],[Duration]]*12</f>
        <v>180</v>
      </c>
      <c r="M37" s="82"/>
      <c r="N37" s="46" t="str">
        <f>IF(AND(Table1[[#This Row],[ Type of Contract]]="ESCO",Table1[[#This Row],[Status Detail]]="ACTIVE"),"yes","no")</f>
        <v>no</v>
      </c>
      <c r="O37" s="46"/>
      <c r="P37" s="46"/>
      <c r="Q37" s="76"/>
      <c r="R37" s="49" t="s">
        <v>14</v>
      </c>
      <c r="S37" s="49" t="s">
        <v>262</v>
      </c>
      <c r="T37" s="49" t="s">
        <v>70</v>
      </c>
      <c r="U37" s="49" t="s">
        <v>263</v>
      </c>
      <c r="V37" s="49"/>
      <c r="W37" s="119" t="str">
        <f>IF(Table1[[#This Row],[Maintenance]]="yes",IF(OR(Table1[[#This Row],[Start Contract]]="",Table1[[#This Row],[Duration Month2]]=""),"",EDATE(Table1[[#This Row],[Start Contract]],Table1[[#This Row],[Duration Month2]])),"-")</f>
        <v>-</v>
      </c>
      <c r="X37" s="115" t="str">
        <f>IF(OR((W37=""),(W37="-")),"",YEAR(Table1[[#This Row],[End Contract]]))</f>
        <v/>
      </c>
      <c r="Y37" s="54" t="str">
        <f ca="1">IF(Table1[[#This Row],[Maintenance]]="yes",IF(Table1[[#This Row],[End Contract]]="","no",IF(TODAY()&lt;=Table1[[#This Row],[End Contract]],"yes","no")),"no")</f>
        <v>no</v>
      </c>
      <c r="Z37" s="54"/>
      <c r="AA37" s="54"/>
      <c r="AB37" s="54"/>
    </row>
    <row r="38" spans="1:28" x14ac:dyDescent="0.3">
      <c r="A38" s="50">
        <v>36</v>
      </c>
      <c r="B38" s="50" t="s">
        <v>264</v>
      </c>
      <c r="C38" s="50" t="s">
        <v>265</v>
      </c>
      <c r="D38" s="81">
        <v>500152624</v>
      </c>
      <c r="E38" s="81" t="s">
        <v>266</v>
      </c>
      <c r="F38" s="81" t="s">
        <v>12</v>
      </c>
      <c r="G38" s="81">
        <v>413</v>
      </c>
      <c r="H38" s="81">
        <v>218.9</v>
      </c>
      <c r="I38" s="81" t="s">
        <v>8</v>
      </c>
      <c r="J38" s="75" t="s">
        <v>76</v>
      </c>
      <c r="K38" s="81">
        <v>2</v>
      </c>
      <c r="L38" s="81">
        <f>Table1[[#This Row],[Duration]]*12</f>
        <v>24</v>
      </c>
      <c r="M38" s="152">
        <v>45108</v>
      </c>
      <c r="N38" s="46" t="s">
        <v>77</v>
      </c>
      <c r="O38" s="46" t="s">
        <v>53</v>
      </c>
      <c r="P38" s="46" t="s">
        <v>61</v>
      </c>
      <c r="Q38" s="76" t="s">
        <v>79</v>
      </c>
      <c r="R38" s="49" t="s">
        <v>7</v>
      </c>
      <c r="S38" s="122" t="s">
        <v>267</v>
      </c>
      <c r="T38" s="54"/>
      <c r="U38" s="47" t="s">
        <v>268</v>
      </c>
      <c r="V38" s="144">
        <v>939720430</v>
      </c>
      <c r="W38" s="119">
        <f>IF(Table1[[#This Row],[Maintenance]]="yes",IF(OR(Table1[[#This Row],[Start Contract]]="",Table1[[#This Row],[Duration Month2]]=""),"",EDATE(Table1[[#This Row],[Start Contract]],Table1[[#This Row],[Duration Month2]])),"-")</f>
        <v>45839</v>
      </c>
      <c r="X38" s="115">
        <f>IF(OR((W38=""),(W38="-")),"",YEAR(Table1[[#This Row],[End Contract]]))</f>
        <v>2025</v>
      </c>
      <c r="Y38" s="54" t="str">
        <f ca="1">IF(Table1[[#This Row],[Maintenance]]="yes",IF(Table1[[#This Row],[End Contract]]="","no",IF(TODAY()&lt;=Table1[[#This Row],[End Contract]],"yes","no")),"no")</f>
        <v>no</v>
      </c>
      <c r="Z38" s="54" t="s">
        <v>269</v>
      </c>
      <c r="AA38" s="54"/>
      <c r="AB38" s="54"/>
    </row>
    <row r="39" spans="1:28" ht="55.2" customHeight="1" x14ac:dyDescent="0.3">
      <c r="A39" s="48">
        <v>37</v>
      </c>
      <c r="B39" s="48" t="s">
        <v>270</v>
      </c>
      <c r="C39" s="48" t="s">
        <v>271</v>
      </c>
      <c r="D39" s="75">
        <v>500876746</v>
      </c>
      <c r="E39" s="75" t="s">
        <v>272</v>
      </c>
      <c r="F39" s="75" t="s">
        <v>273</v>
      </c>
      <c r="G39" s="75">
        <v>272</v>
      </c>
      <c r="H39" s="75">
        <f>(44+80+148)*0.53</f>
        <v>144.16</v>
      </c>
      <c r="I39" s="75" t="s">
        <v>11</v>
      </c>
      <c r="J39" s="75" t="s">
        <v>52</v>
      </c>
      <c r="K39" s="75">
        <v>10</v>
      </c>
      <c r="L39" s="75">
        <f>Table1[[#This Row],[Duration]]*12</f>
        <v>120</v>
      </c>
      <c r="M39" s="76">
        <v>44713</v>
      </c>
      <c r="N39" s="46" t="str">
        <f>IF(AND(Table1[[#This Row],[ Type of Contract]]="ESCO",Table1[[#This Row],[Status Detail]]="ACTIVE"),"yes","no")</f>
        <v>yes</v>
      </c>
      <c r="O39" s="46" t="s">
        <v>274</v>
      </c>
      <c r="P39" s="46" t="s">
        <v>61</v>
      </c>
      <c r="Q39" s="76"/>
      <c r="R39" s="80" t="s">
        <v>7</v>
      </c>
      <c r="S39" s="49" t="s">
        <v>275</v>
      </c>
      <c r="T39" s="49" t="s">
        <v>70</v>
      </c>
      <c r="U39" s="141" t="s">
        <v>276</v>
      </c>
      <c r="V39" s="142" t="s">
        <v>277</v>
      </c>
      <c r="W39" s="119">
        <f>IF(Table1[[#This Row],[Maintenance]]="yes",IF(OR(Table1[[#This Row],[Start Contract]]="",Table1[[#This Row],[Duration Month2]]=""),"",EDATE(Table1[[#This Row],[Start Contract]],Table1[[#This Row],[Duration Month2]])),"-")</f>
        <v>48366</v>
      </c>
      <c r="X39" s="115">
        <f>IF(OR((W39=""),(W39="-")),"",YEAR(Table1[[#This Row],[End Contract]]))</f>
        <v>2032</v>
      </c>
      <c r="Y39" s="54" t="str">
        <f ca="1">IF(Table1[[#This Row],[Maintenance]]="yes",IF(Table1[[#This Row],[End Contract]]="","no",IF(TODAY()&lt;=Table1[[#This Row],[End Contract]],"yes","no")),"no")</f>
        <v>yes</v>
      </c>
      <c r="Z39" s="54"/>
      <c r="AA39" s="277" t="s">
        <v>178</v>
      </c>
      <c r="AB39" s="276" t="s">
        <v>1406</v>
      </c>
    </row>
    <row r="40" spans="1:28" x14ac:dyDescent="0.3">
      <c r="A40" s="50">
        <v>38</v>
      </c>
      <c r="B40" s="48" t="s">
        <v>278</v>
      </c>
      <c r="C40" s="50" t="s">
        <v>279</v>
      </c>
      <c r="D40" s="75">
        <v>503340855</v>
      </c>
      <c r="E40" s="81"/>
      <c r="F40" s="81"/>
      <c r="G40" s="81" t="s">
        <v>280</v>
      </c>
      <c r="H40" s="81">
        <v>873.81</v>
      </c>
      <c r="I40" s="81" t="s">
        <v>8</v>
      </c>
      <c r="J40" s="75" t="s">
        <v>76</v>
      </c>
      <c r="K40" s="81">
        <v>0</v>
      </c>
      <c r="L40" s="81">
        <f>Table1[[#This Row],[Duration]]*12</f>
        <v>0</v>
      </c>
      <c r="M40" s="82" t="s">
        <v>178</v>
      </c>
      <c r="N40" s="46" t="str">
        <f>IF(AND(Table1[[#This Row],[ Type of Contract]]="ESCO",Table1[[#This Row],[Status Detail]]="ACTIVE"),"yes","no")</f>
        <v>no</v>
      </c>
      <c r="O40" s="46" t="s">
        <v>54</v>
      </c>
      <c r="P40" s="46" t="s">
        <v>61</v>
      </c>
      <c r="Q40" s="76"/>
      <c r="R40" s="49" t="s">
        <v>7</v>
      </c>
      <c r="S40" s="49"/>
      <c r="T40" s="49"/>
      <c r="U40" s="49"/>
      <c r="V40" s="49"/>
      <c r="W40" s="119" t="str">
        <f>IF(Table1[[#This Row],[Maintenance]]="yes",IF(OR(Table1[[#This Row],[Start Contract]]="",Table1[[#This Row],[Duration Month2]]=""),"",EDATE(Table1[[#This Row],[Start Contract]],Table1[[#This Row],[Duration Month2]])),"-")</f>
        <v>-</v>
      </c>
      <c r="X40" s="115" t="str">
        <f>IF(OR((W40=""),(W40="-")),"",YEAR(Table1[[#This Row],[End Contract]]))</f>
        <v/>
      </c>
      <c r="Y40" s="54" t="str">
        <f ca="1">IF(Table1[[#This Row],[Maintenance]]="yes",IF(Table1[[#This Row],[End Contract]]="","no",IF(TODAY()&lt;=Table1[[#This Row],[End Contract]],"yes","no")),"no")</f>
        <v>no</v>
      </c>
      <c r="Z40" s="54"/>
      <c r="AA40" s="54"/>
      <c r="AB40" s="54"/>
    </row>
    <row r="41" spans="1:28" x14ac:dyDescent="0.3">
      <c r="A41" s="50">
        <v>39</v>
      </c>
      <c r="B41" s="48" t="s">
        <v>281</v>
      </c>
      <c r="C41" s="50" t="s">
        <v>282</v>
      </c>
      <c r="D41" s="75">
        <v>502786639</v>
      </c>
      <c r="E41" s="81" t="s">
        <v>283</v>
      </c>
      <c r="F41" s="81" t="s">
        <v>12</v>
      </c>
      <c r="G41" s="81">
        <v>924</v>
      </c>
      <c r="H41" s="81">
        <v>498.96</v>
      </c>
      <c r="I41" s="81" t="s">
        <v>8</v>
      </c>
      <c r="J41" s="75" t="s">
        <v>76</v>
      </c>
      <c r="K41" s="81">
        <v>0</v>
      </c>
      <c r="L41" s="81">
        <f>Table1[[#This Row],[Duration]]*12</f>
        <v>0</v>
      </c>
      <c r="M41" s="82" t="s">
        <v>178</v>
      </c>
      <c r="N41" s="46" t="str">
        <f>IF(AND(Table1[[#This Row],[ Type of Contract]]="ESCO",Table1[[#This Row],[Status Detail]]="ACTIVE"),"yes","no")</f>
        <v>no</v>
      </c>
      <c r="O41" s="46" t="s">
        <v>53</v>
      </c>
      <c r="P41" s="46" t="s">
        <v>61</v>
      </c>
      <c r="Q41" s="76" t="s">
        <v>179</v>
      </c>
      <c r="R41" s="49" t="s">
        <v>7</v>
      </c>
      <c r="S41" s="122" t="s">
        <v>284</v>
      </c>
      <c r="T41" s="54"/>
      <c r="U41" s="54" t="s">
        <v>285</v>
      </c>
      <c r="V41" s="122">
        <v>912253249</v>
      </c>
      <c r="W41" s="119" t="str">
        <f>IF(Table1[[#This Row],[Maintenance]]="yes",IF(OR(Table1[[#This Row],[Start Contract]]="",Table1[[#This Row],[Duration Month2]]=""),"",EDATE(Table1[[#This Row],[Start Contract]],Table1[[#This Row],[Duration Month2]])),"-")</f>
        <v>-</v>
      </c>
      <c r="X41" s="115" t="str">
        <f>IF(OR((W41=""),(W41="-")),"",YEAR(Table1[[#This Row],[End Contract]]))</f>
        <v/>
      </c>
      <c r="Y41" s="54" t="str">
        <f ca="1">IF(Table1[[#This Row],[Maintenance]]="yes",IF(Table1[[#This Row],[End Contract]]="","no",IF(TODAY()&lt;=Table1[[#This Row],[End Contract]],"yes","no")),"no")</f>
        <v>no</v>
      </c>
      <c r="Z41" s="54"/>
      <c r="AA41" s="54"/>
      <c r="AB41" s="54"/>
    </row>
    <row r="42" spans="1:28" x14ac:dyDescent="0.3">
      <c r="A42" s="50">
        <v>40</v>
      </c>
      <c r="B42" s="48" t="s">
        <v>286</v>
      </c>
      <c r="C42" s="50" t="s">
        <v>282</v>
      </c>
      <c r="D42" s="75">
        <v>502786639</v>
      </c>
      <c r="E42" s="81" t="s">
        <v>287</v>
      </c>
      <c r="F42" s="81" t="s">
        <v>16</v>
      </c>
      <c r="G42" s="81">
        <v>278</v>
      </c>
      <c r="H42" s="81" t="s">
        <v>288</v>
      </c>
      <c r="I42" s="81" t="s">
        <v>8</v>
      </c>
      <c r="J42" s="75" t="s">
        <v>76</v>
      </c>
      <c r="K42" s="81">
        <v>0</v>
      </c>
      <c r="L42" s="81">
        <f>Table1[[#This Row],[Duration]]*12</f>
        <v>0</v>
      </c>
      <c r="M42" s="82" t="s">
        <v>178</v>
      </c>
      <c r="N42" s="46" t="str">
        <f>IF(AND(Table1[[#This Row],[ Type of Contract]]="ESCO",Table1[[#This Row],[Status Detail]]="ACTIVE"),"yes","no")</f>
        <v>no</v>
      </c>
      <c r="O42" s="46" t="s">
        <v>53</v>
      </c>
      <c r="P42" s="46" t="s">
        <v>61</v>
      </c>
      <c r="Q42" s="76" t="s">
        <v>179</v>
      </c>
      <c r="R42" s="49" t="s">
        <v>7</v>
      </c>
      <c r="S42" s="122" t="s">
        <v>284</v>
      </c>
      <c r="T42" s="54"/>
      <c r="U42" s="54" t="s">
        <v>285</v>
      </c>
      <c r="V42" s="122">
        <v>912253249</v>
      </c>
      <c r="W42" s="119" t="str">
        <f>IF(Table1[[#This Row],[Maintenance]]="yes",IF(OR(Table1[[#This Row],[Start Contract]]="",Table1[[#This Row],[Duration Month2]]=""),"",EDATE(Table1[[#This Row],[Start Contract]],Table1[[#This Row],[Duration Month2]])),"-")</f>
        <v>-</v>
      </c>
      <c r="X42" s="115" t="str">
        <f>IF(OR((W42=""),(W42="-")),"",YEAR(Table1[[#This Row],[End Contract]]))</f>
        <v/>
      </c>
      <c r="Y42" s="54" t="str">
        <f ca="1">IF(Table1[[#This Row],[Maintenance]]="yes",IF(Table1[[#This Row],[End Contract]]="","no",IF(TODAY()&lt;=Table1[[#This Row],[End Contract]],"yes","no")),"no")</f>
        <v>no</v>
      </c>
      <c r="Z42" s="54"/>
      <c r="AA42" s="54"/>
      <c r="AB42" s="54"/>
    </row>
    <row r="43" spans="1:28" x14ac:dyDescent="0.3">
      <c r="A43" s="48">
        <v>41</v>
      </c>
      <c r="B43" s="48" t="s">
        <v>289</v>
      </c>
      <c r="C43" s="50" t="s">
        <v>290</v>
      </c>
      <c r="D43" s="75">
        <v>500091161</v>
      </c>
      <c r="E43" s="75" t="s">
        <v>291</v>
      </c>
      <c r="F43" s="75" t="s">
        <v>105</v>
      </c>
      <c r="G43" s="75">
        <v>792</v>
      </c>
      <c r="H43" s="75">
        <v>431.64</v>
      </c>
      <c r="I43" s="75" t="s">
        <v>11</v>
      </c>
      <c r="J43" s="75" t="s">
        <v>52</v>
      </c>
      <c r="K43" s="75">
        <v>15</v>
      </c>
      <c r="L43" s="75">
        <f>Table1[[#This Row],[Duration]]*12</f>
        <v>180</v>
      </c>
      <c r="M43" s="76">
        <v>45108</v>
      </c>
      <c r="N43" s="46" t="str">
        <f>IF(AND(Table1[[#This Row],[ Type of Contract]]="ESCO",Table1[[#This Row],[Status Detail]]="ACTIVE"),"yes","no")</f>
        <v>yes</v>
      </c>
      <c r="O43" s="46" t="s">
        <v>53</v>
      </c>
      <c r="P43" s="46" t="s">
        <v>61</v>
      </c>
      <c r="Q43" s="76"/>
      <c r="R43" s="80" t="s">
        <v>7</v>
      </c>
      <c r="S43" s="49" t="s">
        <v>292</v>
      </c>
      <c r="T43" s="49" t="s">
        <v>293</v>
      </c>
      <c r="U43" s="141" t="s">
        <v>294</v>
      </c>
      <c r="V43" s="141">
        <v>910410024</v>
      </c>
      <c r="W43" s="119">
        <f>IF(Table1[[#This Row],[Maintenance]]="yes",IF(OR(Table1[[#This Row],[Start Contract]]="",Table1[[#This Row],[Duration Month2]]=""),"",EDATE(Table1[[#This Row],[Start Contract]],Table1[[#This Row],[Duration Month2]])),"-")</f>
        <v>50587</v>
      </c>
      <c r="X43" s="115">
        <f>IF(OR((W43=""),(W43="-")),"",YEAR(Table1[[#This Row],[End Contract]]))</f>
        <v>2038</v>
      </c>
      <c r="Y43" s="54" t="str">
        <f ca="1">IF(Table1[[#This Row],[Maintenance]]="yes",IF(Table1[[#This Row],[End Contract]]="","no",IF(TODAY()&lt;=Table1[[#This Row],[End Contract]],"yes","no")),"no")</f>
        <v>yes</v>
      </c>
      <c r="Z43" s="54"/>
      <c r="AA43" s="277" t="s">
        <v>178</v>
      </c>
      <c r="AB43" s="276" t="s">
        <v>1406</v>
      </c>
    </row>
    <row r="44" spans="1:28" ht="27.6" customHeight="1" x14ac:dyDescent="0.3">
      <c r="A44" s="50">
        <v>42</v>
      </c>
      <c r="B44" s="48" t="s">
        <v>295</v>
      </c>
      <c r="C44" s="50" t="s">
        <v>296</v>
      </c>
      <c r="D44" s="75">
        <v>502247185</v>
      </c>
      <c r="E44" s="81" t="s">
        <v>297</v>
      </c>
      <c r="F44" s="81" t="s">
        <v>298</v>
      </c>
      <c r="G44" s="81">
        <v>684</v>
      </c>
      <c r="H44" s="81">
        <v>307.8</v>
      </c>
      <c r="I44" s="75" t="s">
        <v>11</v>
      </c>
      <c r="J44" s="75" t="s">
        <v>52</v>
      </c>
      <c r="K44" s="81">
        <v>15</v>
      </c>
      <c r="L44" s="81">
        <f>Table1[[#This Row],[Duration]]*12</f>
        <v>180</v>
      </c>
      <c r="M44" s="82">
        <v>44805</v>
      </c>
      <c r="N44" s="46" t="str">
        <f>IF(AND(Table1[[#This Row],[ Type of Contract]]="ESCO",Table1[[#This Row],[Status Detail]]="ACTIVE"),"yes","no")</f>
        <v>yes</v>
      </c>
      <c r="O44" s="46" t="s">
        <v>53</v>
      </c>
      <c r="P44" s="46" t="s">
        <v>61</v>
      </c>
      <c r="Q44" s="76"/>
      <c r="R44" s="49" t="s">
        <v>7</v>
      </c>
      <c r="S44" s="49" t="s">
        <v>299</v>
      </c>
      <c r="T44" s="49" t="s">
        <v>293</v>
      </c>
      <c r="U44" s="141" t="s">
        <v>294</v>
      </c>
      <c r="V44" s="142" t="s">
        <v>300</v>
      </c>
      <c r="W44" s="119">
        <f>IF(Table1[[#This Row],[Maintenance]]="yes",IF(OR(Table1[[#This Row],[Start Contract]]="",Table1[[#This Row],[Duration Month2]]=""),"",EDATE(Table1[[#This Row],[Start Contract]],Table1[[#This Row],[Duration Month2]])),"-")</f>
        <v>50284</v>
      </c>
      <c r="X44" s="115">
        <f>IF(OR((W44=""),(W44="-")),"",YEAR(Table1[[#This Row],[End Contract]]))</f>
        <v>2037</v>
      </c>
      <c r="Y44" s="54" t="str">
        <f ca="1">IF(Table1[[#This Row],[Maintenance]]="yes",IF(Table1[[#This Row],[End Contract]]="","no",IF(TODAY()&lt;=Table1[[#This Row],[End Contract]],"yes","no")),"no")</f>
        <v>yes</v>
      </c>
      <c r="Z44" s="54"/>
      <c r="AA44" s="277" t="s">
        <v>178</v>
      </c>
      <c r="AB44" s="276" t="s">
        <v>1406</v>
      </c>
    </row>
    <row r="45" spans="1:28" x14ac:dyDescent="0.3">
      <c r="A45" s="48">
        <v>43</v>
      </c>
      <c r="B45" s="48" t="s">
        <v>301</v>
      </c>
      <c r="C45" s="50" t="s">
        <v>302</v>
      </c>
      <c r="D45" s="75">
        <v>502605545</v>
      </c>
      <c r="E45" s="75" t="s">
        <v>303</v>
      </c>
      <c r="F45" s="75" t="s">
        <v>16</v>
      </c>
      <c r="G45" s="75">
        <v>136</v>
      </c>
      <c r="H45" s="75">
        <v>72.760000000000005</v>
      </c>
      <c r="I45" s="75" t="s">
        <v>11</v>
      </c>
      <c r="J45" s="75" t="s">
        <v>52</v>
      </c>
      <c r="K45" s="75">
        <v>15</v>
      </c>
      <c r="L45" s="75">
        <f>Table1[[#This Row],[Duration]]*12</f>
        <v>180</v>
      </c>
      <c r="M45" s="76">
        <v>44621</v>
      </c>
      <c r="N45" s="46" t="str">
        <f>IF(AND(Table1[[#This Row],[ Type of Contract]]="ESCO",Table1[[#This Row],[Status Detail]]="ACTIVE"),"yes","no")</f>
        <v>yes</v>
      </c>
      <c r="O45" s="46" t="s">
        <v>53</v>
      </c>
      <c r="P45" s="46" t="s">
        <v>61</v>
      </c>
      <c r="Q45" s="76"/>
      <c r="R45" s="80" t="s">
        <v>7</v>
      </c>
      <c r="S45" s="49" t="s">
        <v>304</v>
      </c>
      <c r="T45" s="49" t="s">
        <v>166</v>
      </c>
      <c r="U45" s="141" t="s">
        <v>305</v>
      </c>
      <c r="V45" s="141">
        <v>967272016</v>
      </c>
      <c r="W45" s="119">
        <f>IF(Table1[[#This Row],[Maintenance]]="yes",IF(OR(Table1[[#This Row],[Start Contract]]="",Table1[[#This Row],[Duration Month2]]=""),"",EDATE(Table1[[#This Row],[Start Contract]],Table1[[#This Row],[Duration Month2]])),"-")</f>
        <v>50100</v>
      </c>
      <c r="X45" s="115">
        <f>IF(OR((W45=""),(W45="-")),"",YEAR(Table1[[#This Row],[End Contract]]))</f>
        <v>2037</v>
      </c>
      <c r="Y45" s="54" t="str">
        <f ca="1">IF(Table1[[#This Row],[Maintenance]]="yes",IF(Table1[[#This Row],[End Contract]]="","no",IF(TODAY()&lt;=Table1[[#This Row],[End Contract]],"yes","no")),"no")</f>
        <v>yes</v>
      </c>
      <c r="Z45" s="54"/>
      <c r="AA45" s="277" t="s">
        <v>178</v>
      </c>
      <c r="AB45" s="276" t="s">
        <v>1406</v>
      </c>
    </row>
    <row r="46" spans="1:28" x14ac:dyDescent="0.3">
      <c r="A46" s="50">
        <v>44</v>
      </c>
      <c r="B46" s="48" t="s">
        <v>306</v>
      </c>
      <c r="C46" s="50" t="s">
        <v>307</v>
      </c>
      <c r="D46" s="75">
        <v>501534008</v>
      </c>
      <c r="E46" s="81" t="s">
        <v>308</v>
      </c>
      <c r="F46" s="81" t="s">
        <v>17</v>
      </c>
      <c r="G46" s="81">
        <v>120</v>
      </c>
      <c r="H46" s="81">
        <v>63.6</v>
      </c>
      <c r="I46" s="81" t="s">
        <v>8</v>
      </c>
      <c r="J46" s="75" t="s">
        <v>76</v>
      </c>
      <c r="K46" s="81">
        <v>0</v>
      </c>
      <c r="L46" s="81">
        <f>Table1[[#This Row],[Duration]]*12</f>
        <v>0</v>
      </c>
      <c r="M46" s="82" t="s">
        <v>178</v>
      </c>
      <c r="N46" s="46" t="str">
        <f>IF(AND(Table1[[#This Row],[ Type of Contract]]="ESCO",Table1[[#This Row],[Status Detail]]="ACTIVE"),"yes","no")</f>
        <v>no</v>
      </c>
      <c r="O46" s="46" t="s">
        <v>54</v>
      </c>
      <c r="P46" s="46" t="s">
        <v>61</v>
      </c>
      <c r="Q46" s="76" t="s">
        <v>79</v>
      </c>
      <c r="R46" s="49" t="s">
        <v>7</v>
      </c>
      <c r="S46" t="s">
        <v>309</v>
      </c>
      <c r="T46" s="49" t="s">
        <v>310</v>
      </c>
      <c r="U46" s="49"/>
      <c r="V46" s="49">
        <v>255534434</v>
      </c>
      <c r="W46" s="119" t="str">
        <f>IF(Table1[[#This Row],[Maintenance]]="yes",IF(OR(Table1[[#This Row],[Start Contract]]="",Table1[[#This Row],[Duration Month2]]=""),"",EDATE(Table1[[#This Row],[Start Contract]],Table1[[#This Row],[Duration Month2]])),"-")</f>
        <v>-</v>
      </c>
      <c r="X46" s="115" t="str">
        <f>IF(OR((W46=""),(W46="-")),"",YEAR(Table1[[#This Row],[End Contract]]))</f>
        <v/>
      </c>
      <c r="Y46" s="54" t="str">
        <f ca="1">IF(Table1[[#This Row],[Maintenance]]="yes",IF(Table1[[#This Row],[End Contract]]="","no",IF(TODAY()&lt;=Table1[[#This Row],[End Contract]],"yes","no")),"no")</f>
        <v>no</v>
      </c>
      <c r="Z46" s="54"/>
      <c r="AA46" s="54"/>
      <c r="AB46" s="54"/>
    </row>
    <row r="47" spans="1:28" ht="27.6" customHeight="1" x14ac:dyDescent="0.3">
      <c r="A47" s="48">
        <v>45</v>
      </c>
      <c r="B47" s="48" t="s">
        <v>311</v>
      </c>
      <c r="C47" s="50" t="s">
        <v>312</v>
      </c>
      <c r="D47" s="75">
        <v>502099666</v>
      </c>
      <c r="E47" s="75" t="s">
        <v>313</v>
      </c>
      <c r="F47" s="75" t="s">
        <v>314</v>
      </c>
      <c r="G47" s="75">
        <v>480</v>
      </c>
      <c r="H47" s="75">
        <v>256.8</v>
      </c>
      <c r="I47" s="81" t="s">
        <v>11</v>
      </c>
      <c r="J47" s="75" t="s">
        <v>52</v>
      </c>
      <c r="K47" s="75">
        <v>10</v>
      </c>
      <c r="L47" s="75">
        <f>Table1[[#This Row],[Duration]]*12</f>
        <v>120</v>
      </c>
      <c r="M47" s="76">
        <v>44652</v>
      </c>
      <c r="N47" s="46" t="str">
        <f>IF(AND(Table1[[#This Row],[ Type of Contract]]="ESCO",Table1[[#This Row],[Status Detail]]="ACTIVE"),"yes","no")</f>
        <v>yes</v>
      </c>
      <c r="O47" s="46" t="s">
        <v>53</v>
      </c>
      <c r="P47" s="46" t="s">
        <v>61</v>
      </c>
      <c r="Q47" s="76"/>
      <c r="R47" s="80" t="s">
        <v>7</v>
      </c>
      <c r="S47" s="49" t="s">
        <v>315</v>
      </c>
      <c r="T47" s="49" t="s">
        <v>310</v>
      </c>
      <c r="U47" s="141" t="s">
        <v>316</v>
      </c>
      <c r="V47" s="142" t="s">
        <v>317</v>
      </c>
      <c r="W47" s="119">
        <f>IF(Table1[[#This Row],[Maintenance]]="yes",IF(OR(Table1[[#This Row],[Start Contract]]="",Table1[[#This Row],[Duration Month2]]=""),"",EDATE(Table1[[#This Row],[Start Contract]],Table1[[#This Row],[Duration Month2]])),"-")</f>
        <v>48305</v>
      </c>
      <c r="X47" s="115">
        <f>IF(OR((W47=""),(W47="-")),"",YEAR(Table1[[#This Row],[End Contract]]))</f>
        <v>2032</v>
      </c>
      <c r="Y47" s="54" t="str">
        <f ca="1">IF(Table1[[#This Row],[Maintenance]]="yes",IF(Table1[[#This Row],[End Contract]]="","no",IF(TODAY()&lt;=Table1[[#This Row],[End Contract]],"yes","no")),"no")</f>
        <v>yes</v>
      </c>
      <c r="Z47" s="54"/>
      <c r="AA47" s="277" t="s">
        <v>178</v>
      </c>
      <c r="AB47" s="276" t="s">
        <v>1406</v>
      </c>
    </row>
    <row r="48" spans="1:28" x14ac:dyDescent="0.3">
      <c r="A48" s="48">
        <v>45</v>
      </c>
      <c r="B48" s="48" t="s">
        <v>318</v>
      </c>
      <c r="C48" s="50" t="s">
        <v>312</v>
      </c>
      <c r="D48" s="81">
        <v>502099666</v>
      </c>
      <c r="E48" s="81" t="s">
        <v>319</v>
      </c>
      <c r="F48" s="81" t="s">
        <v>12</v>
      </c>
      <c r="G48" s="81">
        <v>34</v>
      </c>
      <c r="H48" s="81">
        <v>18.02</v>
      </c>
      <c r="I48" s="81" t="s">
        <v>8</v>
      </c>
      <c r="J48" s="75" t="s">
        <v>76</v>
      </c>
      <c r="K48" s="81">
        <v>0</v>
      </c>
      <c r="L48" s="81">
        <f>Table1[[#This Row],[Duration]]*12</f>
        <v>0</v>
      </c>
      <c r="M48" s="82" t="s">
        <v>178</v>
      </c>
      <c r="N48" s="46" t="str">
        <f>IF(AND(Table1[[#This Row],[ Type of Contract]]="ESCO",Table1[[#This Row],[Status Detail]]="ACTIVE"),"yes","no")</f>
        <v>no</v>
      </c>
      <c r="O48" s="46" t="s">
        <v>320</v>
      </c>
      <c r="P48" s="46" t="s">
        <v>61</v>
      </c>
      <c r="Q48" s="76" t="s">
        <v>79</v>
      </c>
      <c r="R48" s="49" t="s">
        <v>7</v>
      </c>
      <c r="S48" s="49" t="s">
        <v>321</v>
      </c>
      <c r="T48" s="49" t="s">
        <v>322</v>
      </c>
      <c r="U48" s="49" t="s">
        <v>316</v>
      </c>
      <c r="V48" s="53" t="s">
        <v>323</v>
      </c>
      <c r="W48" s="119" t="str">
        <f>IF(Table1[[#This Row],[Maintenance]]="yes",IF(OR(Table1[[#This Row],[Start Contract]]="",Table1[[#This Row],[Duration Month2]]=""),"",EDATE(Table1[[#This Row],[Start Contract]],Table1[[#This Row],[Duration Month2]])),"-")</f>
        <v>-</v>
      </c>
      <c r="X48" s="115" t="str">
        <f>IF(OR((W48=""),(W48="-")),"",YEAR(Table1[[#This Row],[End Contract]]))</f>
        <v/>
      </c>
      <c r="Y48" s="54" t="str">
        <f ca="1">IF(Table1[[#This Row],[Maintenance]]="yes",IF(Table1[[#This Row],[End Contract]]="","no",IF(TODAY()&lt;=Table1[[#This Row],[End Contract]],"yes","no")),"no")</f>
        <v>no</v>
      </c>
      <c r="Z48" s="54"/>
      <c r="AA48" s="54"/>
      <c r="AB48" s="54"/>
    </row>
    <row r="49" spans="1:28" x14ac:dyDescent="0.3">
      <c r="A49" s="48">
        <v>45</v>
      </c>
      <c r="B49" s="48" t="s">
        <v>324</v>
      </c>
      <c r="C49" s="50" t="s">
        <v>312</v>
      </c>
      <c r="D49" s="75">
        <v>0</v>
      </c>
      <c r="E49" s="75"/>
      <c r="F49" s="75" t="s">
        <v>12</v>
      </c>
      <c r="G49" s="75">
        <v>10</v>
      </c>
      <c r="H49" s="75">
        <v>5.4</v>
      </c>
      <c r="I49" s="81" t="s">
        <v>8</v>
      </c>
      <c r="J49" s="75" t="s">
        <v>76</v>
      </c>
      <c r="K49" s="75">
        <v>0</v>
      </c>
      <c r="L49" s="75">
        <f>Table1[[#This Row],[Duration]]*12</f>
        <v>0</v>
      </c>
      <c r="M49" s="76" t="s">
        <v>178</v>
      </c>
      <c r="N49" s="46" t="str">
        <f>IF(AND(Table1[[#This Row],[ Type of Contract]]="ESCO",Table1[[#This Row],[Status Detail]]="ACTIVE"),"yes","no")</f>
        <v>no</v>
      </c>
      <c r="O49" s="46" t="s">
        <v>94</v>
      </c>
      <c r="P49" s="46" t="s">
        <v>61</v>
      </c>
      <c r="Q49" s="76" t="s">
        <v>79</v>
      </c>
      <c r="R49" s="80" t="s">
        <v>7</v>
      </c>
      <c r="S49" s="49" t="s">
        <v>315</v>
      </c>
      <c r="T49" s="49" t="s">
        <v>310</v>
      </c>
      <c r="U49" s="49" t="s">
        <v>316</v>
      </c>
      <c r="V49" s="49">
        <v>932255257</v>
      </c>
      <c r="W49" s="119" t="str">
        <f>IF(Table1[[#This Row],[Maintenance]]="yes",IF(OR(Table1[[#This Row],[Start Contract]]="",Table1[[#This Row],[Duration Month2]]=""),"",EDATE(Table1[[#This Row],[Start Contract]],Table1[[#This Row],[Duration Month2]])),"-")</f>
        <v>-</v>
      </c>
      <c r="X49" s="115" t="str">
        <f>IF(OR((W49=""),(W49="-")),"",YEAR(Table1[[#This Row],[End Contract]]))</f>
        <v/>
      </c>
      <c r="Y49" s="54" t="str">
        <f ca="1">IF(Table1[[#This Row],[Maintenance]]="yes",IF(Table1[[#This Row],[End Contract]]="","no",IF(TODAY()&lt;=Table1[[#This Row],[End Contract]],"yes","no")),"no")</f>
        <v>no</v>
      </c>
      <c r="Z49" s="54"/>
      <c r="AA49" s="54"/>
      <c r="AB49" s="54"/>
    </row>
    <row r="50" spans="1:28" x14ac:dyDescent="0.3">
      <c r="A50" s="50">
        <v>46</v>
      </c>
      <c r="B50" s="48" t="s">
        <v>325</v>
      </c>
      <c r="C50" s="50" t="s">
        <v>326</v>
      </c>
      <c r="D50" s="75">
        <v>501271716</v>
      </c>
      <c r="E50" s="81" t="s">
        <v>327</v>
      </c>
      <c r="F50" s="81" t="s">
        <v>20</v>
      </c>
      <c r="G50" s="81">
        <f>216+69</f>
        <v>285</v>
      </c>
      <c r="H50" s="81">
        <f>30.4+97.2</f>
        <v>127.6</v>
      </c>
      <c r="I50" s="81" t="s">
        <v>8</v>
      </c>
      <c r="J50" s="75" t="s">
        <v>76</v>
      </c>
      <c r="K50" s="81">
        <v>2</v>
      </c>
      <c r="L50" s="81">
        <f>Table1[[#This Row],[Duration]]*12</f>
        <v>24</v>
      </c>
      <c r="M50" s="82">
        <v>45538</v>
      </c>
      <c r="N50" s="46" t="s">
        <v>77</v>
      </c>
      <c r="O50" s="46" t="s">
        <v>53</v>
      </c>
      <c r="P50" s="46" t="s">
        <v>61</v>
      </c>
      <c r="Q50" s="76" t="s">
        <v>328</v>
      </c>
      <c r="R50" s="49" t="s">
        <v>7</v>
      </c>
      <c r="S50" s="49" t="s">
        <v>329</v>
      </c>
      <c r="T50" s="49" t="s">
        <v>70</v>
      </c>
      <c r="U50" s="148" t="s">
        <v>330</v>
      </c>
      <c r="V50" s="141">
        <v>937891282</v>
      </c>
      <c r="W50" s="119">
        <f>IF(Table1[[#This Row],[Maintenance]]="yes",IF(OR(Table1[[#This Row],[Start Contract]]="",Table1[[#This Row],[Duration Month2]]=""),"",EDATE(Table1[[#This Row],[Start Contract]],Table1[[#This Row],[Duration Month2]])),"-")</f>
        <v>46268</v>
      </c>
      <c r="X50" s="115">
        <f>IF(OR((W50=""),(W50="-")),"",YEAR(Table1[[#This Row],[End Contract]]))</f>
        <v>2026</v>
      </c>
      <c r="Y50" s="54" t="str">
        <f ca="1">IF(Table1[[#This Row],[Maintenance]]="yes",IF(Table1[[#This Row],[End Contract]]="","no",IF(TODAY()&lt;=Table1[[#This Row],[End Contract]],"yes","no")),"no")</f>
        <v>yes</v>
      </c>
      <c r="Z50" s="54"/>
      <c r="AA50" s="277">
        <v>1450</v>
      </c>
      <c r="AB50" s="54" t="s">
        <v>1408</v>
      </c>
    </row>
    <row r="51" spans="1:28" ht="27.6" customHeight="1" x14ac:dyDescent="0.3">
      <c r="A51" s="48">
        <v>47</v>
      </c>
      <c r="B51" s="48" t="s">
        <v>331</v>
      </c>
      <c r="C51" s="50" t="s">
        <v>332</v>
      </c>
      <c r="D51" s="75">
        <v>503194387</v>
      </c>
      <c r="E51" s="75" t="s">
        <v>333</v>
      </c>
      <c r="F51" s="75" t="s">
        <v>334</v>
      </c>
      <c r="G51" s="75">
        <v>198</v>
      </c>
      <c r="H51" s="75">
        <v>89.1</v>
      </c>
      <c r="I51" s="75" t="s">
        <v>11</v>
      </c>
      <c r="J51" s="75" t="s">
        <v>52</v>
      </c>
      <c r="K51" s="75">
        <v>15</v>
      </c>
      <c r="L51" s="75">
        <f>Table1[[#This Row],[Duration]]*12</f>
        <v>180</v>
      </c>
      <c r="M51" s="76">
        <v>44774</v>
      </c>
      <c r="N51" s="46" t="str">
        <f>IF(AND(Table1[[#This Row],[ Type of Contract]]="ESCO",Table1[[#This Row],[Status Detail]]="ACTIVE"),"yes","no")</f>
        <v>yes</v>
      </c>
      <c r="O51" s="46" t="s">
        <v>53</v>
      </c>
      <c r="P51" s="46" t="s">
        <v>78</v>
      </c>
      <c r="Q51" s="76"/>
      <c r="R51" s="80" t="s">
        <v>7</v>
      </c>
      <c r="S51" s="53" t="s">
        <v>335</v>
      </c>
      <c r="T51" s="49" t="s">
        <v>70</v>
      </c>
      <c r="U51" s="194" t="s">
        <v>336</v>
      </c>
      <c r="V51" s="141">
        <v>913385462</v>
      </c>
      <c r="W51" s="119">
        <f>IF(Table1[[#This Row],[Maintenance]]="yes",IF(OR(Table1[[#This Row],[Start Contract]]="",Table1[[#This Row],[Duration Month2]]=""),"",EDATE(Table1[[#This Row],[Start Contract]],Table1[[#This Row],[Duration Month2]])),"-")</f>
        <v>50253</v>
      </c>
      <c r="X51" s="115">
        <f>IF(OR((W51=""),(W51="-")),"",YEAR(Table1[[#This Row],[End Contract]]))</f>
        <v>2037</v>
      </c>
      <c r="Y51" s="54" t="str">
        <f ca="1">IF(Table1[[#This Row],[Maintenance]]="yes",IF(Table1[[#This Row],[End Contract]]="","no",IF(TODAY()&lt;=Table1[[#This Row],[End Contract]],"yes","no")),"no")</f>
        <v>yes</v>
      </c>
      <c r="Z51" s="54"/>
      <c r="AA51" s="277" t="s">
        <v>178</v>
      </c>
      <c r="AB51" s="276" t="s">
        <v>1406</v>
      </c>
    </row>
    <row r="52" spans="1:28" x14ac:dyDescent="0.3">
      <c r="A52" s="50">
        <v>48</v>
      </c>
      <c r="B52" s="48" t="s">
        <v>337</v>
      </c>
      <c r="C52" s="50" t="s">
        <v>282</v>
      </c>
      <c r="D52" s="75">
        <v>502786639</v>
      </c>
      <c r="E52" s="81"/>
      <c r="F52" s="81" t="s">
        <v>338</v>
      </c>
      <c r="G52" s="81">
        <v>126</v>
      </c>
      <c r="H52" s="81">
        <v>68.040000000000006</v>
      </c>
      <c r="I52" s="81" t="s">
        <v>8</v>
      </c>
      <c r="J52" s="75" t="s">
        <v>76</v>
      </c>
      <c r="K52" s="81">
        <v>0</v>
      </c>
      <c r="L52" s="81">
        <f>Table1[[#This Row],[Duration]]*12</f>
        <v>0</v>
      </c>
      <c r="M52" s="82" t="s">
        <v>178</v>
      </c>
      <c r="N52" s="88" t="str">
        <f>IF(AND(Table1[[#This Row],[ Type of Contract]]="ESCO",Table1[[#This Row],[Status Detail]]="ACTIVE"),"yes","no")</f>
        <v>no</v>
      </c>
      <c r="O52" s="88" t="s">
        <v>53</v>
      </c>
      <c r="P52" s="46" t="s">
        <v>61</v>
      </c>
      <c r="Q52" s="82" t="s">
        <v>179</v>
      </c>
      <c r="R52" s="49" t="s">
        <v>7</v>
      </c>
      <c r="S52" s="122" t="s">
        <v>284</v>
      </c>
      <c r="T52" s="54"/>
      <c r="U52" s="54" t="s">
        <v>285</v>
      </c>
      <c r="V52" s="122">
        <v>912253249</v>
      </c>
      <c r="W52" s="119" t="str">
        <f>IF(Table1[[#This Row],[Maintenance]]="yes",IF(OR(Table1[[#This Row],[Start Contract]]="",Table1[[#This Row],[Duration Month2]]=""),"",EDATE(Table1[[#This Row],[Start Contract]],Table1[[#This Row],[Duration Month2]])),"-")</f>
        <v>-</v>
      </c>
      <c r="X52" s="115" t="str">
        <f>IF(OR((W52=""),(W52="-")),"",YEAR(Table1[[#This Row],[End Contract]]))</f>
        <v/>
      </c>
      <c r="Y52" s="54" t="str">
        <f ca="1">IF(Table1[[#This Row],[Maintenance]]="yes",IF(Table1[[#This Row],[End Contract]]="","no",IF(TODAY()&lt;=Table1[[#This Row],[End Contract]],"yes","no")),"no")</f>
        <v>no</v>
      </c>
      <c r="Z52" s="54"/>
      <c r="AA52" s="54"/>
      <c r="AB52" s="54"/>
    </row>
    <row r="53" spans="1:28" x14ac:dyDescent="0.3">
      <c r="A53" s="48">
        <v>49</v>
      </c>
      <c r="B53" s="48" t="s">
        <v>339</v>
      </c>
      <c r="C53" s="50" t="s">
        <v>340</v>
      </c>
      <c r="D53" s="75">
        <v>502644699</v>
      </c>
      <c r="E53" s="75" t="s">
        <v>341</v>
      </c>
      <c r="F53" s="75" t="s">
        <v>18</v>
      </c>
      <c r="G53" s="75">
        <v>288</v>
      </c>
      <c r="H53" s="75">
        <v>129.6</v>
      </c>
      <c r="I53" s="81" t="s">
        <v>8</v>
      </c>
      <c r="J53" s="75" t="s">
        <v>76</v>
      </c>
      <c r="K53" s="75">
        <v>0</v>
      </c>
      <c r="L53" s="75">
        <f>Table1[[#This Row],[Duration]]*12</f>
        <v>0</v>
      </c>
      <c r="M53" s="76">
        <v>44986</v>
      </c>
      <c r="N53" s="46" t="s">
        <v>77</v>
      </c>
      <c r="O53" s="46" t="s">
        <v>53</v>
      </c>
      <c r="P53" s="46" t="s">
        <v>61</v>
      </c>
      <c r="Q53" s="76" t="s">
        <v>342</v>
      </c>
      <c r="R53" s="80" t="s">
        <v>7</v>
      </c>
      <c r="S53" s="122" t="s">
        <v>343</v>
      </c>
      <c r="T53" s="54"/>
      <c r="U53" s="143" t="s">
        <v>344</v>
      </c>
      <c r="V53" s="144">
        <v>289710168</v>
      </c>
      <c r="W53" s="119">
        <f>IF(Table1[[#This Row],[Maintenance]]="yes",IF(OR(Table1[[#This Row],[Start Contract]]="",Table1[[#This Row],[Duration Month2]]=""),"",EDATE(Table1[[#This Row],[Start Contract]],Table1[[#This Row],[Duration Month2]])),"-")</f>
        <v>44986</v>
      </c>
      <c r="X53" s="115">
        <f>IF(OR((W53=""),(W53="-")),"",YEAR(Table1[[#This Row],[End Contract]]))</f>
        <v>2023</v>
      </c>
      <c r="Y53" s="54" t="str">
        <f ca="1">IF(Table1[[#This Row],[Maintenance]]="yes",IF(Table1[[#This Row],[End Contract]]="","no",IF(TODAY()&lt;=Table1[[#This Row],[End Contract]],"yes","no")),"no")</f>
        <v>no</v>
      </c>
      <c r="Z53" s="54" t="s">
        <v>269</v>
      </c>
      <c r="AA53" s="54" t="s">
        <v>1386</v>
      </c>
      <c r="AB53" s="54" t="s">
        <v>1408</v>
      </c>
    </row>
    <row r="54" spans="1:28" x14ac:dyDescent="0.3">
      <c r="A54" s="50">
        <v>50</v>
      </c>
      <c r="B54" s="48" t="s">
        <v>345</v>
      </c>
      <c r="C54" s="50" t="s">
        <v>346</v>
      </c>
      <c r="D54" s="75">
        <v>500280614</v>
      </c>
      <c r="E54" s="81" t="s">
        <v>347</v>
      </c>
      <c r="F54" s="81" t="s">
        <v>9</v>
      </c>
      <c r="G54" s="81">
        <v>270</v>
      </c>
      <c r="H54" s="81">
        <v>147.15</v>
      </c>
      <c r="I54" s="81" t="s">
        <v>11</v>
      </c>
      <c r="J54" s="75" t="s">
        <v>52</v>
      </c>
      <c r="K54" s="81">
        <v>15</v>
      </c>
      <c r="L54" s="81">
        <f>Table1[[#This Row],[Duration]]*12</f>
        <v>180</v>
      </c>
      <c r="M54" s="82">
        <v>44927</v>
      </c>
      <c r="N54" s="46" t="str">
        <f>IF(AND(Table1[[#This Row],[ Type of Contract]]="ESCO",Table1[[#This Row],[Status Detail]]="ACTIVE"),"yes","no")</f>
        <v>yes</v>
      </c>
      <c r="O54" s="46" t="s">
        <v>53</v>
      </c>
      <c r="P54" s="46" t="s">
        <v>61</v>
      </c>
      <c r="Q54" s="76"/>
      <c r="R54" s="49" t="s">
        <v>7</v>
      </c>
      <c r="S54" s="49" t="s">
        <v>348</v>
      </c>
      <c r="T54" s="49" t="s">
        <v>349</v>
      </c>
      <c r="U54" s="141" t="s">
        <v>350</v>
      </c>
      <c r="V54" s="141">
        <v>910081951</v>
      </c>
      <c r="W54" s="119">
        <f>IF(Table1[[#This Row],[Maintenance]]="yes",IF(OR(Table1[[#This Row],[Start Contract]]="",Table1[[#This Row],[Duration Month2]]=""),"",EDATE(Table1[[#This Row],[Start Contract]],Table1[[#This Row],[Duration Month2]])),"-")</f>
        <v>50406</v>
      </c>
      <c r="X54" s="115">
        <f>IF(OR((W54=""),(W54="-")),"",YEAR(Table1[[#This Row],[End Contract]]))</f>
        <v>2038</v>
      </c>
      <c r="Y54" s="54" t="str">
        <f ca="1">IF(Table1[[#This Row],[Maintenance]]="yes",IF(Table1[[#This Row],[End Contract]]="","no",IF(TODAY()&lt;=Table1[[#This Row],[End Contract]],"yes","no")),"no")</f>
        <v>yes</v>
      </c>
      <c r="Z54" s="54"/>
      <c r="AA54" s="277" t="s">
        <v>178</v>
      </c>
      <c r="AB54" s="276" t="s">
        <v>1406</v>
      </c>
    </row>
    <row r="55" spans="1:28" x14ac:dyDescent="0.3">
      <c r="A55" s="48">
        <v>51</v>
      </c>
      <c r="B55" s="48" t="s">
        <v>351</v>
      </c>
      <c r="C55" s="50" t="s">
        <v>352</v>
      </c>
      <c r="D55" s="75">
        <v>500441731</v>
      </c>
      <c r="E55" s="75" t="s">
        <v>353</v>
      </c>
      <c r="F55" s="75" t="s">
        <v>12</v>
      </c>
      <c r="G55" s="75">
        <v>270</v>
      </c>
      <c r="H55" s="75">
        <v>147.15</v>
      </c>
      <c r="I55" s="75" t="s">
        <v>8</v>
      </c>
      <c r="J55" s="75" t="s">
        <v>76</v>
      </c>
      <c r="K55" s="75">
        <v>0</v>
      </c>
      <c r="L55" s="75">
        <f>Table1[[#This Row],[Duration]]*12</f>
        <v>0</v>
      </c>
      <c r="M55" s="76" t="s">
        <v>178</v>
      </c>
      <c r="N55" s="46" t="str">
        <f>IF(AND(Table1[[#This Row],[ Type of Contract]]="ESCO",Table1[[#This Row],[Status Detail]]="ACTIVE"),"yes","no")</f>
        <v>no</v>
      </c>
      <c r="O55" s="46" t="s">
        <v>53</v>
      </c>
      <c r="P55" s="46" t="s">
        <v>61</v>
      </c>
      <c r="Q55" s="76" t="s">
        <v>79</v>
      </c>
      <c r="R55" s="80" t="s">
        <v>7</v>
      </c>
      <c r="S55" s="49" t="s">
        <v>354</v>
      </c>
      <c r="T55" s="49" t="s">
        <v>70</v>
      </c>
      <c r="U55" s="124" t="s">
        <v>355</v>
      </c>
      <c r="V55" s="125">
        <v>919840229</v>
      </c>
      <c r="W55" s="119" t="str">
        <f>IF(Table1[[#This Row],[Maintenance]]="yes",IF(OR(Table1[[#This Row],[Start Contract]]="",Table1[[#This Row],[Duration Month2]]=""),"",EDATE(Table1[[#This Row],[Start Contract]],Table1[[#This Row],[Duration Month2]])),"-")</f>
        <v>-</v>
      </c>
      <c r="X55" s="115" t="str">
        <f>IF(OR((W55=""),(W55="-")),"",YEAR(Table1[[#This Row],[End Contract]]))</f>
        <v/>
      </c>
      <c r="Y55" s="54" t="str">
        <f ca="1">IF(Table1[[#This Row],[Maintenance]]="yes",IF(Table1[[#This Row],[End Contract]]="","no",IF(TODAY()&lt;=Table1[[#This Row],[End Contract]],"yes","no")),"no")</f>
        <v>no</v>
      </c>
      <c r="Z55" s="54"/>
      <c r="AA55" s="54"/>
      <c r="AB55" s="54"/>
    </row>
    <row r="56" spans="1:28" x14ac:dyDescent="0.3">
      <c r="A56" s="50">
        <v>52</v>
      </c>
      <c r="B56" s="48" t="s">
        <v>356</v>
      </c>
      <c r="C56" s="50" t="s">
        <v>352</v>
      </c>
      <c r="D56" s="75">
        <v>500441731</v>
      </c>
      <c r="E56" s="81" t="s">
        <v>357</v>
      </c>
      <c r="F56" s="81" t="s">
        <v>16</v>
      </c>
      <c r="G56" s="81">
        <v>85</v>
      </c>
      <c r="H56" s="81">
        <v>43.325000000000003</v>
      </c>
      <c r="I56" s="75" t="s">
        <v>8</v>
      </c>
      <c r="J56" s="75" t="s">
        <v>76</v>
      </c>
      <c r="K56" s="81">
        <v>0</v>
      </c>
      <c r="L56" s="81">
        <f>Table1[[#This Row],[Duration]]*12</f>
        <v>0</v>
      </c>
      <c r="M56" s="82" t="s">
        <v>178</v>
      </c>
      <c r="N56" s="46" t="str">
        <f>IF(AND(Table1[[#This Row],[ Type of Contract]]="ESCO",Table1[[#This Row],[Status Detail]]="ACTIVE"),"yes","no")</f>
        <v>no</v>
      </c>
      <c r="O56" s="46" t="s">
        <v>53</v>
      </c>
      <c r="P56" s="46" t="s">
        <v>61</v>
      </c>
      <c r="Q56" s="76" t="s">
        <v>79</v>
      </c>
      <c r="R56" s="49" t="s">
        <v>7</v>
      </c>
      <c r="S56" s="49" t="s">
        <v>354</v>
      </c>
      <c r="T56" s="49" t="s">
        <v>70</v>
      </c>
      <c r="U56" s="124" t="s">
        <v>355</v>
      </c>
      <c r="V56" s="125">
        <v>919840229</v>
      </c>
      <c r="W56" s="119" t="str">
        <f>IF(Table1[[#This Row],[Maintenance]]="yes",IF(OR(Table1[[#This Row],[Start Contract]]="",Table1[[#This Row],[Duration Month2]]=""),"",EDATE(Table1[[#This Row],[Start Contract]],Table1[[#This Row],[Duration Month2]])),"-")</f>
        <v>-</v>
      </c>
      <c r="X56" s="115" t="str">
        <f>IF(OR((W56=""),(W56="-")),"",YEAR(Table1[[#This Row],[End Contract]]))</f>
        <v/>
      </c>
      <c r="Y56" s="54" t="str">
        <f ca="1">IF(Table1[[#This Row],[Maintenance]]="yes",IF(Table1[[#This Row],[End Contract]]="","no",IF(TODAY()&lt;=Table1[[#This Row],[End Contract]],"yes","no")),"no")</f>
        <v>no</v>
      </c>
      <c r="Z56" s="54"/>
      <c r="AA56" s="54"/>
      <c r="AB56" s="54"/>
    </row>
    <row r="57" spans="1:28" x14ac:dyDescent="0.3">
      <c r="A57" s="48">
        <v>53</v>
      </c>
      <c r="B57" s="48" t="s">
        <v>358</v>
      </c>
      <c r="C57" s="50" t="s">
        <v>352</v>
      </c>
      <c r="D57" s="75">
        <v>0</v>
      </c>
      <c r="E57" s="75"/>
      <c r="F57" s="75" t="s">
        <v>12</v>
      </c>
      <c r="G57" s="75">
        <v>18</v>
      </c>
      <c r="H57" s="75">
        <v>8.1</v>
      </c>
      <c r="I57" s="75" t="s">
        <v>8</v>
      </c>
      <c r="J57" s="75" t="s">
        <v>76</v>
      </c>
      <c r="K57" s="75">
        <v>0</v>
      </c>
      <c r="L57" s="75">
        <f>Table1[[#This Row],[Duration]]*12</f>
        <v>0</v>
      </c>
      <c r="M57" s="76" t="s">
        <v>178</v>
      </c>
      <c r="N57" s="46" t="str">
        <f>IF(AND(Table1[[#This Row],[ Type of Contract]]="ESCO",Table1[[#This Row],[Status Detail]]="ACTIVE"),"yes","no")</f>
        <v>no</v>
      </c>
      <c r="O57" s="46" t="s">
        <v>53</v>
      </c>
      <c r="P57" s="46" t="s">
        <v>61</v>
      </c>
      <c r="Q57" s="76" t="s">
        <v>79</v>
      </c>
      <c r="R57" s="80" t="s">
        <v>7</v>
      </c>
      <c r="S57" s="49" t="s">
        <v>354</v>
      </c>
      <c r="T57" s="49" t="s">
        <v>70</v>
      </c>
      <c r="U57" s="124" t="s">
        <v>355</v>
      </c>
      <c r="V57" s="125">
        <v>919840229</v>
      </c>
      <c r="W57" s="119" t="str">
        <f>IF(Table1[[#This Row],[Maintenance]]="yes",IF(OR(Table1[[#This Row],[Start Contract]]="",Table1[[#This Row],[Duration Month2]]=""),"",EDATE(Table1[[#This Row],[Start Contract]],Table1[[#This Row],[Duration Month2]])),"-")</f>
        <v>-</v>
      </c>
      <c r="X57" s="115" t="str">
        <f>IF(OR((W57=""),(W57="-")),"",YEAR(Table1[[#This Row],[End Contract]]))</f>
        <v/>
      </c>
      <c r="Y57" s="54" t="str">
        <f ca="1">IF(Table1[[#This Row],[Maintenance]]="yes",IF(Table1[[#This Row],[End Contract]]="","no",IF(TODAY()&lt;=Table1[[#This Row],[End Contract]],"yes","no")),"no")</f>
        <v>no</v>
      </c>
      <c r="Z57" s="54"/>
      <c r="AA57" s="54"/>
      <c r="AB57" s="54"/>
    </row>
    <row r="58" spans="1:28" x14ac:dyDescent="0.3">
      <c r="A58" s="50">
        <v>54</v>
      </c>
      <c r="B58" s="48" t="s">
        <v>359</v>
      </c>
      <c r="C58" s="50" t="s">
        <v>360</v>
      </c>
      <c r="D58" s="75">
        <v>510504965</v>
      </c>
      <c r="E58" s="81" t="s">
        <v>361</v>
      </c>
      <c r="F58" s="81" t="s">
        <v>105</v>
      </c>
      <c r="G58" s="81">
        <v>180</v>
      </c>
      <c r="H58" s="81">
        <v>81</v>
      </c>
      <c r="I58" s="81" t="s">
        <v>11</v>
      </c>
      <c r="J58" s="75" t="s">
        <v>52</v>
      </c>
      <c r="K58" s="81">
        <v>10</v>
      </c>
      <c r="L58" s="81">
        <f>Table1[[#This Row],[Duration]]*12</f>
        <v>120</v>
      </c>
      <c r="M58" s="82">
        <v>44927</v>
      </c>
      <c r="N58" s="46" t="str">
        <f>IF(AND(Table1[[#This Row],[ Type of Contract]]="ESCO",Table1[[#This Row],[Status Detail]]="ACTIVE"),"yes","no")</f>
        <v>yes</v>
      </c>
      <c r="O58" s="46" t="s">
        <v>53</v>
      </c>
      <c r="P58" s="46" t="s">
        <v>61</v>
      </c>
      <c r="Q58" s="76"/>
      <c r="R58" s="49" t="s">
        <v>7</v>
      </c>
      <c r="S58" s="49" t="s">
        <v>354</v>
      </c>
      <c r="T58" s="49" t="s">
        <v>70</v>
      </c>
      <c r="U58" s="141" t="s">
        <v>362</v>
      </c>
      <c r="V58" s="141">
        <v>935522884</v>
      </c>
      <c r="W58" s="119">
        <f>IF(Table1[[#This Row],[Maintenance]]="yes",IF(OR(Table1[[#This Row],[Start Contract]]="",Table1[[#This Row],[Duration Month2]]=""),"",EDATE(Table1[[#This Row],[Start Contract]],Table1[[#This Row],[Duration Month2]])),"-")</f>
        <v>48580</v>
      </c>
      <c r="X58" s="115">
        <f>IF(OR((W58=""),(W58="-")),"",YEAR(Table1[[#This Row],[End Contract]]))</f>
        <v>2033</v>
      </c>
      <c r="Y58" s="54" t="str">
        <f ca="1">IF(Table1[[#This Row],[Maintenance]]="yes",IF(Table1[[#This Row],[End Contract]]="","no",IF(TODAY()&lt;=Table1[[#This Row],[End Contract]],"yes","no")),"no")</f>
        <v>yes</v>
      </c>
      <c r="Z58" s="54"/>
      <c r="AA58" s="277" t="s">
        <v>178</v>
      </c>
      <c r="AB58" s="276" t="s">
        <v>1406</v>
      </c>
    </row>
    <row r="59" spans="1:28" x14ac:dyDescent="0.3">
      <c r="A59" s="48">
        <v>55</v>
      </c>
      <c r="B59" s="48" t="s">
        <v>363</v>
      </c>
      <c r="C59" s="50" t="s">
        <v>282</v>
      </c>
      <c r="D59" s="75">
        <v>502786639</v>
      </c>
      <c r="E59" s="75" t="s">
        <v>364</v>
      </c>
      <c r="F59" s="75" t="s">
        <v>365</v>
      </c>
      <c r="G59" s="75">
        <v>94</v>
      </c>
      <c r="H59" s="75">
        <v>116.64</v>
      </c>
      <c r="I59" s="75" t="s">
        <v>8</v>
      </c>
      <c r="J59" s="75" t="s">
        <v>76</v>
      </c>
      <c r="K59" s="75">
        <v>0</v>
      </c>
      <c r="L59" s="75">
        <f>Table1[[#This Row],[Duration]]*12</f>
        <v>0</v>
      </c>
      <c r="M59" s="76">
        <v>44798</v>
      </c>
      <c r="N59" s="46" t="str">
        <f>IF(AND(Table1[[#This Row],[ Type of Contract]]="ESCO",Table1[[#This Row],[Status Detail]]="ACTIVE"),"yes","no")</f>
        <v>no</v>
      </c>
      <c r="O59" s="46" t="s">
        <v>53</v>
      </c>
      <c r="P59" s="46" t="s">
        <v>61</v>
      </c>
      <c r="Q59" s="76" t="s">
        <v>179</v>
      </c>
      <c r="R59" s="80" t="s">
        <v>7</v>
      </c>
      <c r="S59" s="122" t="s">
        <v>284</v>
      </c>
      <c r="T59" s="54"/>
      <c r="U59" s="54" t="s">
        <v>285</v>
      </c>
      <c r="V59" s="122">
        <v>912253249</v>
      </c>
      <c r="W59" s="119" t="str">
        <f>IF(Table1[[#This Row],[Maintenance]]="yes",IF(OR(Table1[[#This Row],[Start Contract]]="",Table1[[#This Row],[Duration Month2]]=""),"",EDATE(Table1[[#This Row],[Start Contract]],Table1[[#This Row],[Duration Month2]])),"-")</f>
        <v>-</v>
      </c>
      <c r="X59" s="115" t="str">
        <f>IF(OR((W59=""),(W59="-")),"",YEAR(Table1[[#This Row],[End Contract]]))</f>
        <v/>
      </c>
      <c r="Y59" s="54" t="str">
        <f ca="1">IF(Table1[[#This Row],[Maintenance]]="yes",IF(Table1[[#This Row],[End Contract]]="","no",IF(TODAY()&lt;=Table1[[#This Row],[End Contract]],"yes","no")),"no")</f>
        <v>no</v>
      </c>
      <c r="Z59" s="54"/>
      <c r="AA59" s="54"/>
      <c r="AB59" s="54"/>
    </row>
    <row r="60" spans="1:28" x14ac:dyDescent="0.3">
      <c r="A60" s="50">
        <v>56</v>
      </c>
      <c r="B60" s="48" t="s">
        <v>366</v>
      </c>
      <c r="C60" s="50" t="s">
        <v>367</v>
      </c>
      <c r="D60" s="81">
        <v>505416921</v>
      </c>
      <c r="E60" s="81" t="s">
        <v>368</v>
      </c>
      <c r="F60" s="75" t="s">
        <v>16</v>
      </c>
      <c r="G60" s="81">
        <v>560</v>
      </c>
      <c r="H60" s="81">
        <v>336</v>
      </c>
      <c r="I60" s="81" t="s">
        <v>11</v>
      </c>
      <c r="J60" s="75" t="s">
        <v>52</v>
      </c>
      <c r="K60" s="81">
        <v>10</v>
      </c>
      <c r="L60" s="81">
        <f>Table1[[#This Row],[Duration]]*12</f>
        <v>120</v>
      </c>
      <c r="M60" s="76">
        <v>45786</v>
      </c>
      <c r="N60" s="46" t="str">
        <f>IF(AND(Table1[[#This Row],[ Type of Contract]]="ESCO",Table1[[#This Row],[Status Detail]]="ACTIVE"),"yes","no")</f>
        <v>yes</v>
      </c>
      <c r="O60" s="7" t="s">
        <v>53</v>
      </c>
      <c r="P60" s="46" t="s">
        <v>61</v>
      </c>
      <c r="Q60" s="76"/>
      <c r="R60" s="49" t="s">
        <v>7</v>
      </c>
      <c r="S60" s="49" t="s">
        <v>369</v>
      </c>
      <c r="T60" s="49" t="s">
        <v>70</v>
      </c>
      <c r="U60" s="49" t="s">
        <v>370</v>
      </c>
      <c r="V60" s="49" t="s">
        <v>371</v>
      </c>
      <c r="W60" s="119">
        <f>IF(Table1[[#This Row],[Maintenance]]="yes",IF(OR(Table1[[#This Row],[Start Contract]]="",Table1[[#This Row],[Duration Month2]]=""),"",EDATE(Table1[[#This Row],[Start Contract]],Table1[[#This Row],[Duration Month2]])),"-")</f>
        <v>49438</v>
      </c>
      <c r="X60" s="115">
        <f>IF(OR((W60=""),(W60="-")),"",YEAR(Table1[[#This Row],[End Contract]]))</f>
        <v>2035</v>
      </c>
      <c r="Y60" s="54" t="str">
        <f ca="1">IF(Table1[[#This Row],[Maintenance]]="yes",IF(Table1[[#This Row],[End Contract]]="","no",IF(TODAY()&lt;=Table1[[#This Row],[End Contract]],"yes","no")),"no")</f>
        <v>yes</v>
      </c>
      <c r="Z60" s="54"/>
      <c r="AA60" s="277">
        <v>2352</v>
      </c>
      <c r="AB60" s="54" t="s">
        <v>1408</v>
      </c>
    </row>
    <row r="61" spans="1:28" x14ac:dyDescent="0.3">
      <c r="A61" s="48">
        <v>57</v>
      </c>
      <c r="B61" s="48" t="s">
        <v>372</v>
      </c>
      <c r="C61" s="50" t="s">
        <v>373</v>
      </c>
      <c r="D61" s="75">
        <v>506178374</v>
      </c>
      <c r="E61" s="75" t="s">
        <v>374</v>
      </c>
      <c r="F61" s="81" t="s">
        <v>375</v>
      </c>
      <c r="G61" s="75">
        <v>168</v>
      </c>
      <c r="H61" s="75">
        <v>91.56</v>
      </c>
      <c r="I61" s="81" t="s">
        <v>11</v>
      </c>
      <c r="J61" s="75" t="s">
        <v>52</v>
      </c>
      <c r="K61" s="75">
        <v>15</v>
      </c>
      <c r="L61" s="75">
        <f>Table1[[#This Row],[Duration]]*12</f>
        <v>180</v>
      </c>
      <c r="M61" s="82">
        <v>44896</v>
      </c>
      <c r="N61" s="46" t="str">
        <f>IF(AND(Table1[[#This Row],[ Type of Contract]]="ESCO",Table1[[#This Row],[Status Detail]]="ACTIVE"),"yes","no")</f>
        <v>yes</v>
      </c>
      <c r="O61" s="46" t="s">
        <v>53</v>
      </c>
      <c r="P61" s="46" t="s">
        <v>61</v>
      </c>
      <c r="Q61" s="76"/>
      <c r="R61" s="80" t="s">
        <v>7</v>
      </c>
      <c r="S61" s="49" t="s">
        <v>376</v>
      </c>
      <c r="T61" s="49" t="s">
        <v>70</v>
      </c>
      <c r="U61" s="141" t="s">
        <v>377</v>
      </c>
      <c r="V61" s="144">
        <v>966938380</v>
      </c>
      <c r="W61" s="119">
        <f>IF(Table1[[#This Row],[Maintenance]]="yes",IF(OR(Table1[[#This Row],[Start Contract]]="",Table1[[#This Row],[Duration Month2]]=""),"",EDATE(Table1[[#This Row],[Start Contract]],Table1[[#This Row],[Duration Month2]])),"-")</f>
        <v>50375</v>
      </c>
      <c r="X61" s="115">
        <f>IF(OR((W61=""),(W61="-")),"",YEAR(Table1[[#This Row],[End Contract]]))</f>
        <v>2037</v>
      </c>
      <c r="Y61" s="54" t="str">
        <f ca="1">IF(Table1[[#This Row],[Maintenance]]="yes",IF(Table1[[#This Row],[End Contract]]="","no",IF(TODAY()&lt;=Table1[[#This Row],[End Contract]],"yes","no")),"no")</f>
        <v>yes</v>
      </c>
      <c r="Z61" s="54"/>
      <c r="AA61" s="277" t="s">
        <v>178</v>
      </c>
      <c r="AB61" s="276" t="s">
        <v>1406</v>
      </c>
    </row>
    <row r="62" spans="1:28" x14ac:dyDescent="0.3">
      <c r="A62" s="50">
        <v>58</v>
      </c>
      <c r="B62" s="50" t="s">
        <v>378</v>
      </c>
      <c r="C62" s="50"/>
      <c r="D62" s="75"/>
      <c r="E62" s="81"/>
      <c r="F62" s="81"/>
      <c r="G62" s="81"/>
      <c r="H62" s="81"/>
      <c r="I62" s="81" t="s">
        <v>11</v>
      </c>
      <c r="J62" s="75" t="s">
        <v>52</v>
      </c>
      <c r="K62" s="81"/>
      <c r="L62" s="81">
        <f>Table1[[#This Row],[Duration]]*12</f>
        <v>0</v>
      </c>
      <c r="M62" s="82"/>
      <c r="N62" s="46" t="str">
        <f>IF(AND(Table1[[#This Row],[ Type of Contract]]="ESCO",Table1[[#This Row],[Status Detail]]="ACTIVE"),"yes","no")</f>
        <v>no</v>
      </c>
      <c r="O62" s="46"/>
      <c r="P62" s="46"/>
      <c r="Q62" s="76"/>
      <c r="R62" s="49" t="s">
        <v>14</v>
      </c>
      <c r="S62" s="49"/>
      <c r="T62" s="49"/>
      <c r="U62" s="49"/>
      <c r="V62" s="49"/>
      <c r="W62" s="119" t="str">
        <f>IF(Table1[[#This Row],[Maintenance]]="yes",IF(OR(Table1[[#This Row],[Start Contract]]="",Table1[[#This Row],[Duration Month2]]=""),"",EDATE(Table1[[#This Row],[Start Contract]],Table1[[#This Row],[Duration Month2]])),"-")</f>
        <v>-</v>
      </c>
      <c r="X62" s="115" t="str">
        <f>IF(OR((W62=""),(W62="-")),"",YEAR(Table1[[#This Row],[End Contract]]))</f>
        <v/>
      </c>
      <c r="Y62" s="54" t="str">
        <f ca="1">IF(Table1[[#This Row],[Maintenance]]="yes",IF(Table1[[#This Row],[End Contract]]="","no",IF(TODAY()&lt;=Table1[[#This Row],[End Contract]],"yes","no")),"no")</f>
        <v>no</v>
      </c>
      <c r="Z62" s="54"/>
      <c r="AA62" s="54"/>
      <c r="AB62" s="54"/>
    </row>
    <row r="63" spans="1:28" x14ac:dyDescent="0.3">
      <c r="A63" s="48">
        <v>59</v>
      </c>
      <c r="B63" s="48" t="s">
        <v>379</v>
      </c>
      <c r="C63" s="50" t="s">
        <v>380</v>
      </c>
      <c r="D63" s="75">
        <v>506252914</v>
      </c>
      <c r="E63" s="75" t="s">
        <v>381</v>
      </c>
      <c r="F63" s="75" t="s">
        <v>9</v>
      </c>
      <c r="G63" s="75">
        <v>30</v>
      </c>
      <c r="H63" s="75">
        <v>16.399999999999999</v>
      </c>
      <c r="I63" s="75" t="s">
        <v>8</v>
      </c>
      <c r="J63" s="75" t="s">
        <v>76</v>
      </c>
      <c r="K63" s="75">
        <v>0</v>
      </c>
      <c r="L63" s="75">
        <f>Table1[[#This Row],[Duration]]*12</f>
        <v>0</v>
      </c>
      <c r="M63" s="76" t="s">
        <v>178</v>
      </c>
      <c r="N63" s="46" t="str">
        <f>IF(AND(Table1[[#This Row],[ Type of Contract]]="ESCO",Table1[[#This Row],[Status Detail]]="ACTIVE"),"yes","no")</f>
        <v>no</v>
      </c>
      <c r="O63" s="46" t="s">
        <v>53</v>
      </c>
      <c r="P63" s="46" t="s">
        <v>61</v>
      </c>
      <c r="Q63" s="76" t="s">
        <v>79</v>
      </c>
      <c r="R63" s="80" t="s">
        <v>7</v>
      </c>
      <c r="S63" s="49" t="s">
        <v>382</v>
      </c>
      <c r="T63" s="49" t="s">
        <v>70</v>
      </c>
      <c r="U63" s="49"/>
      <c r="V63" s="49"/>
      <c r="W63" s="119" t="str">
        <f>IF(Table1[[#This Row],[Maintenance]]="yes",IF(OR(Table1[[#This Row],[Start Contract]]="",Table1[[#This Row],[Duration Month2]]=""),"",EDATE(Table1[[#This Row],[Start Contract]],Table1[[#This Row],[Duration Month2]])),"-")</f>
        <v>-</v>
      </c>
      <c r="X63" s="115" t="str">
        <f>IF(OR((W63=""),(W63="-")),"",YEAR(Table1[[#This Row],[End Contract]]))</f>
        <v/>
      </c>
      <c r="Y63" s="54" t="str">
        <f ca="1">IF(Table1[[#This Row],[Maintenance]]="yes",IF(Table1[[#This Row],[End Contract]]="","no",IF(TODAY()&lt;=Table1[[#This Row],[End Contract]],"yes","no")),"no")</f>
        <v>no</v>
      </c>
      <c r="Z63" s="54"/>
      <c r="AA63" s="54"/>
      <c r="AB63" s="54"/>
    </row>
    <row r="64" spans="1:28" x14ac:dyDescent="0.3">
      <c r="A64" s="50">
        <v>60</v>
      </c>
      <c r="B64" s="48" t="s">
        <v>383</v>
      </c>
      <c r="C64" s="50" t="s">
        <v>380</v>
      </c>
      <c r="D64" s="75">
        <v>506252914</v>
      </c>
      <c r="E64" s="75" t="s">
        <v>381</v>
      </c>
      <c r="F64" s="75" t="s">
        <v>9</v>
      </c>
      <c r="G64" s="75">
        <v>56</v>
      </c>
      <c r="H64" s="81">
        <v>30.5</v>
      </c>
      <c r="I64" s="75" t="s">
        <v>8</v>
      </c>
      <c r="J64" s="75" t="s">
        <v>76</v>
      </c>
      <c r="K64" s="81">
        <v>0</v>
      </c>
      <c r="L64" s="81">
        <f>Table1[[#This Row],[Duration]]*12</f>
        <v>0</v>
      </c>
      <c r="M64" s="82" t="s">
        <v>178</v>
      </c>
      <c r="N64" s="46" t="str">
        <f>IF(AND(Table1[[#This Row],[ Type of Contract]]="ESCO",Table1[[#This Row],[Status Detail]]="ACTIVE"),"yes","no")</f>
        <v>no</v>
      </c>
      <c r="O64" s="46" t="s">
        <v>53</v>
      </c>
      <c r="P64" s="46" t="s">
        <v>61</v>
      </c>
      <c r="Q64" s="76" t="s">
        <v>79</v>
      </c>
      <c r="R64" s="49" t="s">
        <v>7</v>
      </c>
      <c r="S64" s="49" t="s">
        <v>382</v>
      </c>
      <c r="T64" s="49" t="s">
        <v>70</v>
      </c>
      <c r="U64" s="49"/>
      <c r="V64" s="49"/>
      <c r="W64" s="119" t="str">
        <f>IF(Table1[[#This Row],[Maintenance]]="yes",IF(OR(Table1[[#This Row],[Start Contract]]="",Table1[[#This Row],[Duration Month2]]=""),"",EDATE(Table1[[#This Row],[Start Contract]],Table1[[#This Row],[Duration Month2]])),"-")</f>
        <v>-</v>
      </c>
      <c r="X64" s="115" t="str">
        <f>IF(OR((W64=""),(W64="-")),"",YEAR(Table1[[#This Row],[End Contract]]))</f>
        <v/>
      </c>
      <c r="Y64" s="54" t="str">
        <f ca="1">IF(Table1[[#This Row],[Maintenance]]="yes",IF(Table1[[#This Row],[End Contract]]="","no",IF(TODAY()&lt;=Table1[[#This Row],[End Contract]],"yes","no")),"no")</f>
        <v>no</v>
      </c>
      <c r="Z64" s="54"/>
      <c r="AA64" s="54"/>
      <c r="AB64" s="54"/>
    </row>
    <row r="65" spans="1:28" x14ac:dyDescent="0.3">
      <c r="A65" s="48">
        <v>61</v>
      </c>
      <c r="B65" s="48" t="s">
        <v>384</v>
      </c>
      <c r="C65" s="50" t="s">
        <v>385</v>
      </c>
      <c r="D65" s="75">
        <v>510808212</v>
      </c>
      <c r="E65" s="75" t="s">
        <v>386</v>
      </c>
      <c r="F65" s="75"/>
      <c r="G65" s="75">
        <v>182</v>
      </c>
      <c r="H65" s="75">
        <v>81.900000000000006</v>
      </c>
      <c r="I65" s="75" t="s">
        <v>11</v>
      </c>
      <c r="J65" s="75" t="s">
        <v>52</v>
      </c>
      <c r="K65" s="75">
        <v>15</v>
      </c>
      <c r="L65" s="81">
        <f>Table1[[#This Row],[Duration]]*12</f>
        <v>180</v>
      </c>
      <c r="M65" s="76"/>
      <c r="N65" s="46" t="str">
        <f>IF(AND(Table1[[#This Row],[ Type of Contract]]="ESCO",Table1[[#This Row],[Status Detail]]="ACTIVE"),"yes","no")</f>
        <v>no</v>
      </c>
      <c r="O65" s="46"/>
      <c r="P65" s="46"/>
      <c r="Q65" s="76"/>
      <c r="R65" s="80" t="s">
        <v>10</v>
      </c>
      <c r="S65" s="49" t="s">
        <v>387</v>
      </c>
      <c r="T65" s="49" t="s">
        <v>70</v>
      </c>
      <c r="U65" s="49" t="s">
        <v>388</v>
      </c>
      <c r="V65" s="49" t="s">
        <v>371</v>
      </c>
      <c r="W65" s="119" t="str">
        <f>IF(Table1[[#This Row],[Maintenance]]="yes",IF(OR(Table1[[#This Row],[Start Contract]]="",Table1[[#This Row],[Duration Month2]]=""),"",EDATE(Table1[[#This Row],[Start Contract]],Table1[[#This Row],[Duration Month2]])),"-")</f>
        <v>-</v>
      </c>
      <c r="X65" s="115" t="str">
        <f>IF(OR((W65=""),(W65="-")),"",YEAR(Table1[[#This Row],[End Contract]]))</f>
        <v/>
      </c>
      <c r="Y65" s="54" t="str">
        <f ca="1">IF(Table1[[#This Row],[Maintenance]]="yes",IF(Table1[[#This Row],[End Contract]]="","no",IF(TODAY()&lt;=Table1[[#This Row],[End Contract]],"yes","no")),"no")</f>
        <v>no</v>
      </c>
      <c r="Z65" s="54"/>
      <c r="AA65" s="54"/>
      <c r="AB65" s="54"/>
    </row>
    <row r="66" spans="1:28" ht="27.6" customHeight="1" x14ac:dyDescent="0.3">
      <c r="A66" s="50">
        <v>62</v>
      </c>
      <c r="B66" s="48" t="s">
        <v>389</v>
      </c>
      <c r="C66" s="50" t="s">
        <v>390</v>
      </c>
      <c r="D66" s="75">
        <v>501137092</v>
      </c>
      <c r="E66" s="81" t="s">
        <v>391</v>
      </c>
      <c r="F66" s="81" t="s">
        <v>392</v>
      </c>
      <c r="G66" s="81">
        <v>54</v>
      </c>
      <c r="H66" s="81">
        <v>29.43</v>
      </c>
      <c r="I66" s="81" t="s">
        <v>11</v>
      </c>
      <c r="J66" s="75" t="s">
        <v>52</v>
      </c>
      <c r="K66" s="81">
        <v>15</v>
      </c>
      <c r="L66" s="81">
        <f>Table1[[#This Row],[Duration]]*12</f>
        <v>180</v>
      </c>
      <c r="M66" s="82">
        <v>44927</v>
      </c>
      <c r="N66" s="46" t="str">
        <f>IF(AND(Table1[[#This Row],[ Type of Contract]]="ESCO",Table1[[#This Row],[Status Detail]]="ACTIVE"),"yes","no")</f>
        <v>yes</v>
      </c>
      <c r="O66" s="46" t="s">
        <v>53</v>
      </c>
      <c r="P66" s="46" t="s">
        <v>393</v>
      </c>
      <c r="Q66" s="76"/>
      <c r="R66" s="49" t="s">
        <v>7</v>
      </c>
      <c r="S66" s="49" t="s">
        <v>394</v>
      </c>
      <c r="T66" s="49" t="s">
        <v>395</v>
      </c>
      <c r="U66" s="151" t="s">
        <v>396</v>
      </c>
      <c r="V66" s="142" t="s">
        <v>397</v>
      </c>
      <c r="W66" s="119">
        <f>IF(Table1[[#This Row],[Maintenance]]="yes",IF(OR(Table1[[#This Row],[Start Contract]]="",Table1[[#This Row],[Duration Month2]]=""),"",EDATE(Table1[[#This Row],[Start Contract]],Table1[[#This Row],[Duration Month2]])),"-")</f>
        <v>50406</v>
      </c>
      <c r="X66" s="115">
        <f>IF(OR((W66=""),(W66="-")),"",YEAR(Table1[[#This Row],[End Contract]]))</f>
        <v>2038</v>
      </c>
      <c r="Y66" s="54" t="str">
        <f ca="1">IF(Table1[[#This Row],[Maintenance]]="yes",IF(Table1[[#This Row],[End Contract]]="","no",IF(TODAY()&lt;=Table1[[#This Row],[End Contract]],"yes","no")),"no")</f>
        <v>yes</v>
      </c>
      <c r="Z66" s="54"/>
      <c r="AA66" s="277" t="s">
        <v>178</v>
      </c>
      <c r="AB66" s="276" t="s">
        <v>1406</v>
      </c>
    </row>
    <row r="67" spans="1:28" x14ac:dyDescent="0.3">
      <c r="A67" s="48">
        <v>63</v>
      </c>
      <c r="B67" s="48" t="s">
        <v>398</v>
      </c>
      <c r="C67" s="50" t="s">
        <v>399</v>
      </c>
      <c r="D67" s="75">
        <v>502930942</v>
      </c>
      <c r="E67" s="75" t="s">
        <v>400</v>
      </c>
      <c r="F67" s="75" t="s">
        <v>401</v>
      </c>
      <c r="G67" s="75">
        <v>124</v>
      </c>
      <c r="H67" s="75">
        <v>67.58</v>
      </c>
      <c r="I67" s="81" t="s">
        <v>11</v>
      </c>
      <c r="J67" s="75" t="s">
        <v>52</v>
      </c>
      <c r="K67" s="75">
        <v>15</v>
      </c>
      <c r="L67" s="75">
        <f>Table1[[#This Row],[Duration]]*12</f>
        <v>180</v>
      </c>
      <c r="M67" s="76">
        <v>45017</v>
      </c>
      <c r="N67" s="46" t="str">
        <f>IF(AND(Table1[[#This Row],[ Type of Contract]]="ESCO",Table1[[#This Row],[Status Detail]]="ACTIVE"),"yes","no")</f>
        <v>yes</v>
      </c>
      <c r="O67" s="46" t="s">
        <v>53</v>
      </c>
      <c r="P67" s="46" t="s">
        <v>61</v>
      </c>
      <c r="Q67" s="76"/>
      <c r="R67" s="80" t="s">
        <v>7</v>
      </c>
      <c r="S67" s="49" t="s">
        <v>402</v>
      </c>
      <c r="T67" s="49" t="s">
        <v>70</v>
      </c>
      <c r="U67" s="141" t="s">
        <v>403</v>
      </c>
      <c r="V67" s="141">
        <v>967139306</v>
      </c>
      <c r="W67" s="119">
        <f>IF(Table1[[#This Row],[Maintenance]]="yes",IF(OR(Table1[[#This Row],[Start Contract]]="",Table1[[#This Row],[Duration Month2]]=""),"",EDATE(Table1[[#This Row],[Start Contract]],Table1[[#This Row],[Duration Month2]])),"-")</f>
        <v>50496</v>
      </c>
      <c r="X67" s="115">
        <f>IF(OR((W67=""),(W67="-")),"",YEAR(Table1[[#This Row],[End Contract]]))</f>
        <v>2038</v>
      </c>
      <c r="Y67" s="54" t="str">
        <f ca="1">IF(Table1[[#This Row],[Maintenance]]="yes",IF(Table1[[#This Row],[End Contract]]="","no",IF(TODAY()&lt;=Table1[[#This Row],[End Contract]],"yes","no")),"no")</f>
        <v>yes</v>
      </c>
      <c r="Z67" s="54"/>
      <c r="AA67" s="277" t="s">
        <v>178</v>
      </c>
      <c r="AB67" s="276" t="s">
        <v>1406</v>
      </c>
    </row>
    <row r="68" spans="1:28" x14ac:dyDescent="0.3">
      <c r="A68" s="50">
        <v>64</v>
      </c>
      <c r="B68" s="48" t="s">
        <v>404</v>
      </c>
      <c r="C68" s="50" t="s">
        <v>405</v>
      </c>
      <c r="D68" s="75">
        <v>509090990</v>
      </c>
      <c r="E68" s="81" t="s">
        <v>406</v>
      </c>
      <c r="F68" s="81" t="s">
        <v>407</v>
      </c>
      <c r="G68" s="81">
        <v>160</v>
      </c>
      <c r="H68" s="81">
        <v>72</v>
      </c>
      <c r="I68" s="81" t="s">
        <v>11</v>
      </c>
      <c r="J68" s="75" t="s">
        <v>52</v>
      </c>
      <c r="K68" s="81">
        <v>10</v>
      </c>
      <c r="L68" s="81">
        <f>Table1[[#This Row],[Duration]]*12</f>
        <v>120</v>
      </c>
      <c r="M68" s="82">
        <v>44896</v>
      </c>
      <c r="N68" s="46" t="str">
        <f>IF(AND(Table1[[#This Row],[ Type of Contract]]="ESCO",Table1[[#This Row],[Status Detail]]="ACTIVE"),"yes","no")</f>
        <v>yes</v>
      </c>
      <c r="O68" s="46" t="s">
        <v>53</v>
      </c>
      <c r="P68" s="46" t="s">
        <v>61</v>
      </c>
      <c r="Q68" s="76"/>
      <c r="R68" s="49" t="s">
        <v>7</v>
      </c>
      <c r="S68" s="49" t="s">
        <v>408</v>
      </c>
      <c r="T68" s="49" t="s">
        <v>70</v>
      </c>
      <c r="U68" s="141" t="s">
        <v>409</v>
      </c>
      <c r="V68" s="141">
        <v>936174154</v>
      </c>
      <c r="W68" s="119">
        <f>IF(Table1[[#This Row],[Maintenance]]="yes",IF(OR(Table1[[#This Row],[Start Contract]]="",Table1[[#This Row],[Duration Month2]]=""),"",EDATE(Table1[[#This Row],[Start Contract]],Table1[[#This Row],[Duration Month2]])),"-")</f>
        <v>48549</v>
      </c>
      <c r="X68" s="115">
        <f>IF(OR((W68=""),(W68="-")),"",YEAR(Table1[[#This Row],[End Contract]]))</f>
        <v>2032</v>
      </c>
      <c r="Y68" s="54" t="str">
        <f ca="1">IF(Table1[[#This Row],[Maintenance]]="yes",IF(Table1[[#This Row],[End Contract]]="","no",IF(TODAY()&lt;=Table1[[#This Row],[End Contract]],"yes","no")),"no")</f>
        <v>yes</v>
      </c>
      <c r="Z68" s="54"/>
      <c r="AA68" s="277" t="s">
        <v>178</v>
      </c>
      <c r="AB68" s="276" t="s">
        <v>1406</v>
      </c>
    </row>
    <row r="69" spans="1:28" x14ac:dyDescent="0.3">
      <c r="A69" s="48">
        <v>65</v>
      </c>
      <c r="B69" s="48" t="s">
        <v>410</v>
      </c>
      <c r="C69" s="50" t="s">
        <v>411</v>
      </c>
      <c r="D69" s="75">
        <v>502680296</v>
      </c>
      <c r="E69" s="75" t="s">
        <v>412</v>
      </c>
      <c r="F69" s="75" t="s">
        <v>16</v>
      </c>
      <c r="G69" s="75">
        <v>306</v>
      </c>
      <c r="H69" s="75">
        <v>137.69999999999999</v>
      </c>
      <c r="I69" s="81" t="s">
        <v>11</v>
      </c>
      <c r="J69" s="75" t="s">
        <v>52</v>
      </c>
      <c r="K69" s="75">
        <v>20</v>
      </c>
      <c r="L69" s="75">
        <f>Table1[[#This Row],[Duration]]*12</f>
        <v>240</v>
      </c>
      <c r="M69" s="76">
        <v>45108</v>
      </c>
      <c r="N69" s="46" t="str">
        <f>IF(AND(Table1[[#This Row],[ Type of Contract]]="ESCO",Table1[[#This Row],[Status Detail]]="ACTIVE"),"yes","no")</f>
        <v>yes</v>
      </c>
      <c r="O69" s="46" t="s">
        <v>413</v>
      </c>
      <c r="P69" s="46" t="s">
        <v>61</v>
      </c>
      <c r="Q69" s="76"/>
      <c r="R69" s="80" t="s">
        <v>7</v>
      </c>
      <c r="S69" s="49" t="s">
        <v>414</v>
      </c>
      <c r="T69" s="49" t="s">
        <v>415</v>
      </c>
      <c r="U69" s="149" t="s">
        <v>416</v>
      </c>
      <c r="V69" s="141">
        <v>914731811</v>
      </c>
      <c r="W69" s="119">
        <f>IF(Table1[[#This Row],[Maintenance]]="yes",IF(OR(Table1[[#This Row],[Start Contract]]="",Table1[[#This Row],[Duration Month2]]=""),"",EDATE(Table1[[#This Row],[Start Contract]],Table1[[#This Row],[Duration Month2]])),"-")</f>
        <v>52413</v>
      </c>
      <c r="X69" s="115">
        <f>IF(OR((W69=""),(W69="-")),"",YEAR(Table1[[#This Row],[End Contract]]))</f>
        <v>2043</v>
      </c>
      <c r="Y69" s="54" t="str">
        <f ca="1">IF(Table1[[#This Row],[Maintenance]]="yes",IF(Table1[[#This Row],[End Contract]]="","no",IF(TODAY()&lt;=Table1[[#This Row],[End Contract]],"yes","no")),"no")</f>
        <v>yes</v>
      </c>
      <c r="Z69" s="54"/>
      <c r="AA69" s="277" t="s">
        <v>178</v>
      </c>
      <c r="AB69" s="276" t="s">
        <v>1406</v>
      </c>
    </row>
    <row r="70" spans="1:28" x14ac:dyDescent="0.3">
      <c r="A70" s="50">
        <v>66</v>
      </c>
      <c r="B70" s="50" t="s">
        <v>417</v>
      </c>
      <c r="C70" s="50" t="s">
        <v>418</v>
      </c>
      <c r="D70" s="75">
        <v>502295147</v>
      </c>
      <c r="E70" s="81" t="s">
        <v>419</v>
      </c>
      <c r="F70" s="81"/>
      <c r="G70" s="81"/>
      <c r="H70" s="81">
        <v>441.5</v>
      </c>
      <c r="I70" s="81" t="s">
        <v>11</v>
      </c>
      <c r="J70" s="75" t="s">
        <v>52</v>
      </c>
      <c r="K70" s="81">
        <v>10</v>
      </c>
      <c r="L70" s="81">
        <f>Table1[[#This Row],[Duration]]*12</f>
        <v>120</v>
      </c>
      <c r="M70" s="82"/>
      <c r="N70" s="46" t="str">
        <f>IF(AND(Table1[[#This Row],[ Type of Contract]]="ESCO",Table1[[#This Row],[Status Detail]]="ACTIVE"),"yes","no")</f>
        <v>no</v>
      </c>
      <c r="O70" s="46"/>
      <c r="P70" s="46"/>
      <c r="Q70" s="76"/>
      <c r="R70" s="49" t="s">
        <v>14</v>
      </c>
      <c r="S70" s="49" t="s">
        <v>420</v>
      </c>
      <c r="T70" s="49" t="s">
        <v>421</v>
      </c>
      <c r="U70" s="49" t="s">
        <v>422</v>
      </c>
      <c r="V70" s="49"/>
      <c r="W70" s="119" t="str">
        <f>IF(Table1[[#This Row],[Maintenance]]="yes",IF(OR(Table1[[#This Row],[Start Contract]]="",Table1[[#This Row],[Duration Month2]]=""),"",EDATE(Table1[[#This Row],[Start Contract]],Table1[[#This Row],[Duration Month2]])),"-")</f>
        <v>-</v>
      </c>
      <c r="X70" s="115" t="str">
        <f>IF(OR((W70=""),(W70="-")),"",YEAR(Table1[[#This Row],[End Contract]]))</f>
        <v/>
      </c>
      <c r="Y70" s="54" t="str">
        <f ca="1">IF(Table1[[#This Row],[Maintenance]]="yes",IF(Table1[[#This Row],[End Contract]]="","no",IF(TODAY()&lt;=Table1[[#This Row],[End Contract]],"yes","no")),"no")</f>
        <v>no</v>
      </c>
      <c r="Z70" s="54"/>
      <c r="AA70" s="54"/>
      <c r="AB70" s="54"/>
    </row>
    <row r="71" spans="1:28" x14ac:dyDescent="0.3">
      <c r="A71" s="48">
        <v>67</v>
      </c>
      <c r="B71" s="50" t="s">
        <v>423</v>
      </c>
      <c r="C71" s="50" t="s">
        <v>424</v>
      </c>
      <c r="D71" s="75">
        <v>501493603</v>
      </c>
      <c r="E71" s="75" t="s">
        <v>425</v>
      </c>
      <c r="F71" s="75" t="s">
        <v>16</v>
      </c>
      <c r="G71" s="75">
        <v>225</v>
      </c>
      <c r="H71" s="75">
        <v>101.25</v>
      </c>
      <c r="I71" s="81" t="s">
        <v>11</v>
      </c>
      <c r="J71" s="75" t="s">
        <v>52</v>
      </c>
      <c r="K71" s="75">
        <v>15</v>
      </c>
      <c r="L71" s="75">
        <f>Table1[[#This Row],[Duration]]*12</f>
        <v>180</v>
      </c>
      <c r="M71" s="76">
        <v>44958</v>
      </c>
      <c r="N71" s="46" t="str">
        <f>IF(AND(Table1[[#This Row],[ Type of Contract]]="ESCO",Table1[[#This Row],[Status Detail]]="ACTIVE"),"yes","no")</f>
        <v>yes</v>
      </c>
      <c r="O71" s="46" t="s">
        <v>53</v>
      </c>
      <c r="P71" s="46" t="s">
        <v>61</v>
      </c>
      <c r="Q71" s="76"/>
      <c r="R71" s="80" t="s">
        <v>7</v>
      </c>
      <c r="S71" s="49" t="s">
        <v>426</v>
      </c>
      <c r="T71" s="49" t="s">
        <v>70</v>
      </c>
      <c r="U71" s="141" t="s">
        <v>427</v>
      </c>
      <c r="V71" s="141">
        <v>914330176</v>
      </c>
      <c r="W71" s="119">
        <f>IF(Table1[[#This Row],[Maintenance]]="yes",IF(OR(Table1[[#This Row],[Start Contract]]="",Table1[[#This Row],[Duration Month2]]=""),"",EDATE(Table1[[#This Row],[Start Contract]],Table1[[#This Row],[Duration Month2]])),"-")</f>
        <v>50437</v>
      </c>
      <c r="X71" s="115">
        <f>IF(OR((W71=""),(W71="-")),"",YEAR(Table1[[#This Row],[End Contract]]))</f>
        <v>2038</v>
      </c>
      <c r="Y71" s="54" t="str">
        <f ca="1">IF(Table1[[#This Row],[Maintenance]]="yes",IF(Table1[[#This Row],[End Contract]]="","no",IF(TODAY()&lt;=Table1[[#This Row],[End Contract]],"yes","no")),"no")</f>
        <v>yes</v>
      </c>
      <c r="Z71" s="54"/>
      <c r="AA71" s="277" t="s">
        <v>178</v>
      </c>
      <c r="AB71" s="276" t="s">
        <v>1406</v>
      </c>
    </row>
    <row r="72" spans="1:28" ht="41.4" customHeight="1" x14ac:dyDescent="0.3">
      <c r="A72" s="50">
        <v>68</v>
      </c>
      <c r="B72" s="50" t="s">
        <v>428</v>
      </c>
      <c r="C72" s="50" t="s">
        <v>428</v>
      </c>
      <c r="D72" s="75">
        <v>501084819</v>
      </c>
      <c r="E72" s="81" t="s">
        <v>429</v>
      </c>
      <c r="F72" s="81" t="s">
        <v>430</v>
      </c>
      <c r="G72" s="81">
        <v>112</v>
      </c>
      <c r="H72" s="81">
        <v>61.4</v>
      </c>
      <c r="I72" s="81" t="s">
        <v>11</v>
      </c>
      <c r="J72" s="75" t="s">
        <v>52</v>
      </c>
      <c r="K72" s="81">
        <v>10</v>
      </c>
      <c r="L72" s="81">
        <f>Table1[[#This Row],[Duration]]*12</f>
        <v>120</v>
      </c>
      <c r="M72" s="82">
        <v>45108</v>
      </c>
      <c r="N72" s="46" t="str">
        <f>IF(AND(Table1[[#This Row],[ Type of Contract]]="ESCO",Table1[[#This Row],[Status Detail]]="ACTIVE"),"yes","no")</f>
        <v>yes</v>
      </c>
      <c r="O72" s="46" t="s">
        <v>431</v>
      </c>
      <c r="P72" s="46" t="s">
        <v>432</v>
      </c>
      <c r="Q72" s="76"/>
      <c r="R72" s="49" t="s">
        <v>7</v>
      </c>
      <c r="S72" s="49" t="s">
        <v>433</v>
      </c>
      <c r="T72" s="49" t="s">
        <v>434</v>
      </c>
      <c r="U72" s="141" t="s">
        <v>435</v>
      </c>
      <c r="V72" s="142" t="s">
        <v>436</v>
      </c>
      <c r="W72" s="119">
        <f>IF(Table1[[#This Row],[Maintenance]]="yes",IF(OR(Table1[[#This Row],[Start Contract]]="",Table1[[#This Row],[Duration Month2]]=""),"",EDATE(Table1[[#This Row],[Start Contract]],Table1[[#This Row],[Duration Month2]])),"-")</f>
        <v>48761</v>
      </c>
      <c r="X72" s="115">
        <f>IF(OR((W72=""),(W72="-")),"",YEAR(Table1[[#This Row],[End Contract]]))</f>
        <v>2033</v>
      </c>
      <c r="Y72" s="54" t="str">
        <f ca="1">IF(Table1[[#This Row],[Maintenance]]="yes",IF(Table1[[#This Row],[End Contract]]="","no",IF(TODAY()&lt;=Table1[[#This Row],[End Contract]],"yes","no")),"no")</f>
        <v>yes</v>
      </c>
      <c r="Z72" s="54"/>
      <c r="AA72" s="277" t="s">
        <v>178</v>
      </c>
      <c r="AB72" s="276" t="s">
        <v>1406</v>
      </c>
    </row>
    <row r="73" spans="1:28" x14ac:dyDescent="0.3">
      <c r="A73" s="48">
        <v>69</v>
      </c>
      <c r="B73" s="50" t="s">
        <v>437</v>
      </c>
      <c r="C73" s="50" t="s">
        <v>438</v>
      </c>
      <c r="D73" s="75">
        <v>505248417</v>
      </c>
      <c r="E73" s="75" t="s">
        <v>439</v>
      </c>
      <c r="F73" s="75" t="s">
        <v>9</v>
      </c>
      <c r="G73" s="75">
        <v>94</v>
      </c>
      <c r="H73" s="75">
        <v>42.3</v>
      </c>
      <c r="I73" s="75" t="s">
        <v>8</v>
      </c>
      <c r="J73" s="75" t="s">
        <v>76</v>
      </c>
      <c r="K73" s="75"/>
      <c r="L73" s="75">
        <f>Table1[[#This Row],[Duration]]*12</f>
        <v>0</v>
      </c>
      <c r="M73" s="76" t="s">
        <v>178</v>
      </c>
      <c r="N73" s="46" t="str">
        <f>IF(AND(Table1[[#This Row],[ Type of Contract]]="ESCO",Table1[[#This Row],[Status Detail]]="ACTIVE"),"yes","no")</f>
        <v>no</v>
      </c>
      <c r="O73" s="46" t="s">
        <v>53</v>
      </c>
      <c r="P73" s="46" t="s">
        <v>61</v>
      </c>
      <c r="Q73" s="76" t="s">
        <v>79</v>
      </c>
      <c r="R73" s="80" t="s">
        <v>7</v>
      </c>
      <c r="S73" s="49" t="s">
        <v>440</v>
      </c>
      <c r="T73" s="49" t="s">
        <v>70</v>
      </c>
      <c r="U73" s="49"/>
      <c r="V73" s="49">
        <v>965352795</v>
      </c>
      <c r="W73" s="119" t="str">
        <f>IF(Table1[[#This Row],[Maintenance]]="yes",IF(OR(Table1[[#This Row],[Start Contract]]="",Table1[[#This Row],[Duration Month2]]=""),"",EDATE(Table1[[#This Row],[Start Contract]],Table1[[#This Row],[Duration Month2]])),"-")</f>
        <v>-</v>
      </c>
      <c r="X73" s="115" t="str">
        <f>IF(OR((W73=""),(W73="-")),"",YEAR(Table1[[#This Row],[End Contract]]))</f>
        <v/>
      </c>
      <c r="Y73" s="54" t="str">
        <f ca="1">IF(Table1[[#This Row],[Maintenance]]="yes",IF(Table1[[#This Row],[End Contract]]="","no",IF(TODAY()&lt;=Table1[[#This Row],[End Contract]],"yes","no")),"no")</f>
        <v>no</v>
      </c>
      <c r="Z73" s="54"/>
      <c r="AA73" s="54"/>
      <c r="AB73" s="54"/>
    </row>
    <row r="74" spans="1:28" x14ac:dyDescent="0.3">
      <c r="A74" s="50">
        <v>70</v>
      </c>
      <c r="B74" s="50" t="s">
        <v>441</v>
      </c>
      <c r="C74" s="50" t="s">
        <v>442</v>
      </c>
      <c r="D74" s="75">
        <v>510352855</v>
      </c>
      <c r="E74" s="81" t="s">
        <v>443</v>
      </c>
      <c r="F74" s="81" t="s">
        <v>375</v>
      </c>
      <c r="G74" s="81">
        <v>384</v>
      </c>
      <c r="H74" s="81">
        <v>172.8</v>
      </c>
      <c r="I74" s="81" t="s">
        <v>11</v>
      </c>
      <c r="J74" s="75" t="s">
        <v>52</v>
      </c>
      <c r="K74" s="81">
        <v>15</v>
      </c>
      <c r="L74" s="81">
        <f>Table1[[#This Row],[Duration]]*12</f>
        <v>180</v>
      </c>
      <c r="M74" s="82">
        <v>45108</v>
      </c>
      <c r="N74" s="46" t="str">
        <f>IF(AND(Table1[[#This Row],[ Type of Contract]]="ESCO",Table1[[#This Row],[Status Detail]]="ACTIVE"),"yes","no")</f>
        <v>yes</v>
      </c>
      <c r="O74" s="46" t="s">
        <v>53</v>
      </c>
      <c r="P74" s="46" t="s">
        <v>61</v>
      </c>
      <c r="Q74" s="76"/>
      <c r="R74" s="49" t="s">
        <v>7</v>
      </c>
      <c r="S74" s="49" t="s">
        <v>444</v>
      </c>
      <c r="T74" s="49" t="s">
        <v>70</v>
      </c>
      <c r="U74" s="141" t="s">
        <v>445</v>
      </c>
      <c r="V74" s="141">
        <v>966371326</v>
      </c>
      <c r="W74" s="119">
        <f>IF(Table1[[#This Row],[Maintenance]]="yes",IF(OR(Table1[[#This Row],[Start Contract]]="",Table1[[#This Row],[Duration Month2]]=""),"",EDATE(Table1[[#This Row],[Start Contract]],Table1[[#This Row],[Duration Month2]])),"-")</f>
        <v>50587</v>
      </c>
      <c r="X74" s="115">
        <f>IF(OR((W74=""),(W74="-")),"",YEAR(Table1[[#This Row],[End Contract]]))</f>
        <v>2038</v>
      </c>
      <c r="Y74" s="54" t="str">
        <f ca="1">IF(Table1[[#This Row],[Maintenance]]="yes",IF(Table1[[#This Row],[End Contract]]="","no",IF(TODAY()&lt;=Table1[[#This Row],[End Contract]],"yes","no")),"no")</f>
        <v>yes</v>
      </c>
      <c r="Z74" s="54"/>
      <c r="AA74" s="277" t="s">
        <v>178</v>
      </c>
      <c r="AB74" s="276" t="s">
        <v>1406</v>
      </c>
    </row>
    <row r="75" spans="1:28" ht="27.6" customHeight="1" x14ac:dyDescent="0.3">
      <c r="A75" s="48">
        <v>71</v>
      </c>
      <c r="B75" s="50" t="s">
        <v>446</v>
      </c>
      <c r="C75" s="50" t="s">
        <v>312</v>
      </c>
      <c r="D75" s="75">
        <v>502099666</v>
      </c>
      <c r="E75" s="75" t="s">
        <v>319</v>
      </c>
      <c r="F75" s="75" t="s">
        <v>12</v>
      </c>
      <c r="G75" s="90"/>
      <c r="H75" s="75">
        <v>30.1</v>
      </c>
      <c r="I75" s="75" t="s">
        <v>8</v>
      </c>
      <c r="J75" s="75" t="s">
        <v>76</v>
      </c>
      <c r="K75" s="75">
        <v>0</v>
      </c>
      <c r="L75" s="75">
        <f>Table1[[#This Row],[Duration]]*12</f>
        <v>0</v>
      </c>
      <c r="M75" s="76" t="s">
        <v>178</v>
      </c>
      <c r="N75" s="46" t="str">
        <f>IF(AND(Table1[[#This Row],[ Type of Contract]]="ESCO",Table1[[#This Row],[Status Detail]]="ACTIVE"),"yes","no")</f>
        <v>no</v>
      </c>
      <c r="O75" s="46" t="s">
        <v>53</v>
      </c>
      <c r="P75" s="46" t="s">
        <v>61</v>
      </c>
      <c r="Q75" s="76" t="s">
        <v>79</v>
      </c>
      <c r="R75" s="80" t="s">
        <v>7</v>
      </c>
      <c r="S75" s="49" t="s">
        <v>315</v>
      </c>
      <c r="T75" s="49" t="s">
        <v>447</v>
      </c>
      <c r="U75" s="49"/>
      <c r="V75" s="53" t="s">
        <v>317</v>
      </c>
      <c r="W75" s="119" t="str">
        <f>IF(Table1[[#This Row],[Maintenance]]="yes",IF(OR(Table1[[#This Row],[Start Contract]]="",Table1[[#This Row],[Duration Month2]]=""),"",EDATE(Table1[[#This Row],[Start Contract]],Table1[[#This Row],[Duration Month2]])),"-")</f>
        <v>-</v>
      </c>
      <c r="X75" s="115" t="str">
        <f>IF(OR((W75=""),(W75="-")),"",YEAR(Table1[[#This Row],[End Contract]]))</f>
        <v/>
      </c>
      <c r="Y75" s="54" t="str">
        <f ca="1">IF(Table1[[#This Row],[Maintenance]]="yes",IF(Table1[[#This Row],[End Contract]]="","no",IF(TODAY()&lt;=Table1[[#This Row],[End Contract]],"yes","no")),"no")</f>
        <v>no</v>
      </c>
      <c r="Z75" s="54"/>
      <c r="AA75" s="54"/>
      <c r="AB75" s="54"/>
    </row>
    <row r="76" spans="1:28" ht="27.6" customHeight="1" x14ac:dyDescent="0.3">
      <c r="A76" s="50">
        <v>71</v>
      </c>
      <c r="B76" s="50" t="s">
        <v>448</v>
      </c>
      <c r="C76" s="50" t="s">
        <v>312</v>
      </c>
      <c r="D76" s="75">
        <v>502099666</v>
      </c>
      <c r="E76" s="75" t="s">
        <v>313</v>
      </c>
      <c r="F76" s="75" t="s">
        <v>12</v>
      </c>
      <c r="G76" s="75">
        <v>66</v>
      </c>
      <c r="H76" s="81">
        <v>35.97</v>
      </c>
      <c r="I76" s="75" t="s">
        <v>8</v>
      </c>
      <c r="J76" s="75" t="s">
        <v>76</v>
      </c>
      <c r="K76" s="81">
        <v>0</v>
      </c>
      <c r="L76" s="81">
        <f>Table1[[#This Row],[Duration]]*12</f>
        <v>0</v>
      </c>
      <c r="M76" s="82" t="s">
        <v>178</v>
      </c>
      <c r="N76" s="46" t="str">
        <f>IF(AND(Table1[[#This Row],[ Type of Contract]]="ESCO",Table1[[#This Row],[Status Detail]]="ACTIVE"),"yes","no")</f>
        <v>no</v>
      </c>
      <c r="O76" s="46" t="s">
        <v>53</v>
      </c>
      <c r="P76" s="46" t="s">
        <v>61</v>
      </c>
      <c r="Q76" s="76" t="s">
        <v>79</v>
      </c>
      <c r="R76" s="80" t="s">
        <v>7</v>
      </c>
      <c r="S76" s="49" t="s">
        <v>315</v>
      </c>
      <c r="T76" s="49" t="s">
        <v>447</v>
      </c>
      <c r="U76" s="49"/>
      <c r="V76" s="53" t="s">
        <v>317</v>
      </c>
      <c r="W76" s="119" t="str">
        <f>IF(Table1[[#This Row],[Maintenance]]="yes",IF(OR(Table1[[#This Row],[Start Contract]]="",Table1[[#This Row],[Duration Month2]]=""),"",EDATE(Table1[[#This Row],[Start Contract]],Table1[[#This Row],[Duration Month2]])),"-")</f>
        <v>-</v>
      </c>
      <c r="X76" s="115" t="str">
        <f>IF(OR((W76=""),(W76="-")),"",YEAR(Table1[[#This Row],[End Contract]]))</f>
        <v/>
      </c>
      <c r="Y76" s="54" t="str">
        <f ca="1">IF(Table1[[#This Row],[Maintenance]]="yes",IF(Table1[[#This Row],[End Contract]]="","no",IF(TODAY()&lt;=Table1[[#This Row],[End Contract]],"yes","no")),"no")</f>
        <v>no</v>
      </c>
      <c r="Z76" s="54"/>
      <c r="AA76" s="54"/>
      <c r="AB76" s="54"/>
    </row>
    <row r="77" spans="1:28" ht="27.6" customHeight="1" x14ac:dyDescent="0.3">
      <c r="A77" s="91">
        <v>71</v>
      </c>
      <c r="B77" s="91" t="s">
        <v>449</v>
      </c>
      <c r="C77" s="91" t="s">
        <v>312</v>
      </c>
      <c r="D77" s="92">
        <v>502099666</v>
      </c>
      <c r="E77" s="92" t="s">
        <v>450</v>
      </c>
      <c r="F77" s="92" t="s">
        <v>12</v>
      </c>
      <c r="G77" s="92">
        <v>704</v>
      </c>
      <c r="H77" s="93" t="s">
        <v>451</v>
      </c>
      <c r="I77" s="92" t="s">
        <v>8</v>
      </c>
      <c r="J77" s="92" t="s">
        <v>76</v>
      </c>
      <c r="K77" s="93">
        <v>0</v>
      </c>
      <c r="L77" s="93">
        <f>Table1[[#This Row],[Duration]]*12</f>
        <v>0</v>
      </c>
      <c r="M77" s="94">
        <v>44958</v>
      </c>
      <c r="N77" s="95" t="str">
        <f>IF(AND(Table1[[#This Row],[ Type of Contract]]="ESCO",Table1[[#This Row],[Status Detail]]="ACTIVE"),"yes","no")</f>
        <v>no</v>
      </c>
      <c r="O77" s="95" t="s">
        <v>53</v>
      </c>
      <c r="P77" s="95" t="s">
        <v>61</v>
      </c>
      <c r="Q77" s="96" t="s">
        <v>79</v>
      </c>
      <c r="R77" s="55" t="s">
        <v>7</v>
      </c>
      <c r="S77" s="55" t="s">
        <v>315</v>
      </c>
      <c r="T77" s="55" t="s">
        <v>447</v>
      </c>
      <c r="U77" s="55"/>
      <c r="V77" s="97" t="s">
        <v>317</v>
      </c>
      <c r="W77" s="119" t="str">
        <f>IF(Table1[[#This Row],[Maintenance]]="yes",IF(OR(Table1[[#This Row],[Start Contract]]="",Table1[[#This Row],[Duration Month2]]=""),"",EDATE(Table1[[#This Row],[Start Contract]],Table1[[#This Row],[Duration Month2]])),"-")</f>
        <v>-</v>
      </c>
      <c r="X77" s="115" t="str">
        <f>IF(OR((W77=""),(W77="-")),"",YEAR(Table1[[#This Row],[End Contract]]))</f>
        <v/>
      </c>
      <c r="Y77" s="54" t="str">
        <f ca="1">IF(Table1[[#This Row],[Maintenance]]="yes",IF(Table1[[#This Row],[End Contract]]="","no",IF(TODAY()&lt;=Table1[[#This Row],[End Contract]],"yes","no")),"no")</f>
        <v>no</v>
      </c>
      <c r="Z77" s="54"/>
      <c r="AA77" s="54"/>
      <c r="AB77" s="54"/>
    </row>
    <row r="78" spans="1:28" x14ac:dyDescent="0.3">
      <c r="A78" s="50">
        <v>72</v>
      </c>
      <c r="B78" s="50" t="s">
        <v>452</v>
      </c>
      <c r="C78" s="50" t="s">
        <v>453</v>
      </c>
      <c r="D78" s="75">
        <v>502312254</v>
      </c>
      <c r="E78" s="81" t="s">
        <v>454</v>
      </c>
      <c r="F78" s="81" t="s">
        <v>455</v>
      </c>
      <c r="G78" s="81">
        <v>92</v>
      </c>
      <c r="H78" s="81">
        <v>50.6</v>
      </c>
      <c r="I78" s="81" t="s">
        <v>11</v>
      </c>
      <c r="J78" s="75" t="s">
        <v>456</v>
      </c>
      <c r="K78" s="81">
        <v>15</v>
      </c>
      <c r="L78" s="81">
        <f>Table1[[#This Row],[Duration]]*12</f>
        <v>180</v>
      </c>
      <c r="M78" s="82">
        <v>45078</v>
      </c>
      <c r="N78" s="46" t="str">
        <f>IF(AND(Table1[[#This Row],[ Type of Contract]]="ESCO",Table1[[#This Row],[Status Detail]]="ACTIVE"),"yes","no")</f>
        <v>yes</v>
      </c>
      <c r="O78" s="46" t="s">
        <v>207</v>
      </c>
      <c r="P78" s="46" t="s">
        <v>208</v>
      </c>
      <c r="Q78" s="76"/>
      <c r="R78" s="49" t="s">
        <v>7</v>
      </c>
      <c r="S78" s="49" t="s">
        <v>457</v>
      </c>
      <c r="T78" s="49" t="s">
        <v>458</v>
      </c>
      <c r="U78" s="151" t="s">
        <v>459</v>
      </c>
      <c r="V78" s="141">
        <v>933261098</v>
      </c>
      <c r="W78" s="119">
        <f>IF(Table1[[#This Row],[Maintenance]]="yes",IF(OR(Table1[[#This Row],[Start Contract]]="",Table1[[#This Row],[Duration Month2]]=""),"",EDATE(Table1[[#This Row],[Start Contract]],Table1[[#This Row],[Duration Month2]])),"-")</f>
        <v>50557</v>
      </c>
      <c r="X78" s="115">
        <f>IF(OR((W78=""),(W78="-")),"",YEAR(Table1[[#This Row],[End Contract]]))</f>
        <v>2038</v>
      </c>
      <c r="Y78" s="54" t="str">
        <f ca="1">IF(Table1[[#This Row],[Maintenance]]="yes",IF(Table1[[#This Row],[End Contract]]="","no",IF(TODAY()&lt;=Table1[[#This Row],[End Contract]],"yes","no")),"no")</f>
        <v>yes</v>
      </c>
      <c r="Z78" s="54"/>
      <c r="AA78" s="277">
        <v>7601.76</v>
      </c>
      <c r="AB78" s="54" t="s">
        <v>1409</v>
      </c>
    </row>
    <row r="79" spans="1:28" x14ac:dyDescent="0.3">
      <c r="A79" s="48">
        <v>73</v>
      </c>
      <c r="B79" s="50" t="s">
        <v>1421</v>
      </c>
      <c r="C79" s="50" t="s">
        <v>461</v>
      </c>
      <c r="D79" s="75">
        <v>500986894</v>
      </c>
      <c r="E79" s="75" t="s">
        <v>462</v>
      </c>
      <c r="F79" s="75" t="s">
        <v>51</v>
      </c>
      <c r="G79" s="75">
        <v>83</v>
      </c>
      <c r="H79" s="75">
        <v>40.67</v>
      </c>
      <c r="I79" s="81" t="s">
        <v>11</v>
      </c>
      <c r="J79" s="75" t="s">
        <v>456</v>
      </c>
      <c r="K79" s="75">
        <v>15</v>
      </c>
      <c r="L79" s="75">
        <f>Table1[[#This Row],[Duration]]*12</f>
        <v>180</v>
      </c>
      <c r="M79" s="76">
        <v>44986</v>
      </c>
      <c r="N79" s="46" t="str">
        <f>IF(AND(Table1[[#This Row],[ Type of Contract]]="ESCO",Table1[[#This Row],[Status Detail]]="ACTIVE"),"yes","no")</f>
        <v>yes</v>
      </c>
      <c r="O79" s="46" t="s">
        <v>94</v>
      </c>
      <c r="P79" s="46" t="s">
        <v>432</v>
      </c>
      <c r="Q79" s="76"/>
      <c r="R79" s="80" t="s">
        <v>7</v>
      </c>
      <c r="S79" s="49" t="s">
        <v>463</v>
      </c>
      <c r="T79" s="49" t="s">
        <v>464</v>
      </c>
      <c r="U79" s="144" t="s">
        <v>465</v>
      </c>
      <c r="V79" s="141">
        <v>965360258</v>
      </c>
      <c r="W79" s="119">
        <f>IF(Table1[[#This Row],[Maintenance]]="yes",IF(OR(Table1[[#This Row],[Start Contract]]="",Table1[[#This Row],[Duration Month2]]=""),"",EDATE(Table1[[#This Row],[Start Contract]],Table1[[#This Row],[Duration Month2]])),"-")</f>
        <v>50465</v>
      </c>
      <c r="X79" s="115">
        <f>IF(OR((W79=""),(W79="-")),"",YEAR(Table1[[#This Row],[End Contract]]))</f>
        <v>2038</v>
      </c>
      <c r="Y79" s="54" t="str">
        <f ca="1">IF(Table1[[#This Row],[Maintenance]]="yes",IF(Table1[[#This Row],[End Contract]]="","no",IF(TODAY()&lt;=Table1[[#This Row],[End Contract]],"yes","no")),"no")</f>
        <v>yes</v>
      </c>
      <c r="Z79" s="54"/>
      <c r="AA79" s="277">
        <v>5447.28</v>
      </c>
      <c r="AB79" s="54" t="s">
        <v>1409</v>
      </c>
    </row>
    <row r="80" spans="1:28" x14ac:dyDescent="0.3">
      <c r="A80" s="50">
        <v>74</v>
      </c>
      <c r="B80" s="50" t="s">
        <v>466</v>
      </c>
      <c r="C80" s="50" t="s">
        <v>467</v>
      </c>
      <c r="D80" s="75">
        <v>503071625</v>
      </c>
      <c r="E80" s="81" t="s">
        <v>468</v>
      </c>
      <c r="F80" s="81" t="s">
        <v>16</v>
      </c>
      <c r="G80" s="81">
        <v>104</v>
      </c>
      <c r="H80" s="81">
        <v>47.7</v>
      </c>
      <c r="I80" s="81" t="s">
        <v>15</v>
      </c>
      <c r="J80" s="75" t="s">
        <v>456</v>
      </c>
      <c r="K80" s="81">
        <v>15</v>
      </c>
      <c r="L80" s="81">
        <f>Table1[[#This Row],[Duration]]*12</f>
        <v>180</v>
      </c>
      <c r="M80" s="82">
        <v>45047</v>
      </c>
      <c r="N80" s="46" t="str">
        <f>IF(AND(Table1[[#This Row],[ Type of Contract]]="ESCO",Table1[[#This Row],[Status Detail]]="ACTIVE"),"yes","no")</f>
        <v>no</v>
      </c>
      <c r="O80" s="46" t="s">
        <v>94</v>
      </c>
      <c r="P80" s="46" t="s">
        <v>432</v>
      </c>
      <c r="Q80" s="76"/>
      <c r="R80" s="49" t="s">
        <v>7</v>
      </c>
      <c r="S80" s="49" t="s">
        <v>469</v>
      </c>
      <c r="T80" s="49" t="s">
        <v>257</v>
      </c>
      <c r="U80" s="144" t="s">
        <v>470</v>
      </c>
      <c r="V80" s="141">
        <v>236212072</v>
      </c>
      <c r="W80" s="119" t="str">
        <f>IF(Table1[[#This Row],[Maintenance]]="yes",IF(OR(Table1[[#This Row],[Start Contract]]="",Table1[[#This Row],[Duration Month2]]=""),"",EDATE(Table1[[#This Row],[Start Contract]],Table1[[#This Row],[Duration Month2]])),"-")</f>
        <v>-</v>
      </c>
      <c r="X80" s="115" t="str">
        <f>IF(OR((W80=""),(W80="-")),"",YEAR(Table1[[#This Row],[End Contract]]))</f>
        <v/>
      </c>
      <c r="Y80" s="54" t="str">
        <f ca="1">IF(Table1[[#This Row],[Maintenance]]="yes",IF(Table1[[#This Row],[End Contract]]="","no",IF(TODAY()&lt;=Table1[[#This Row],[End Contract]],"yes","no")),"no")</f>
        <v>no</v>
      </c>
      <c r="Z80" s="54"/>
      <c r="AA80" s="277">
        <v>5018.88</v>
      </c>
      <c r="AB80" s="54" t="s">
        <v>1409</v>
      </c>
    </row>
    <row r="81" spans="1:28" x14ac:dyDescent="0.3">
      <c r="A81" s="48">
        <v>75</v>
      </c>
      <c r="B81" s="50" t="s">
        <v>471</v>
      </c>
      <c r="C81" s="50" t="s">
        <v>472</v>
      </c>
      <c r="D81" s="75">
        <v>513003657</v>
      </c>
      <c r="E81" s="75" t="s">
        <v>473</v>
      </c>
      <c r="F81" s="75" t="s">
        <v>17</v>
      </c>
      <c r="G81" s="75">
        <v>78</v>
      </c>
      <c r="H81" s="75">
        <v>38.22</v>
      </c>
      <c r="I81" s="75" t="s">
        <v>8</v>
      </c>
      <c r="J81" s="75" t="s">
        <v>76</v>
      </c>
      <c r="K81" s="75">
        <v>0</v>
      </c>
      <c r="L81" s="75">
        <f>Table1[[#This Row],[Duration]]*12</f>
        <v>0</v>
      </c>
      <c r="M81" s="76">
        <v>45078</v>
      </c>
      <c r="N81" s="46" t="str">
        <f>IF(AND(Table1[[#This Row],[ Type of Contract]]="ESCO",Table1[[#This Row],[Status Detail]]="ACTIVE"),"yes","no")</f>
        <v>no</v>
      </c>
      <c r="O81" s="46" t="s">
        <v>431</v>
      </c>
      <c r="P81" s="46" t="s">
        <v>78</v>
      </c>
      <c r="Q81" s="76" t="s">
        <v>474</v>
      </c>
      <c r="R81" s="80" t="s">
        <v>7</v>
      </c>
      <c r="S81" s="122" t="s">
        <v>475</v>
      </c>
      <c r="T81" s="122"/>
      <c r="U81" s="54"/>
      <c r="V81" s="122">
        <v>968700937</v>
      </c>
      <c r="W81" s="119" t="str">
        <f>IF(Table1[[#This Row],[Maintenance]]="yes",IF(OR(Table1[[#This Row],[Start Contract]]="",Table1[[#This Row],[Duration Month2]]=""),"",EDATE(Table1[[#This Row],[Start Contract]],Table1[[#This Row],[Duration Month2]])),"-")</f>
        <v>-</v>
      </c>
      <c r="X81" s="115" t="str">
        <f>IF(OR((W81=""),(W81="-")),"",YEAR(Table1[[#This Row],[End Contract]]))</f>
        <v/>
      </c>
      <c r="Y81" s="54" t="str">
        <f ca="1">IF(Table1[[#This Row],[Maintenance]]="yes",IF(Table1[[#This Row],[End Contract]]="","no",IF(TODAY()&lt;=Table1[[#This Row],[End Contract]],"yes","no")),"no")</f>
        <v>no</v>
      </c>
      <c r="Z81" s="54"/>
      <c r="AA81" s="54"/>
      <c r="AB81" s="54"/>
    </row>
    <row r="82" spans="1:28" x14ac:dyDescent="0.3">
      <c r="A82" s="50">
        <v>76</v>
      </c>
      <c r="B82" s="50" t="s">
        <v>476</v>
      </c>
      <c r="C82" s="50" t="s">
        <v>477</v>
      </c>
      <c r="D82" s="75">
        <v>500876088</v>
      </c>
      <c r="E82" s="81" t="s">
        <v>478</v>
      </c>
      <c r="F82" s="81" t="s">
        <v>12</v>
      </c>
      <c r="G82" s="81">
        <v>182</v>
      </c>
      <c r="H82" s="81">
        <v>99</v>
      </c>
      <c r="I82" s="75" t="s">
        <v>8</v>
      </c>
      <c r="J82" s="75" t="s">
        <v>76</v>
      </c>
      <c r="K82" s="81">
        <v>0</v>
      </c>
      <c r="L82" s="81">
        <f>Table1[[#This Row],[Duration]]*12</f>
        <v>0</v>
      </c>
      <c r="M82" s="82">
        <v>45017</v>
      </c>
      <c r="N82" s="46" t="str">
        <f>IF(AND(Table1[[#This Row],[ Type of Contract]]="ESCO",Table1[[#This Row],[Status Detail]]="ACTIVE"),"yes","no")</f>
        <v>no</v>
      </c>
      <c r="O82" s="46" t="s">
        <v>479</v>
      </c>
      <c r="P82" s="46" t="s">
        <v>432</v>
      </c>
      <c r="Q82" s="76" t="s">
        <v>474</v>
      </c>
      <c r="R82" s="49" t="s">
        <v>7</v>
      </c>
      <c r="S82" s="125" t="s">
        <v>480</v>
      </c>
      <c r="T82" s="126"/>
      <c r="U82" s="54"/>
      <c r="V82" s="125" t="s">
        <v>481</v>
      </c>
      <c r="W82" s="119" t="str">
        <f>IF(Table1[[#This Row],[Maintenance]]="yes",IF(OR(Table1[[#This Row],[Start Contract]]="",Table1[[#This Row],[Duration Month2]]=""),"",EDATE(Table1[[#This Row],[Start Contract]],Table1[[#This Row],[Duration Month2]])),"-")</f>
        <v>-</v>
      </c>
      <c r="X82" s="115" t="str">
        <f>IF(OR((W82=""),(W82="-")),"",YEAR(Table1[[#This Row],[End Contract]]))</f>
        <v/>
      </c>
      <c r="Y82" s="54" t="str">
        <f ca="1">IF(Table1[[#This Row],[Maintenance]]="yes",IF(Table1[[#This Row],[End Contract]]="","no",IF(TODAY()&lt;=Table1[[#This Row],[End Contract]],"yes","no")),"no")</f>
        <v>no</v>
      </c>
      <c r="Z82" s="54"/>
      <c r="AA82" s="54"/>
      <c r="AB82" s="54"/>
    </row>
    <row r="83" spans="1:28" x14ac:dyDescent="0.3">
      <c r="A83" s="48">
        <v>77</v>
      </c>
      <c r="B83" s="50" t="s">
        <v>482</v>
      </c>
      <c r="C83" s="50" t="s">
        <v>477</v>
      </c>
      <c r="D83" s="75">
        <v>500876088</v>
      </c>
      <c r="E83" s="127" t="s">
        <v>483</v>
      </c>
      <c r="F83" s="75" t="s">
        <v>12</v>
      </c>
      <c r="G83" s="75">
        <v>250</v>
      </c>
      <c r="H83" s="75">
        <v>115</v>
      </c>
      <c r="I83" s="75" t="s">
        <v>8</v>
      </c>
      <c r="J83" s="75" t="s">
        <v>76</v>
      </c>
      <c r="K83" s="75">
        <v>0</v>
      </c>
      <c r="L83" s="75">
        <f>Table1[[#This Row],[Duration]]*12</f>
        <v>0</v>
      </c>
      <c r="M83" s="76">
        <v>45047</v>
      </c>
      <c r="N83" s="46" t="str">
        <f>IF(AND(Table1[[#This Row],[ Type of Contract]]="ESCO",Table1[[#This Row],[Status Detail]]="ACTIVE"),"yes","no")</f>
        <v>no</v>
      </c>
      <c r="O83" s="46" t="s">
        <v>94</v>
      </c>
      <c r="P83" s="46" t="s">
        <v>61</v>
      </c>
      <c r="Q83" s="76" t="s">
        <v>474</v>
      </c>
      <c r="R83" s="49" t="s">
        <v>7</v>
      </c>
      <c r="S83" s="125" t="s">
        <v>480</v>
      </c>
      <c r="T83" s="126"/>
      <c r="U83" s="54"/>
      <c r="V83" s="125" t="s">
        <v>481</v>
      </c>
      <c r="W83" s="119" t="str">
        <f>IF(Table1[[#This Row],[Maintenance]]="yes",IF(OR(Table1[[#This Row],[Start Contract]]="",Table1[[#This Row],[Duration Month2]]=""),"",EDATE(Table1[[#This Row],[Start Contract]],Table1[[#This Row],[Duration Month2]])),"-")</f>
        <v>-</v>
      </c>
      <c r="X83" s="115" t="str">
        <f>IF(OR((W83=""),(W83="-")),"",YEAR(Table1[[#This Row],[End Contract]]))</f>
        <v/>
      </c>
      <c r="Y83" s="54" t="str">
        <f ca="1">IF(Table1[[#This Row],[Maintenance]]="yes",IF(Table1[[#This Row],[End Contract]]="","no",IF(TODAY()&lt;=Table1[[#This Row],[End Contract]],"yes","no")),"no")</f>
        <v>no</v>
      </c>
      <c r="Z83" s="54"/>
      <c r="AA83" s="54"/>
      <c r="AB83" s="54"/>
    </row>
    <row r="84" spans="1:28" x14ac:dyDescent="0.3">
      <c r="A84" s="50">
        <v>78</v>
      </c>
      <c r="B84" s="50" t="s">
        <v>484</v>
      </c>
      <c r="C84" s="50" t="s">
        <v>477</v>
      </c>
      <c r="D84" s="75">
        <v>500876088</v>
      </c>
      <c r="E84" s="127" t="s">
        <v>485</v>
      </c>
      <c r="F84" s="81" t="s">
        <v>12</v>
      </c>
      <c r="G84" s="81">
        <v>100</v>
      </c>
      <c r="H84" s="81">
        <v>49</v>
      </c>
      <c r="I84" s="75" t="s">
        <v>8</v>
      </c>
      <c r="J84" s="75" t="s">
        <v>76</v>
      </c>
      <c r="K84" s="81">
        <v>0</v>
      </c>
      <c r="L84" s="81">
        <f>Table1[[#This Row],[Duration]]*12</f>
        <v>0</v>
      </c>
      <c r="M84" s="82">
        <v>44986</v>
      </c>
      <c r="N84" s="46" t="str">
        <f>IF(AND(Table1[[#This Row],[ Type of Contract]]="ESCO",Table1[[#This Row],[Status Detail]]="ACTIVE"),"yes","no")</f>
        <v>no</v>
      </c>
      <c r="O84" s="46" t="s">
        <v>431</v>
      </c>
      <c r="P84" s="46" t="s">
        <v>432</v>
      </c>
      <c r="Q84" s="76" t="s">
        <v>474</v>
      </c>
      <c r="R84" s="49" t="s">
        <v>7</v>
      </c>
      <c r="S84" s="122" t="s">
        <v>486</v>
      </c>
      <c r="T84" s="122"/>
      <c r="U84" s="54"/>
      <c r="V84" s="122" t="s">
        <v>487</v>
      </c>
      <c r="W84" s="119" t="str">
        <f>IF(Table1[[#This Row],[Maintenance]]="yes",IF(OR(Table1[[#This Row],[Start Contract]]="",Table1[[#This Row],[Duration Month2]]=""),"",EDATE(Table1[[#This Row],[Start Contract]],Table1[[#This Row],[Duration Month2]])),"-")</f>
        <v>-</v>
      </c>
      <c r="X84" s="115" t="str">
        <f>IF(OR((W84=""),(W84="-")),"",YEAR(Table1[[#This Row],[End Contract]]))</f>
        <v/>
      </c>
      <c r="Y84" s="54" t="str">
        <f ca="1">IF(Table1[[#This Row],[Maintenance]]="yes",IF(Table1[[#This Row],[End Contract]]="","no",IF(TODAY()&lt;=Table1[[#This Row],[End Contract]],"yes","no")),"no")</f>
        <v>no</v>
      </c>
      <c r="Z84" s="54"/>
      <c r="AA84" s="54"/>
      <c r="AB84" s="54"/>
    </row>
    <row r="85" spans="1:28" x14ac:dyDescent="0.3">
      <c r="A85" s="48">
        <v>79</v>
      </c>
      <c r="B85" s="50" t="s">
        <v>488</v>
      </c>
      <c r="C85" s="50" t="s">
        <v>489</v>
      </c>
      <c r="D85" s="75">
        <v>502570660</v>
      </c>
      <c r="E85" s="75" t="s">
        <v>490</v>
      </c>
      <c r="F85" s="75" t="s">
        <v>9</v>
      </c>
      <c r="G85" s="75">
        <v>150</v>
      </c>
      <c r="H85" s="75">
        <v>73.5</v>
      </c>
      <c r="I85" s="75" t="s">
        <v>11</v>
      </c>
      <c r="J85" s="75" t="s">
        <v>456</v>
      </c>
      <c r="K85" s="75">
        <v>15</v>
      </c>
      <c r="L85" s="75">
        <f>Table1[[#This Row],[Duration]]*12</f>
        <v>180</v>
      </c>
      <c r="M85" s="76">
        <v>44986</v>
      </c>
      <c r="N85" s="46" t="str">
        <f>IF(AND(Table1[[#This Row],[ Type of Contract]]="ESCO",Table1[[#This Row],[Status Detail]]="ACTIVE"),"yes","no")</f>
        <v>yes</v>
      </c>
      <c r="O85" s="46" t="s">
        <v>431</v>
      </c>
      <c r="P85" s="46" t="s">
        <v>432</v>
      </c>
      <c r="Q85" s="76"/>
      <c r="R85" s="80" t="s">
        <v>7</v>
      </c>
      <c r="S85" s="49" t="s">
        <v>491</v>
      </c>
      <c r="T85" s="49" t="s">
        <v>492</v>
      </c>
      <c r="U85" s="144" t="s">
        <v>493</v>
      </c>
      <c r="V85" s="141">
        <v>965382444</v>
      </c>
      <c r="W85" s="119">
        <f>IF(Table1[[#This Row],[Maintenance]]="yes",IF(OR(Table1[[#This Row],[Start Contract]]="",Table1[[#This Row],[Duration Month2]]=""),"",EDATE(Table1[[#This Row],[Start Contract]],Table1[[#This Row],[Duration Month2]])),"-")</f>
        <v>50465</v>
      </c>
      <c r="X85" s="115">
        <f>IF(OR((W85=""),(W85="-")),"",YEAR(Table1[[#This Row],[End Contract]]))</f>
        <v>2038</v>
      </c>
      <c r="Y85" s="54" t="str">
        <f ca="1">IF(Table1[[#This Row],[Maintenance]]="yes",IF(Table1[[#This Row],[End Contract]]="","no",IF(TODAY()&lt;=Table1[[#This Row],[End Contract]],"yes","no")),"no")</f>
        <v>yes</v>
      </c>
      <c r="Z85" s="54"/>
      <c r="AA85" s="277">
        <v>8838.1200000000008</v>
      </c>
      <c r="AB85" s="54" t="s">
        <v>1409</v>
      </c>
    </row>
    <row r="86" spans="1:28" x14ac:dyDescent="0.3">
      <c r="A86" s="50">
        <v>80</v>
      </c>
      <c r="B86" s="50" t="s">
        <v>494</v>
      </c>
      <c r="C86" s="50" t="s">
        <v>495</v>
      </c>
      <c r="D86" s="75">
        <v>500851085</v>
      </c>
      <c r="E86" s="81" t="s">
        <v>496</v>
      </c>
      <c r="F86" s="81" t="s">
        <v>497</v>
      </c>
      <c r="G86" s="81">
        <v>33</v>
      </c>
      <c r="H86" s="81">
        <v>16.2</v>
      </c>
      <c r="I86" s="75" t="s">
        <v>11</v>
      </c>
      <c r="J86" s="75" t="s">
        <v>456</v>
      </c>
      <c r="K86" s="75">
        <v>15</v>
      </c>
      <c r="L86" s="81">
        <f>Table1[[#This Row],[Duration]]*12</f>
        <v>180</v>
      </c>
      <c r="M86" s="82">
        <v>45017</v>
      </c>
      <c r="N86" s="46" t="str">
        <f>IF(AND(Table1[[#This Row],[ Type of Contract]]="ESCO",Table1[[#This Row],[Status Detail]]="ACTIVE"),"yes","no")</f>
        <v>yes</v>
      </c>
      <c r="O86" s="46" t="s">
        <v>53</v>
      </c>
      <c r="P86" s="46" t="s">
        <v>61</v>
      </c>
      <c r="Q86" s="76"/>
      <c r="R86" s="49" t="s">
        <v>7</v>
      </c>
      <c r="S86" s="49" t="s">
        <v>498</v>
      </c>
      <c r="T86" s="49" t="s">
        <v>257</v>
      </c>
      <c r="U86" s="144" t="s">
        <v>499</v>
      </c>
      <c r="V86" s="141">
        <v>961327945</v>
      </c>
      <c r="W86" s="119">
        <f>IF(Table1[[#This Row],[Maintenance]]="yes",IF(OR(Table1[[#This Row],[Start Contract]]="",Table1[[#This Row],[Duration Month2]]=""),"",EDATE(Table1[[#This Row],[Start Contract]],Table1[[#This Row],[Duration Month2]])),"-")</f>
        <v>50496</v>
      </c>
      <c r="X86" s="115">
        <f>IF(OR((W86=""),(W86="-")),"",YEAR(Table1[[#This Row],[End Contract]]))</f>
        <v>2038</v>
      </c>
      <c r="Y86" s="54" t="str">
        <f ca="1">IF(Table1[[#This Row],[Maintenance]]="yes",IF(Table1[[#This Row],[End Contract]]="","no",IF(TODAY()&lt;=Table1[[#This Row],[End Contract]],"yes","no")),"no")</f>
        <v>yes</v>
      </c>
      <c r="Z86" s="54"/>
      <c r="AA86" s="277">
        <v>7393.68</v>
      </c>
      <c r="AB86" s="54" t="s">
        <v>1409</v>
      </c>
    </row>
    <row r="87" spans="1:28" x14ac:dyDescent="0.3">
      <c r="A87" s="48">
        <v>81</v>
      </c>
      <c r="B87" s="50" t="s">
        <v>500</v>
      </c>
      <c r="C87" s="50" t="s">
        <v>495</v>
      </c>
      <c r="D87" s="75">
        <v>500851085</v>
      </c>
      <c r="E87" s="75" t="s">
        <v>501</v>
      </c>
      <c r="F87" s="75" t="s">
        <v>497</v>
      </c>
      <c r="G87" s="75">
        <v>44</v>
      </c>
      <c r="H87" s="75">
        <v>21.56</v>
      </c>
      <c r="I87" s="75" t="s">
        <v>11</v>
      </c>
      <c r="J87" s="75" t="s">
        <v>456</v>
      </c>
      <c r="K87" s="75">
        <v>15</v>
      </c>
      <c r="L87" s="75">
        <f>Table1[[#This Row],[Duration]]*12</f>
        <v>180</v>
      </c>
      <c r="M87" s="76">
        <v>45017</v>
      </c>
      <c r="N87" s="46" t="str">
        <f>IF(AND(Table1[[#This Row],[ Type of Contract]]="ESCO",Table1[[#This Row],[Status Detail]]="ACTIVE"),"yes","no")</f>
        <v>yes</v>
      </c>
      <c r="O87" s="46" t="s">
        <v>53</v>
      </c>
      <c r="P87" s="46" t="s">
        <v>61</v>
      </c>
      <c r="Q87" s="76"/>
      <c r="R87" s="80" t="s">
        <v>7</v>
      </c>
      <c r="S87" s="49" t="s">
        <v>498</v>
      </c>
      <c r="T87" s="49" t="s">
        <v>257</v>
      </c>
      <c r="U87" s="144" t="s">
        <v>499</v>
      </c>
      <c r="V87" s="141">
        <v>961327944</v>
      </c>
      <c r="W87" s="119">
        <f>IF(Table1[[#This Row],[Maintenance]]="yes",IF(OR(Table1[[#This Row],[Start Contract]]="",Table1[[#This Row],[Duration Month2]]=""),"",EDATE(Table1[[#This Row],[Start Contract]],Table1[[#This Row],[Duration Month2]])),"-")</f>
        <v>50496</v>
      </c>
      <c r="X87" s="115">
        <f>IF(OR((W87=""),(W87="-")),"",YEAR(Table1[[#This Row],[End Contract]]))</f>
        <v>2038</v>
      </c>
      <c r="Y87" s="54" t="str">
        <f ca="1">IF(Table1[[#This Row],[Maintenance]]="yes",IF(Table1[[#This Row],[End Contract]]="","no",IF(TODAY()&lt;=Table1[[#This Row],[End Contract]],"yes","no")),"no")</f>
        <v>yes</v>
      </c>
      <c r="Z87" s="54"/>
      <c r="AA87" s="277">
        <v>3914.76</v>
      </c>
      <c r="AB87" s="54" t="s">
        <v>1409</v>
      </c>
    </row>
    <row r="88" spans="1:28" x14ac:dyDescent="0.3">
      <c r="A88" s="50">
        <v>82</v>
      </c>
      <c r="B88" s="153" t="s">
        <v>502</v>
      </c>
      <c r="C88" s="153" t="s">
        <v>503</v>
      </c>
      <c r="D88" s="154">
        <v>501302433</v>
      </c>
      <c r="E88" s="154" t="s">
        <v>504</v>
      </c>
      <c r="F88" s="154" t="s">
        <v>12</v>
      </c>
      <c r="G88" s="154">
        <v>56</v>
      </c>
      <c r="H88" s="154">
        <v>27.44</v>
      </c>
      <c r="I88" s="155" t="s">
        <v>11</v>
      </c>
      <c r="J88" s="154" t="s">
        <v>456</v>
      </c>
      <c r="K88" s="154">
        <v>15</v>
      </c>
      <c r="L88" s="155">
        <f>Table1[[#This Row],[Duration]]*12</f>
        <v>180</v>
      </c>
      <c r="M88" s="156">
        <v>44958</v>
      </c>
      <c r="N88" s="157" t="str">
        <f>IF(AND(Table1[[#This Row],[ Type of Contract]]="ESCO",Table1[[#This Row],[Status Detail]]="ACTIVE"),"yes","no")</f>
        <v>yes</v>
      </c>
      <c r="O88" s="157" t="s">
        <v>53</v>
      </c>
      <c r="P88" s="157" t="s">
        <v>393</v>
      </c>
      <c r="Q88" s="158"/>
      <c r="R88" s="141" t="s">
        <v>7</v>
      </c>
      <c r="S88" s="141" t="s">
        <v>505</v>
      </c>
      <c r="T88" s="141" t="s">
        <v>257</v>
      </c>
      <c r="U88" s="144" t="s">
        <v>506</v>
      </c>
      <c r="V88" s="141">
        <v>243999510</v>
      </c>
      <c r="W88" s="119">
        <f>IF(Table1[[#This Row],[Maintenance]]="yes",IF(OR(Table1[[#This Row],[Start Contract]]="",Table1[[#This Row],[Duration Month2]]=""),"",EDATE(Table1[[#This Row],[Start Contract]],Table1[[#This Row],[Duration Month2]])),"-")</f>
        <v>50437</v>
      </c>
      <c r="X88" s="115">
        <f>IF(OR((W88=""),(W88="-")),"",YEAR(Table1[[#This Row],[End Contract]]))</f>
        <v>2038</v>
      </c>
      <c r="Y88" s="54" t="str">
        <f ca="1">IF(Table1[[#This Row],[Maintenance]]="yes",IF(Table1[[#This Row],[End Contract]]="","no",IF(TODAY()&lt;=Table1[[#This Row],[End Contract]],"yes","no")),"no")</f>
        <v>yes</v>
      </c>
      <c r="Z88" s="54"/>
      <c r="AA88" s="277">
        <v>4030.56</v>
      </c>
      <c r="AB88" s="54" t="s">
        <v>1409</v>
      </c>
    </row>
    <row r="89" spans="1:28" ht="27.6" customHeight="1" x14ac:dyDescent="0.3">
      <c r="A89" s="48">
        <v>83</v>
      </c>
      <c r="B89" s="153" t="s">
        <v>507</v>
      </c>
      <c r="C89" s="153" t="s">
        <v>508</v>
      </c>
      <c r="D89" s="154">
        <v>500878684</v>
      </c>
      <c r="E89" s="154" t="s">
        <v>509</v>
      </c>
      <c r="F89" s="154" t="s">
        <v>510</v>
      </c>
      <c r="G89" s="154">
        <v>35</v>
      </c>
      <c r="H89" s="154">
        <v>19.3</v>
      </c>
      <c r="I89" s="154" t="s">
        <v>11</v>
      </c>
      <c r="J89" s="154" t="s">
        <v>456</v>
      </c>
      <c r="K89" s="154">
        <v>15</v>
      </c>
      <c r="L89" s="154">
        <f>Table1[[#This Row],[Duration]]*12</f>
        <v>180</v>
      </c>
      <c r="M89" s="208">
        <v>44932</v>
      </c>
      <c r="N89" s="157" t="str">
        <f>IF(AND(Table1[[#This Row],[ Type of Contract]]="ESCO",Table1[[#This Row],[Status Detail]]="ACTIVE"),"yes","no")</f>
        <v>yes</v>
      </c>
      <c r="O89" s="157" t="s">
        <v>431</v>
      </c>
      <c r="P89" s="157" t="s">
        <v>61</v>
      </c>
      <c r="Q89" s="158"/>
      <c r="R89" s="159" t="s">
        <v>7</v>
      </c>
      <c r="S89" s="141" t="s">
        <v>511</v>
      </c>
      <c r="T89" s="141" t="s">
        <v>257</v>
      </c>
      <c r="U89" s="144" t="s">
        <v>512</v>
      </c>
      <c r="V89" s="192" t="s">
        <v>513</v>
      </c>
      <c r="W89" s="119">
        <f>IF(Table1[[#This Row],[Maintenance]]="yes",IF(OR(Table1[[#This Row],[Start Contract]]="",Table1[[#This Row],[Duration Month2]]=""),"",EDATE(Table1[[#This Row],[Start Contract]],Table1[[#This Row],[Duration Month2]])),"-")</f>
        <v>50411</v>
      </c>
      <c r="X89" s="115">
        <f>IF(OR((W89=""),(W89="-")),"",YEAR(Table1[[#This Row],[End Contract]]))</f>
        <v>2038</v>
      </c>
      <c r="Y89" s="54" t="str">
        <f ca="1">IF(Table1[[#This Row],[Maintenance]]="yes",IF(Table1[[#This Row],[End Contract]]="","no",IF(TODAY()&lt;=Table1[[#This Row],[End Contract]],"yes","no")),"no")</f>
        <v>yes</v>
      </c>
      <c r="Z89" s="209"/>
      <c r="AA89" s="277">
        <v>3562.2</v>
      </c>
      <c r="AB89" s="54" t="s">
        <v>1409</v>
      </c>
    </row>
    <row r="90" spans="1:28" ht="27.6" customHeight="1" x14ac:dyDescent="0.3">
      <c r="A90" s="50">
        <v>84</v>
      </c>
      <c r="B90" s="50" t="s">
        <v>1422</v>
      </c>
      <c r="C90" s="50" t="s">
        <v>515</v>
      </c>
      <c r="D90" s="75">
        <v>500299676</v>
      </c>
      <c r="E90" s="81" t="s">
        <v>516</v>
      </c>
      <c r="F90" s="81" t="s">
        <v>16</v>
      </c>
      <c r="G90" s="81">
        <v>272</v>
      </c>
      <c r="H90" s="81">
        <v>125.1</v>
      </c>
      <c r="I90" s="81" t="s">
        <v>8</v>
      </c>
      <c r="J90" s="75" t="s">
        <v>76</v>
      </c>
      <c r="K90" s="81">
        <v>0</v>
      </c>
      <c r="L90" s="81">
        <f>Table1[[#This Row],[Duration]]*12</f>
        <v>0</v>
      </c>
      <c r="M90" s="82" t="s">
        <v>178</v>
      </c>
      <c r="N90" s="46" t="str">
        <f>IF(AND(Table1[[#This Row],[ Type of Contract]]="ESCO",Table1[[#This Row],[Status Detail]]="ACTIVE"),"yes","no")</f>
        <v>no</v>
      </c>
      <c r="O90" s="46" t="s">
        <v>517</v>
      </c>
      <c r="P90" s="46" t="s">
        <v>61</v>
      </c>
      <c r="Q90" s="76" t="s">
        <v>79</v>
      </c>
      <c r="R90" s="49" t="s">
        <v>7</v>
      </c>
      <c r="S90" s="49" t="s">
        <v>518</v>
      </c>
      <c r="T90" s="49" t="s">
        <v>519</v>
      </c>
      <c r="U90" s="49"/>
      <c r="V90" s="53" t="s">
        <v>520</v>
      </c>
      <c r="W90" s="119" t="str">
        <f>IF(Table1[[#This Row],[Maintenance]]="yes",IF(OR(Table1[[#This Row],[Start Contract]]="",Table1[[#This Row],[Duration Month2]]=""),"",EDATE(Table1[[#This Row],[Start Contract]],Table1[[#This Row],[Duration Month2]])),"-")</f>
        <v>-</v>
      </c>
      <c r="X90" s="115" t="str">
        <f>IF(OR((W90=""),(W90="-")),"",YEAR(Table1[[#This Row],[End Contract]]))</f>
        <v/>
      </c>
      <c r="Y90" s="54" t="str">
        <f ca="1">IF(Table1[[#This Row],[Maintenance]]="yes",IF(Table1[[#This Row],[End Contract]]="","no",IF(TODAY()&lt;=Table1[[#This Row],[End Contract]],"yes","no")),"no")</f>
        <v>no</v>
      </c>
      <c r="Z90" s="54"/>
      <c r="AA90" s="54"/>
      <c r="AB90" s="54"/>
    </row>
    <row r="91" spans="1:28" x14ac:dyDescent="0.3">
      <c r="A91" s="48">
        <v>85</v>
      </c>
      <c r="B91" s="153" t="s">
        <v>521</v>
      </c>
      <c r="C91" s="153" t="s">
        <v>522</v>
      </c>
      <c r="D91" s="154">
        <v>600083780</v>
      </c>
      <c r="E91" s="154" t="s">
        <v>523</v>
      </c>
      <c r="F91" s="154" t="s">
        <v>524</v>
      </c>
      <c r="G91" s="154">
        <v>94</v>
      </c>
      <c r="H91" s="154">
        <v>51.7</v>
      </c>
      <c r="I91" s="154" t="s">
        <v>11</v>
      </c>
      <c r="J91" s="154" t="s">
        <v>456</v>
      </c>
      <c r="K91" s="154">
        <v>10</v>
      </c>
      <c r="L91" s="154">
        <f>Table1[[#This Row],[Duration]]*12</f>
        <v>120</v>
      </c>
      <c r="M91" s="158">
        <v>45078</v>
      </c>
      <c r="N91" s="157" t="str">
        <f>IF(AND(Table1[[#This Row],[ Type of Contract]]="ESCO",Table1[[#This Row],[Status Detail]]="ACTIVE"),"yes","no")</f>
        <v>yes</v>
      </c>
      <c r="O91" s="157" t="s">
        <v>53</v>
      </c>
      <c r="P91" s="157" t="s">
        <v>61</v>
      </c>
      <c r="Q91" s="158"/>
      <c r="R91" s="159" t="s">
        <v>7</v>
      </c>
      <c r="S91" s="141" t="s">
        <v>526</v>
      </c>
      <c r="T91" s="141" t="s">
        <v>227</v>
      </c>
      <c r="U91" s="141" t="s">
        <v>527</v>
      </c>
      <c r="V91" s="141">
        <v>925404760</v>
      </c>
      <c r="W91" s="119">
        <f>IF(Table1[[#This Row],[Maintenance]]="yes",IF(OR(Table1[[#This Row],[Start Contract]]="",Table1[[#This Row],[Duration Month2]]=""),"",EDATE(Table1[[#This Row],[Start Contract]],Table1[[#This Row],[Duration Month2]])),"-")</f>
        <v>48731</v>
      </c>
      <c r="X91" s="115">
        <f>IF(OR((W91=""),(W91="-")),"",YEAR(Table1[[#This Row],[End Contract]]))</f>
        <v>2033</v>
      </c>
      <c r="Y91" s="54" t="str">
        <f ca="1">IF(Table1[[#This Row],[Maintenance]]="yes",IF(Table1[[#This Row],[End Contract]]="","no",IF(TODAY()&lt;=Table1[[#This Row],[End Contract]],"yes","no")),"no")</f>
        <v>yes</v>
      </c>
      <c r="Z91" s="54"/>
      <c r="AA91" s="277" t="s">
        <v>178</v>
      </c>
      <c r="AB91" s="276" t="s">
        <v>1406</v>
      </c>
    </row>
    <row r="92" spans="1:28" x14ac:dyDescent="0.3">
      <c r="A92" s="50">
        <v>86</v>
      </c>
      <c r="B92" s="50" t="s">
        <v>528</v>
      </c>
      <c r="C92" s="50" t="s">
        <v>529</v>
      </c>
      <c r="D92" s="75">
        <v>500876851</v>
      </c>
      <c r="E92" s="81" t="s">
        <v>530</v>
      </c>
      <c r="F92" s="81" t="s">
        <v>164</v>
      </c>
      <c r="G92" s="81">
        <v>120</v>
      </c>
      <c r="H92" s="81">
        <v>52.8</v>
      </c>
      <c r="I92" s="81" t="s">
        <v>8</v>
      </c>
      <c r="J92" s="75" t="s">
        <v>76</v>
      </c>
      <c r="K92" s="81">
        <v>0</v>
      </c>
      <c r="L92" s="81">
        <f>Table1[[#This Row],[Duration]]*12</f>
        <v>0</v>
      </c>
      <c r="M92" s="82" t="s">
        <v>178</v>
      </c>
      <c r="N92" s="46" t="str">
        <f>IF(AND(Table1[[#This Row],[ Type of Contract]]="ESCO",Table1[[#This Row],[Status Detail]]="ACTIVE"),"yes","no")</f>
        <v>no</v>
      </c>
      <c r="O92" s="46" t="s">
        <v>94</v>
      </c>
      <c r="P92" s="46" t="s">
        <v>61</v>
      </c>
      <c r="Q92" s="76" t="s">
        <v>474</v>
      </c>
      <c r="R92" s="49" t="s">
        <v>7</v>
      </c>
      <c r="S92" s="49" t="s">
        <v>531</v>
      </c>
      <c r="T92" s="49" t="s">
        <v>532</v>
      </c>
      <c r="U92" s="123" t="s">
        <v>533</v>
      </c>
      <c r="V92" s="49">
        <v>238671257</v>
      </c>
      <c r="W92" s="119" t="str">
        <f>IF(Table1[[#This Row],[Maintenance]]="yes",IF(OR(Table1[[#This Row],[Start Contract]]="",Table1[[#This Row],[Duration Month2]]=""),"",EDATE(Table1[[#This Row],[Start Contract]],Table1[[#This Row],[Duration Month2]])),"-")</f>
        <v>-</v>
      </c>
      <c r="X92" s="115" t="str">
        <f>IF(OR((W92=""),(W92="-")),"",YEAR(Table1[[#This Row],[End Contract]]))</f>
        <v/>
      </c>
      <c r="Y92" s="54" t="str">
        <f ca="1">IF(Table1[[#This Row],[Maintenance]]="yes",IF(Table1[[#This Row],[End Contract]]="","no",IF(TODAY()&lt;=Table1[[#This Row],[End Contract]],"yes","no")),"no")</f>
        <v>no</v>
      </c>
      <c r="Z92" s="54"/>
      <c r="AA92" s="54"/>
      <c r="AB92" s="54"/>
    </row>
    <row r="93" spans="1:28" x14ac:dyDescent="0.3">
      <c r="A93" s="48">
        <v>87</v>
      </c>
      <c r="B93" s="50" t="s">
        <v>534</v>
      </c>
      <c r="C93" s="50" t="s">
        <v>535</v>
      </c>
      <c r="D93" s="75">
        <v>510852270</v>
      </c>
      <c r="E93" s="75" t="s">
        <v>536</v>
      </c>
      <c r="F93" s="75" t="s">
        <v>12</v>
      </c>
      <c r="G93" s="75">
        <v>423</v>
      </c>
      <c r="H93" s="75">
        <v>177.09</v>
      </c>
      <c r="I93" s="81" t="s">
        <v>8</v>
      </c>
      <c r="J93" s="75" t="s">
        <v>76</v>
      </c>
      <c r="K93" s="75">
        <v>0</v>
      </c>
      <c r="L93" s="75">
        <f>Table1[[#This Row],[Duration]]*12</f>
        <v>0</v>
      </c>
      <c r="M93" s="76" t="s">
        <v>178</v>
      </c>
      <c r="N93" s="46" t="str">
        <f>IF(AND(Table1[[#This Row],[ Type of Contract]]="ESCO",Table1[[#This Row],[Status Detail]]="ACTIVE"),"yes","no")</f>
        <v>no</v>
      </c>
      <c r="O93" s="46" t="s">
        <v>94</v>
      </c>
      <c r="P93" s="46" t="s">
        <v>61</v>
      </c>
      <c r="Q93" s="76" t="s">
        <v>79</v>
      </c>
      <c r="R93" s="80" t="s">
        <v>7</v>
      </c>
      <c r="S93" s="122" t="s">
        <v>537</v>
      </c>
      <c r="T93" s="54"/>
      <c r="U93" s="128" t="s">
        <v>538</v>
      </c>
      <c r="V93" s="122" t="s">
        <v>539</v>
      </c>
      <c r="W93" s="119" t="str">
        <f>IF(Table1[[#This Row],[Maintenance]]="yes",IF(OR(Table1[[#This Row],[Start Contract]]="",Table1[[#This Row],[Duration Month2]]=""),"",EDATE(Table1[[#This Row],[Start Contract]],Table1[[#This Row],[Duration Month2]])),"-")</f>
        <v>-</v>
      </c>
      <c r="X93" s="115" t="str">
        <f>IF(OR((W93=""),(W93="-")),"",YEAR(Table1[[#This Row],[End Contract]]))</f>
        <v/>
      </c>
      <c r="Y93" s="54" t="str">
        <f ca="1">IF(Table1[[#This Row],[Maintenance]]="yes",IF(Table1[[#This Row],[End Contract]]="","no",IF(TODAY()&lt;=Table1[[#This Row],[End Contract]],"yes","no")),"no")</f>
        <v>no</v>
      </c>
      <c r="Z93" s="54"/>
      <c r="AA93" s="54"/>
      <c r="AB93" s="54"/>
    </row>
    <row r="94" spans="1:28" x14ac:dyDescent="0.3">
      <c r="A94" s="50">
        <v>88</v>
      </c>
      <c r="B94" s="153" t="s">
        <v>540</v>
      </c>
      <c r="C94" s="153" t="s">
        <v>541</v>
      </c>
      <c r="D94" s="154">
        <v>504646788</v>
      </c>
      <c r="E94" s="155" t="s">
        <v>542</v>
      </c>
      <c r="F94" s="155" t="s">
        <v>9</v>
      </c>
      <c r="G94" s="155">
        <v>44</v>
      </c>
      <c r="H94" s="155">
        <v>24.2</v>
      </c>
      <c r="I94" s="155" t="s">
        <v>11</v>
      </c>
      <c r="J94" s="154" t="s">
        <v>456</v>
      </c>
      <c r="K94" s="155">
        <v>15</v>
      </c>
      <c r="L94" s="155">
        <f>Table1[[#This Row],[Duration]]*12</f>
        <v>180</v>
      </c>
      <c r="M94" s="156">
        <v>45078</v>
      </c>
      <c r="N94" s="157" t="str">
        <f>IF(AND(Table1[[#This Row],[ Type of Contract]]="ESCO",Table1[[#This Row],[Status Detail]]="ACTIVE"),"yes","no")</f>
        <v>yes</v>
      </c>
      <c r="O94" s="157" t="s">
        <v>53</v>
      </c>
      <c r="P94" s="157" t="s">
        <v>61</v>
      </c>
      <c r="Q94" s="158"/>
      <c r="R94" s="141" t="s">
        <v>7</v>
      </c>
      <c r="S94" s="141" t="s">
        <v>543</v>
      </c>
      <c r="T94" s="141" t="s">
        <v>519</v>
      </c>
      <c r="U94" s="144" t="s">
        <v>544</v>
      </c>
      <c r="V94" s="144" t="s">
        <v>545</v>
      </c>
      <c r="W94" s="119">
        <f>IF(Table1[[#This Row],[Maintenance]]="yes",IF(OR(Table1[[#This Row],[Start Contract]]="",Table1[[#This Row],[Duration Month2]]=""),"",EDATE(Table1[[#This Row],[Start Contract]],Table1[[#This Row],[Duration Month2]])),"-")</f>
        <v>50557</v>
      </c>
      <c r="X94" s="115">
        <f>IF(OR((W94=""),(W94="-")),"",YEAR(Table1[[#This Row],[End Contract]]))</f>
        <v>2038</v>
      </c>
      <c r="Y94" s="54" t="str">
        <f ca="1">IF(Table1[[#This Row],[Maintenance]]="yes",IF(Table1[[#This Row],[End Contract]]="","no",IF(TODAY()&lt;=Table1[[#This Row],[End Contract]],"yes","no")),"no")</f>
        <v>yes</v>
      </c>
      <c r="Z94" s="54"/>
      <c r="AA94" s="277">
        <v>3807</v>
      </c>
      <c r="AB94" s="54" t="s">
        <v>1409</v>
      </c>
    </row>
    <row r="95" spans="1:28" x14ac:dyDescent="0.3">
      <c r="A95" s="50">
        <v>89</v>
      </c>
      <c r="B95" s="153" t="s">
        <v>546</v>
      </c>
      <c r="C95" s="153" t="s">
        <v>541</v>
      </c>
      <c r="D95" s="154">
        <v>504646788</v>
      </c>
      <c r="E95" s="155" t="s">
        <v>547</v>
      </c>
      <c r="F95" s="155" t="s">
        <v>9</v>
      </c>
      <c r="G95" s="155">
        <v>36</v>
      </c>
      <c r="H95" s="155">
        <v>25.1</v>
      </c>
      <c r="I95" s="155" t="s">
        <v>11</v>
      </c>
      <c r="J95" s="154" t="s">
        <v>456</v>
      </c>
      <c r="K95" s="155">
        <v>15</v>
      </c>
      <c r="L95" s="155">
        <f>Table1[[#This Row],[Duration]]*12</f>
        <v>180</v>
      </c>
      <c r="M95" s="156">
        <v>45108</v>
      </c>
      <c r="N95" s="157" t="str">
        <f>IF(AND(Table1[[#This Row],[ Type of Contract]]="ESCO",Table1[[#This Row],[Status Detail]]="ACTIVE"),"yes","no")</f>
        <v>yes</v>
      </c>
      <c r="O95" s="157" t="s">
        <v>94</v>
      </c>
      <c r="P95" s="157" t="s">
        <v>61</v>
      </c>
      <c r="Q95" s="158"/>
      <c r="R95" s="141" t="s">
        <v>7</v>
      </c>
      <c r="S95" s="141" t="s">
        <v>543</v>
      </c>
      <c r="T95" s="141" t="s">
        <v>519</v>
      </c>
      <c r="U95" s="146" t="s">
        <v>548</v>
      </c>
      <c r="V95" s="141">
        <v>218163270</v>
      </c>
      <c r="W95" s="119">
        <f>IF(Table1[[#This Row],[Maintenance]]="yes",IF(OR(Table1[[#This Row],[Start Contract]]="",Table1[[#This Row],[Duration Month2]]=""),"",EDATE(Table1[[#This Row],[Start Contract]],Table1[[#This Row],[Duration Month2]])),"-")</f>
        <v>50587</v>
      </c>
      <c r="X95" s="115">
        <f>IF(OR((W95=""),(W95="-")),"",YEAR(Table1[[#This Row],[End Contract]]))</f>
        <v>2038</v>
      </c>
      <c r="Y95" s="54" t="str">
        <f ca="1">IF(Table1[[#This Row],[Maintenance]]="yes",IF(Table1[[#This Row],[End Contract]]="","no",IF(TODAY()&lt;=Table1[[#This Row],[End Contract]],"yes","no")),"no")</f>
        <v>yes</v>
      </c>
      <c r="Z95" s="54"/>
      <c r="AA95" s="277">
        <v>3819.24</v>
      </c>
      <c r="AB95" s="54" t="s">
        <v>1409</v>
      </c>
    </row>
    <row r="96" spans="1:28" x14ac:dyDescent="0.3">
      <c r="A96" s="50">
        <v>90</v>
      </c>
      <c r="B96" s="50" t="s">
        <v>549</v>
      </c>
      <c r="C96" s="50" t="s">
        <v>541</v>
      </c>
      <c r="D96" s="75">
        <v>504646788</v>
      </c>
      <c r="E96" s="81" t="s">
        <v>550</v>
      </c>
      <c r="F96" s="81" t="s">
        <v>9</v>
      </c>
      <c r="G96" s="81">
        <v>44</v>
      </c>
      <c r="H96" s="81">
        <v>20.5</v>
      </c>
      <c r="I96" s="81" t="s">
        <v>11</v>
      </c>
      <c r="J96" s="75" t="s">
        <v>456</v>
      </c>
      <c r="K96" s="81">
        <v>15</v>
      </c>
      <c r="L96" s="81">
        <f>Table1[[#This Row],[Duration]]*12</f>
        <v>180</v>
      </c>
      <c r="M96" s="82"/>
      <c r="N96" s="46" t="str">
        <f>IF(AND(Table1[[#This Row],[ Type of Contract]]="ESCO",Table1[[#This Row],[Status Detail]]="ACTIVE"),"yes","no")</f>
        <v>no</v>
      </c>
      <c r="O96" s="46" t="s">
        <v>207</v>
      </c>
      <c r="P96" s="46" t="s">
        <v>208</v>
      </c>
      <c r="Q96" s="76" t="s">
        <v>474</v>
      </c>
      <c r="R96" s="49" t="s">
        <v>10</v>
      </c>
      <c r="S96" s="49" t="s">
        <v>543</v>
      </c>
      <c r="T96" s="49" t="s">
        <v>519</v>
      </c>
      <c r="U96" s="49" t="s">
        <v>371</v>
      </c>
      <c r="V96" s="49"/>
      <c r="W96" s="119" t="str">
        <f>IF(Table1[[#This Row],[Maintenance]]="yes",IF(OR(Table1[[#This Row],[Start Contract]]="",Table1[[#This Row],[Duration Month2]]=""),"",EDATE(Table1[[#This Row],[Start Contract]],Table1[[#This Row],[Duration Month2]])),"-")</f>
        <v>-</v>
      </c>
      <c r="X96" s="115" t="str">
        <f>IF(OR((W96=""),(W96="-")),"",YEAR(Table1[[#This Row],[End Contract]]))</f>
        <v/>
      </c>
      <c r="Y96" s="54" t="str">
        <f ca="1">IF(Table1[[#This Row],[Maintenance]]="yes",IF(Table1[[#This Row],[End Contract]]="","no",IF(TODAY()&lt;=Table1[[#This Row],[End Contract]],"yes","no")),"no")</f>
        <v>no</v>
      </c>
      <c r="Z96" s="54"/>
      <c r="AA96" s="54"/>
      <c r="AB96" s="54"/>
    </row>
    <row r="97" spans="1:28" x14ac:dyDescent="0.3">
      <c r="A97" s="50">
        <v>91</v>
      </c>
      <c r="B97" s="50" t="s">
        <v>551</v>
      </c>
      <c r="C97" s="50" t="s">
        <v>541</v>
      </c>
      <c r="D97" s="75">
        <v>504646788</v>
      </c>
      <c r="E97" s="81" t="s">
        <v>552</v>
      </c>
      <c r="F97" s="81" t="s">
        <v>16</v>
      </c>
      <c r="G97" s="81"/>
      <c r="H97" s="81">
        <v>16.2</v>
      </c>
      <c r="I97" s="81" t="s">
        <v>11</v>
      </c>
      <c r="J97" s="75" t="s">
        <v>456</v>
      </c>
      <c r="K97" s="81">
        <v>15</v>
      </c>
      <c r="L97" s="81">
        <f>Table1[[#This Row],[Duration]]*12</f>
        <v>180</v>
      </c>
      <c r="M97" s="82"/>
      <c r="N97" s="46" t="str">
        <f>IF(AND(Table1[[#This Row],[ Type of Contract]]="ESCO",Table1[[#This Row],[Status Detail]]="ACTIVE"),"yes","no")</f>
        <v>no</v>
      </c>
      <c r="O97" s="46"/>
      <c r="P97" s="46"/>
      <c r="Q97" s="76"/>
      <c r="R97" s="49" t="s">
        <v>14</v>
      </c>
      <c r="S97" s="49" t="s">
        <v>543</v>
      </c>
      <c r="T97" s="49" t="s">
        <v>519</v>
      </c>
      <c r="U97" s="49" t="s">
        <v>371</v>
      </c>
      <c r="V97" s="49"/>
      <c r="W97" s="119" t="str">
        <f>IF(Table1[[#This Row],[Maintenance]]="yes",IF(OR(Table1[[#This Row],[Start Contract]]="",Table1[[#This Row],[Duration Month2]]=""),"",EDATE(Table1[[#This Row],[Start Contract]],Table1[[#This Row],[Duration Month2]])),"-")</f>
        <v>-</v>
      </c>
      <c r="X97" s="115" t="str">
        <f>IF(OR((W97=""),(W97="-")),"",YEAR(Table1[[#This Row],[End Contract]]))</f>
        <v/>
      </c>
      <c r="Y97" s="54" t="str">
        <f ca="1">IF(Table1[[#This Row],[Maintenance]]="yes",IF(Table1[[#This Row],[End Contract]]="","no",IF(TODAY()&lt;=Table1[[#This Row],[End Contract]],"yes","no")),"no")</f>
        <v>no</v>
      </c>
      <c r="Z97" s="54"/>
      <c r="AA97" s="54"/>
      <c r="AB97" s="54"/>
    </row>
    <row r="98" spans="1:28" x14ac:dyDescent="0.3">
      <c r="A98" s="50">
        <v>92</v>
      </c>
      <c r="B98" s="50" t="s">
        <v>1423</v>
      </c>
      <c r="C98" s="50" t="s">
        <v>554</v>
      </c>
      <c r="D98" s="75">
        <v>500594147</v>
      </c>
      <c r="E98" s="127" t="s">
        <v>555</v>
      </c>
      <c r="F98" s="81" t="s">
        <v>16</v>
      </c>
      <c r="G98" s="81">
        <v>103</v>
      </c>
      <c r="H98" s="81">
        <v>53</v>
      </c>
      <c r="I98" s="81" t="s">
        <v>8</v>
      </c>
      <c r="J98" s="75" t="s">
        <v>76</v>
      </c>
      <c r="K98" s="81">
        <v>0</v>
      </c>
      <c r="L98" s="81">
        <f>Table1[[#This Row],[Duration]]*12</f>
        <v>0</v>
      </c>
      <c r="M98" s="82">
        <v>45078</v>
      </c>
      <c r="N98" s="46" t="str">
        <f>IF(AND(Table1[[#This Row],[ Type of Contract]]="ESCO",Table1[[#This Row],[Status Detail]]="ACTIVE"),"yes","no")</f>
        <v>no</v>
      </c>
      <c r="O98" s="46" t="s">
        <v>94</v>
      </c>
      <c r="P98" s="46" t="s">
        <v>61</v>
      </c>
      <c r="Q98" s="76" t="s">
        <v>474</v>
      </c>
      <c r="R98" s="49" t="s">
        <v>7</v>
      </c>
      <c r="S98" s="125" t="s">
        <v>556</v>
      </c>
      <c r="T98" s="54"/>
      <c r="U98" s="124" t="s">
        <v>557</v>
      </c>
      <c r="V98" s="125">
        <v>961900171</v>
      </c>
      <c r="W98" s="119" t="str">
        <f>IF(Table1[[#This Row],[Maintenance]]="yes",IF(OR(Table1[[#This Row],[Start Contract]]="",Table1[[#This Row],[Duration Month2]]=""),"",EDATE(Table1[[#This Row],[Start Contract]],Table1[[#This Row],[Duration Month2]])),"-")</f>
        <v>-</v>
      </c>
      <c r="X98" s="115" t="str">
        <f>IF(OR((W98=""),(W98="-")),"",YEAR(Table1[[#This Row],[End Contract]]))</f>
        <v/>
      </c>
      <c r="Y98" s="54" t="str">
        <f ca="1">IF(Table1[[#This Row],[Maintenance]]="yes",IF(Table1[[#This Row],[End Contract]]="","no",IF(TODAY()&lt;=Table1[[#This Row],[End Contract]],"yes","no")),"no")</f>
        <v>no</v>
      </c>
      <c r="Z98" s="54"/>
      <c r="AA98" s="54"/>
      <c r="AB98" s="54"/>
    </row>
    <row r="99" spans="1:28" x14ac:dyDescent="0.3">
      <c r="A99" s="50">
        <v>93</v>
      </c>
      <c r="B99" s="50" t="s">
        <v>558</v>
      </c>
      <c r="C99" s="50" t="s">
        <v>554</v>
      </c>
      <c r="D99" s="75">
        <v>500594147</v>
      </c>
      <c r="E99" s="81" t="s">
        <v>559</v>
      </c>
      <c r="F99" s="81" t="s">
        <v>16</v>
      </c>
      <c r="G99" s="81">
        <v>61</v>
      </c>
      <c r="H99" s="81">
        <v>29.9</v>
      </c>
      <c r="I99" s="81" t="s">
        <v>8</v>
      </c>
      <c r="J99" s="75" t="s">
        <v>76</v>
      </c>
      <c r="K99" s="81">
        <v>0</v>
      </c>
      <c r="L99" s="81">
        <f>Table1[[#This Row],[Duration]]*12</f>
        <v>0</v>
      </c>
      <c r="M99" s="82">
        <v>44986</v>
      </c>
      <c r="N99" s="46" t="str">
        <f>IF(AND(Table1[[#This Row],[ Type of Contract]]="ESCO",Table1[[#This Row],[Status Detail]]="ACTIVE"),"yes","no")</f>
        <v>no</v>
      </c>
      <c r="O99" s="46" t="s">
        <v>94</v>
      </c>
      <c r="P99" s="46" t="s">
        <v>61</v>
      </c>
      <c r="Q99" s="76" t="s">
        <v>474</v>
      </c>
      <c r="R99" s="49" t="s">
        <v>7</v>
      </c>
      <c r="S99" s="125" t="s">
        <v>556</v>
      </c>
      <c r="T99" s="54"/>
      <c r="U99" s="124" t="s">
        <v>557</v>
      </c>
      <c r="V99" s="125" t="s">
        <v>560</v>
      </c>
      <c r="W99" s="119" t="str">
        <f>IF(Table1[[#This Row],[Maintenance]]="yes",IF(OR(Table1[[#This Row],[Start Contract]]="",Table1[[#This Row],[Duration Month2]]=""),"",EDATE(Table1[[#This Row],[Start Contract]],Table1[[#This Row],[Duration Month2]])),"-")</f>
        <v>-</v>
      </c>
      <c r="X99" s="115" t="str">
        <f>IF(OR((W99=""),(W99="-")),"",YEAR(Table1[[#This Row],[End Contract]]))</f>
        <v/>
      </c>
      <c r="Y99" s="54" t="str">
        <f ca="1">IF(Table1[[#This Row],[Maintenance]]="yes",IF(Table1[[#This Row],[End Contract]]="","no",IF(TODAY()&lt;=Table1[[#This Row],[End Contract]],"yes","no")),"no")</f>
        <v>no</v>
      </c>
      <c r="Z99" s="54"/>
      <c r="AA99" s="54"/>
      <c r="AB99" s="54"/>
    </row>
    <row r="100" spans="1:28" x14ac:dyDescent="0.3">
      <c r="A100" s="50">
        <v>94</v>
      </c>
      <c r="B100" s="50" t="s">
        <v>561</v>
      </c>
      <c r="C100" s="50"/>
      <c r="D100" s="75"/>
      <c r="E100" s="81"/>
      <c r="F100" s="81"/>
      <c r="G100" s="81">
        <v>202</v>
      </c>
      <c r="H100" s="81"/>
      <c r="I100" s="81"/>
      <c r="J100" s="75"/>
      <c r="K100" s="81"/>
      <c r="L100" s="81">
        <f>Table1[[#This Row],[Duration]]*12</f>
        <v>0</v>
      </c>
      <c r="M100" s="82"/>
      <c r="N100" s="46" t="str">
        <f>IF(AND(Table1[[#This Row],[ Type of Contract]]="ESCO",Table1[[#This Row],[Status Detail]]="ACTIVE"),"yes","no")</f>
        <v>no</v>
      </c>
      <c r="O100" s="46" t="s">
        <v>94</v>
      </c>
      <c r="P100" s="46" t="s">
        <v>61</v>
      </c>
      <c r="Q100" s="76"/>
      <c r="R100" s="49" t="s">
        <v>14</v>
      </c>
      <c r="S100" s="49"/>
      <c r="T100" s="49"/>
      <c r="U100" s="49"/>
      <c r="V100" s="49"/>
      <c r="W100" s="119" t="str">
        <f>IF(Table1[[#This Row],[Maintenance]]="yes",IF(OR(Table1[[#This Row],[Start Contract]]="",Table1[[#This Row],[Duration Month2]]=""),"",EDATE(Table1[[#This Row],[Start Contract]],Table1[[#This Row],[Duration Month2]])),"-")</f>
        <v>-</v>
      </c>
      <c r="X100" s="115" t="str">
        <f>IF(OR((W100=""),(W100="-")),"",YEAR(Table1[[#This Row],[End Contract]]))</f>
        <v/>
      </c>
      <c r="Y100" s="54" t="str">
        <f ca="1">IF(Table1[[#This Row],[Maintenance]]="yes",IF(Table1[[#This Row],[End Contract]]="","no",IF(TODAY()&lt;=Table1[[#This Row],[End Contract]],"yes","no")),"no")</f>
        <v>no</v>
      </c>
      <c r="Z100" s="54"/>
      <c r="AA100" s="54"/>
      <c r="AB100" s="54"/>
    </row>
    <row r="101" spans="1:28" x14ac:dyDescent="0.3">
      <c r="A101" s="50">
        <v>95</v>
      </c>
      <c r="B101" s="153" t="s">
        <v>562</v>
      </c>
      <c r="C101" s="153" t="s">
        <v>563</v>
      </c>
      <c r="D101" s="154">
        <v>503780774</v>
      </c>
      <c r="E101" s="155" t="s">
        <v>564</v>
      </c>
      <c r="F101" s="155" t="s">
        <v>16</v>
      </c>
      <c r="G101" s="155">
        <v>200</v>
      </c>
      <c r="H101" s="155">
        <v>111.1</v>
      </c>
      <c r="I101" s="155" t="s">
        <v>11</v>
      </c>
      <c r="J101" s="154" t="s">
        <v>456</v>
      </c>
      <c r="K101" s="155">
        <v>10</v>
      </c>
      <c r="L101" s="155">
        <f>Table1[[#This Row],[Duration]]*12</f>
        <v>120</v>
      </c>
      <c r="M101" s="156">
        <v>45170</v>
      </c>
      <c r="N101" s="157" t="str">
        <f>IF(AND(Table1[[#This Row],[ Type of Contract]]="ESCO",Table1[[#This Row],[Status Detail]]="ACTIVE"),"yes","no")</f>
        <v>yes</v>
      </c>
      <c r="O101" s="157" t="s">
        <v>207</v>
      </c>
      <c r="P101" s="157" t="s">
        <v>208</v>
      </c>
      <c r="Q101" s="158"/>
      <c r="R101" s="141" t="s">
        <v>7</v>
      </c>
      <c r="S101" s="141" t="s">
        <v>565</v>
      </c>
      <c r="T101" s="141" t="s">
        <v>70</v>
      </c>
      <c r="U101" s="194" t="s">
        <v>566</v>
      </c>
      <c r="V101" s="141">
        <v>935704040</v>
      </c>
      <c r="W101" s="119">
        <f>IF(Table1[[#This Row],[Maintenance]]="yes",IF(OR(Table1[[#This Row],[Start Contract]]="",Table1[[#This Row],[Duration Month2]]=""),"",EDATE(Table1[[#This Row],[Start Contract]],Table1[[#This Row],[Duration Month2]])),"-")</f>
        <v>48823</v>
      </c>
      <c r="X101" s="115">
        <f>IF(OR((W101=""),(W101="-")),"",YEAR(Table1[[#This Row],[End Contract]]))</f>
        <v>2033</v>
      </c>
      <c r="Y101" s="54" t="str">
        <f ca="1">IF(Table1[[#This Row],[Maintenance]]="yes",IF(Table1[[#This Row],[End Contract]]="","no",IF(TODAY()&lt;=Table1[[#This Row],[End Contract]],"yes","no")),"no")</f>
        <v>yes</v>
      </c>
      <c r="Z101" s="54"/>
      <c r="AA101" s="277" t="s">
        <v>178</v>
      </c>
      <c r="AB101" s="276" t="s">
        <v>1406</v>
      </c>
    </row>
    <row r="102" spans="1:28" x14ac:dyDescent="0.3">
      <c r="A102" s="50">
        <v>96</v>
      </c>
      <c r="B102" s="50" t="s">
        <v>567</v>
      </c>
      <c r="C102" s="50"/>
      <c r="D102" s="75"/>
      <c r="E102" s="81"/>
      <c r="F102" s="81"/>
      <c r="G102" s="81">
        <v>292</v>
      </c>
      <c r="H102" s="81"/>
      <c r="I102" s="81"/>
      <c r="J102" s="75"/>
      <c r="K102" s="81"/>
      <c r="L102" s="81">
        <f>Table1[[#This Row],[Duration]]*12</f>
        <v>0</v>
      </c>
      <c r="M102" s="82"/>
      <c r="N102" s="46" t="str">
        <f>IF(AND(Table1[[#This Row],[ Type of Contract]]="ESCO",Table1[[#This Row],[Status Detail]]="ACTIVE"),"yes","no")</f>
        <v>no</v>
      </c>
      <c r="O102" s="46" t="s">
        <v>207</v>
      </c>
      <c r="P102" s="46" t="s">
        <v>208</v>
      </c>
      <c r="Q102" s="76"/>
      <c r="R102" s="49" t="s">
        <v>14</v>
      </c>
      <c r="S102" s="49"/>
      <c r="T102" s="49"/>
      <c r="U102" s="49"/>
      <c r="V102" s="49"/>
      <c r="W102" s="119" t="str">
        <f>IF(Table1[[#This Row],[Maintenance]]="yes",IF(OR(Table1[[#This Row],[Start Contract]]="",Table1[[#This Row],[Duration Month2]]=""),"",EDATE(Table1[[#This Row],[Start Contract]],Table1[[#This Row],[Duration Month2]])),"-")</f>
        <v>-</v>
      </c>
      <c r="X102" s="115" t="str">
        <f>IF(OR((W102=""),(W102="-")),"",YEAR(Table1[[#This Row],[End Contract]]))</f>
        <v/>
      </c>
      <c r="Y102" s="54" t="str">
        <f ca="1">IF(Table1[[#This Row],[Maintenance]]="yes",IF(Table1[[#This Row],[End Contract]]="","no",IF(TODAY()&lt;=Table1[[#This Row],[End Contract]],"yes","no")),"no")</f>
        <v>no</v>
      </c>
      <c r="Z102" s="54"/>
      <c r="AA102" s="54"/>
      <c r="AB102" s="54"/>
    </row>
    <row r="103" spans="1:28" x14ac:dyDescent="0.3">
      <c r="A103" s="50">
        <v>97</v>
      </c>
      <c r="B103" s="153" t="s">
        <v>568</v>
      </c>
      <c r="C103" s="153" t="s">
        <v>569</v>
      </c>
      <c r="D103" s="154">
        <v>501379550</v>
      </c>
      <c r="E103" s="155" t="s">
        <v>570</v>
      </c>
      <c r="F103" s="155" t="s">
        <v>571</v>
      </c>
      <c r="G103" s="155">
        <v>292</v>
      </c>
      <c r="H103" s="155">
        <v>159.1</v>
      </c>
      <c r="I103" s="155" t="s">
        <v>11</v>
      </c>
      <c r="J103" s="154" t="s">
        <v>456</v>
      </c>
      <c r="K103" s="155">
        <v>10</v>
      </c>
      <c r="L103" s="155">
        <f>Table1[[#This Row],[Duration]]*12</f>
        <v>120</v>
      </c>
      <c r="M103" s="156">
        <v>45261</v>
      </c>
      <c r="N103" s="157" t="str">
        <f>IF(AND(Table1[[#This Row],[ Type of Contract]]="ESCO",Table1[[#This Row],[Status Detail]]="ACTIVE"),"yes","no")</f>
        <v>yes</v>
      </c>
      <c r="O103" s="157" t="s">
        <v>53</v>
      </c>
      <c r="P103" s="157" t="s">
        <v>61</v>
      </c>
      <c r="Q103" s="158"/>
      <c r="R103" s="141" t="s">
        <v>7</v>
      </c>
      <c r="S103" s="141" t="s">
        <v>572</v>
      </c>
      <c r="T103" s="141" t="s">
        <v>573</v>
      </c>
      <c r="U103" s="141" t="s">
        <v>574</v>
      </c>
      <c r="V103" s="141">
        <v>926064688</v>
      </c>
      <c r="W103" s="119">
        <f>IF(Table1[[#This Row],[Maintenance]]="yes",IF(OR(Table1[[#This Row],[Start Contract]]="",Table1[[#This Row],[Duration Month2]]=""),"",EDATE(Table1[[#This Row],[Start Contract]],Table1[[#This Row],[Duration Month2]])),"-")</f>
        <v>48914</v>
      </c>
      <c r="X103" s="115">
        <f>IF(OR((W103=""),(W103="-")),"",YEAR(Table1[[#This Row],[End Contract]]))</f>
        <v>2033</v>
      </c>
      <c r="Y103" s="54" t="str">
        <f ca="1">IF(Table1[[#This Row],[Maintenance]]="yes",IF(Table1[[#This Row],[End Contract]]="","no",IF(TODAY()&lt;=Table1[[#This Row],[End Contract]],"yes","no")),"no")</f>
        <v>yes</v>
      </c>
      <c r="Z103" s="54"/>
      <c r="AA103" s="277">
        <v>16325.64</v>
      </c>
      <c r="AB103" s="54" t="s">
        <v>1409</v>
      </c>
    </row>
    <row r="104" spans="1:28" x14ac:dyDescent="0.3">
      <c r="A104" s="50">
        <v>98</v>
      </c>
      <c r="B104" s="153" t="s">
        <v>575</v>
      </c>
      <c r="C104" s="153" t="s">
        <v>576</v>
      </c>
      <c r="D104" s="154">
        <v>515946400</v>
      </c>
      <c r="E104" s="155" t="s">
        <v>577</v>
      </c>
      <c r="F104" s="155" t="s">
        <v>571</v>
      </c>
      <c r="G104" s="155">
        <v>56</v>
      </c>
      <c r="H104" s="155">
        <v>30.52</v>
      </c>
      <c r="I104" s="155" t="s">
        <v>11</v>
      </c>
      <c r="J104" s="154" t="s">
        <v>456</v>
      </c>
      <c r="K104" s="155">
        <v>10</v>
      </c>
      <c r="L104" s="155">
        <f>Table1[[#This Row],[Duration]]*12</f>
        <v>120</v>
      </c>
      <c r="M104" s="156">
        <v>45261</v>
      </c>
      <c r="N104" s="157" t="str">
        <f>IF(AND(Table1[[#This Row],[ Type of Contract]]="ESCO",Table1[[#This Row],[Status Detail]]="ACTIVE"),"yes","no")</f>
        <v>yes</v>
      </c>
      <c r="O104" s="157" t="s">
        <v>53</v>
      </c>
      <c r="P104" s="157" t="s">
        <v>61</v>
      </c>
      <c r="Q104" s="158"/>
      <c r="R104" s="141" t="s">
        <v>7</v>
      </c>
      <c r="S104" s="141" t="s">
        <v>572</v>
      </c>
      <c r="T104" s="141" t="s">
        <v>573</v>
      </c>
      <c r="U104" s="141" t="s">
        <v>574</v>
      </c>
      <c r="V104" s="141">
        <v>926064688</v>
      </c>
      <c r="W104" s="119">
        <f>IF(Table1[[#This Row],[Maintenance]]="yes",IF(OR(Table1[[#This Row],[Start Contract]]="",Table1[[#This Row],[Duration Month2]]=""),"",EDATE(Table1[[#This Row],[Start Contract]],Table1[[#This Row],[Duration Month2]])),"-")</f>
        <v>48914</v>
      </c>
      <c r="X104" s="115">
        <f>IF(OR((W104=""),(W104="-")),"",YEAR(Table1[[#This Row],[End Contract]]))</f>
        <v>2033</v>
      </c>
      <c r="Y104" s="54" t="str">
        <f ca="1">IF(Table1[[#This Row],[Maintenance]]="yes",IF(Table1[[#This Row],[End Contract]]="","no",IF(TODAY()&lt;=Table1[[#This Row],[End Contract]],"yes","no")),"no")</f>
        <v>yes</v>
      </c>
      <c r="Z104" s="54"/>
      <c r="AA104" s="277">
        <v>4363.2</v>
      </c>
      <c r="AB104" s="54" t="s">
        <v>1409</v>
      </c>
    </row>
    <row r="105" spans="1:28" x14ac:dyDescent="0.3">
      <c r="A105" s="50">
        <v>99</v>
      </c>
      <c r="B105" s="50" t="s">
        <v>578</v>
      </c>
      <c r="C105" s="50" t="s">
        <v>307</v>
      </c>
      <c r="D105" s="75">
        <v>501534008</v>
      </c>
      <c r="E105" s="81" t="s">
        <v>308</v>
      </c>
      <c r="F105" s="81" t="s">
        <v>17</v>
      </c>
      <c r="G105" s="81">
        <v>240</v>
      </c>
      <c r="H105" s="81">
        <v>129.6</v>
      </c>
      <c r="I105" s="81" t="s">
        <v>8</v>
      </c>
      <c r="J105" s="75" t="s">
        <v>76</v>
      </c>
      <c r="K105" s="81">
        <v>0</v>
      </c>
      <c r="L105" s="81">
        <f>Table1[[#This Row],[Duration]]*12</f>
        <v>0</v>
      </c>
      <c r="M105" s="82" t="s">
        <v>178</v>
      </c>
      <c r="N105" s="46" t="str">
        <f>IF(AND(Table1[[#This Row],[ Type of Contract]]="ESCO",Table1[[#This Row],[Status Detail]]="ACTIVE"),"yes","no")</f>
        <v>no</v>
      </c>
      <c r="O105" s="46" t="s">
        <v>431</v>
      </c>
      <c r="P105" s="46" t="s">
        <v>61</v>
      </c>
      <c r="Q105" s="76" t="s">
        <v>79</v>
      </c>
      <c r="R105" s="49" t="s">
        <v>7</v>
      </c>
      <c r="S105" s="122" t="s">
        <v>579</v>
      </c>
      <c r="T105" s="54"/>
      <c r="U105" s="128" t="s">
        <v>580</v>
      </c>
      <c r="V105" s="129">
        <v>917511527</v>
      </c>
      <c r="W105" s="119" t="str">
        <f>IF(Table1[[#This Row],[Maintenance]]="yes",IF(OR(Table1[[#This Row],[Start Contract]]="",Table1[[#This Row],[Duration Month2]]=""),"",EDATE(Table1[[#This Row],[Start Contract]],Table1[[#This Row],[Duration Month2]])),"-")</f>
        <v>-</v>
      </c>
      <c r="X105" s="115" t="str">
        <f>IF(OR((W105=""),(W105="-")),"",YEAR(Table1[[#This Row],[End Contract]]))</f>
        <v/>
      </c>
      <c r="Y105" s="54" t="str">
        <f ca="1">IF(Table1[[#This Row],[Maintenance]]="yes",IF(Table1[[#This Row],[End Contract]]="","no",IF(TODAY()&lt;=Table1[[#This Row],[End Contract]],"yes","no")),"no")</f>
        <v>no</v>
      </c>
      <c r="Z105" s="54"/>
      <c r="AA105" s="54"/>
      <c r="AB105" s="54"/>
    </row>
    <row r="106" spans="1:28" x14ac:dyDescent="0.3">
      <c r="A106" s="50">
        <v>100</v>
      </c>
      <c r="B106" s="50" t="s">
        <v>581</v>
      </c>
      <c r="C106" s="50" t="s">
        <v>582</v>
      </c>
      <c r="D106" s="75">
        <v>500197954</v>
      </c>
      <c r="E106" s="81" t="s">
        <v>583</v>
      </c>
      <c r="F106" s="81" t="s">
        <v>16</v>
      </c>
      <c r="G106" s="81">
        <v>595</v>
      </c>
      <c r="H106" s="81">
        <v>302.5</v>
      </c>
      <c r="I106" s="81" t="s">
        <v>8</v>
      </c>
      <c r="J106" s="75" t="s">
        <v>76</v>
      </c>
      <c r="K106" s="81">
        <v>1</v>
      </c>
      <c r="L106" s="81">
        <f>Table1[[#This Row],[Duration]]*12</f>
        <v>12</v>
      </c>
      <c r="M106" s="82">
        <v>45278</v>
      </c>
      <c r="N106" s="46" t="s">
        <v>77</v>
      </c>
      <c r="O106" s="46" t="s">
        <v>53</v>
      </c>
      <c r="P106" s="46" t="s">
        <v>61</v>
      </c>
      <c r="Q106" s="76" t="s">
        <v>584</v>
      </c>
      <c r="R106" s="49" t="s">
        <v>7</v>
      </c>
      <c r="S106" s="49" t="s">
        <v>585</v>
      </c>
      <c r="T106" s="49" t="s">
        <v>310</v>
      </c>
      <c r="U106" s="49"/>
      <c r="V106" s="49">
        <v>918948380</v>
      </c>
      <c r="W106" s="119">
        <f>IF(Table1[[#This Row],[Maintenance]]="yes",IF(OR(Table1[[#This Row],[Start Contract]]="",Table1[[#This Row],[Duration Month2]]=""),"",EDATE(Table1[[#This Row],[Start Contract]],Table1[[#This Row],[Duration Month2]])),"-")</f>
        <v>45644</v>
      </c>
      <c r="X106" s="115">
        <f>IF(OR((W106=""),(W106="-")),"",YEAR(Table1[[#This Row],[End Contract]]))</f>
        <v>2024</v>
      </c>
      <c r="Y106" s="54" t="str">
        <f ca="1">IF(Table1[[#This Row],[Maintenance]]="yes",IF(Table1[[#This Row],[End Contract]]="","no",IF(TODAY()&lt;=Table1[[#This Row],[End Contract]],"yes","no")),"no")</f>
        <v>no</v>
      </c>
      <c r="Z106" s="54"/>
      <c r="AA106" s="54"/>
      <c r="AB106" s="54"/>
    </row>
    <row r="107" spans="1:28" x14ac:dyDescent="0.3">
      <c r="A107" s="50">
        <v>101</v>
      </c>
      <c r="B107" s="153" t="s">
        <v>586</v>
      </c>
      <c r="C107" s="153" t="s">
        <v>587</v>
      </c>
      <c r="D107" s="154">
        <v>500348863</v>
      </c>
      <c r="E107" s="155" t="s">
        <v>588</v>
      </c>
      <c r="F107" s="155" t="s">
        <v>51</v>
      </c>
      <c r="G107" s="155">
        <v>595</v>
      </c>
      <c r="H107" s="155">
        <v>324.3</v>
      </c>
      <c r="I107" s="155" t="s">
        <v>8</v>
      </c>
      <c r="J107" s="154" t="s">
        <v>76</v>
      </c>
      <c r="K107" s="155">
        <v>1</v>
      </c>
      <c r="L107" s="155">
        <f>Table1[[#This Row],[Duration]]*12</f>
        <v>12</v>
      </c>
      <c r="M107" s="156">
        <v>45561</v>
      </c>
      <c r="N107" s="157" t="s">
        <v>77</v>
      </c>
      <c r="O107" s="157" t="s">
        <v>53</v>
      </c>
      <c r="P107" s="157" t="s">
        <v>61</v>
      </c>
      <c r="Q107" s="158" t="s">
        <v>589</v>
      </c>
      <c r="R107" s="141" t="s">
        <v>7</v>
      </c>
      <c r="S107" s="141" t="s">
        <v>590</v>
      </c>
      <c r="T107" s="141" t="s">
        <v>591</v>
      </c>
      <c r="U107" s="144" t="s">
        <v>592</v>
      </c>
      <c r="V107" s="141">
        <v>939851108</v>
      </c>
      <c r="W107" s="119">
        <f>IF(Table1[[#This Row],[Maintenance]]="yes",IF(OR(Table1[[#This Row],[Start Contract]]="",Table1[[#This Row],[Duration Month2]]=""),"",EDATE(Table1[[#This Row],[Start Contract]],Table1[[#This Row],[Duration Month2]])),"-")</f>
        <v>45926</v>
      </c>
      <c r="X107" s="115">
        <f>IF(OR((W107=""),(W107="-")),"",YEAR(Table1[[#This Row],[End Contract]]))</f>
        <v>2025</v>
      </c>
      <c r="Y107" s="54" t="str">
        <f ca="1">IF(Table1[[#This Row],[Maintenance]]="yes",IF(Table1[[#This Row],[End Contract]]="","no",IF(TODAY()&lt;=Table1[[#This Row],[End Contract]],"yes","no")),"no")</f>
        <v>no</v>
      </c>
      <c r="Z107" s="54"/>
      <c r="AA107" s="54" t="s">
        <v>1386</v>
      </c>
      <c r="AB107" s="54" t="s">
        <v>1408</v>
      </c>
    </row>
    <row r="108" spans="1:28" x14ac:dyDescent="0.3">
      <c r="A108" s="50">
        <v>102</v>
      </c>
      <c r="B108" s="153" t="s">
        <v>593</v>
      </c>
      <c r="C108" s="153" t="s">
        <v>594</v>
      </c>
      <c r="D108" s="154">
        <v>501913769</v>
      </c>
      <c r="E108" s="155" t="s">
        <v>595</v>
      </c>
      <c r="F108" s="155" t="s">
        <v>9</v>
      </c>
      <c r="G108" s="155">
        <v>595</v>
      </c>
      <c r="H108" s="160">
        <v>327.3</v>
      </c>
      <c r="I108" s="155" t="s">
        <v>8</v>
      </c>
      <c r="J108" s="154" t="s">
        <v>76</v>
      </c>
      <c r="K108" s="155">
        <v>2</v>
      </c>
      <c r="L108" s="155">
        <f>Table1[[#This Row],[Duration]]*12</f>
        <v>24</v>
      </c>
      <c r="M108" s="156">
        <v>45146</v>
      </c>
      <c r="N108" s="157" t="s">
        <v>77</v>
      </c>
      <c r="O108" s="157" t="s">
        <v>596</v>
      </c>
      <c r="P108" s="157" t="s">
        <v>61</v>
      </c>
      <c r="Q108" s="158" t="s">
        <v>597</v>
      </c>
      <c r="R108" s="141" t="s">
        <v>7</v>
      </c>
      <c r="S108" s="141" t="s">
        <v>598</v>
      </c>
      <c r="T108" s="141" t="s">
        <v>172</v>
      </c>
      <c r="U108" s="144" t="s">
        <v>599</v>
      </c>
      <c r="V108" s="141">
        <v>917368440</v>
      </c>
      <c r="W108" s="119">
        <f>IF(Table1[[#This Row],[Maintenance]]="yes",IF(OR(Table1[[#This Row],[Start Contract]]="",Table1[[#This Row],[Duration Month2]]=""),"",EDATE(Table1[[#This Row],[Start Contract]],Table1[[#This Row],[Duration Month2]])),"-")</f>
        <v>45877</v>
      </c>
      <c r="X108" s="115">
        <f>IF(OR((W108=""),(W108="-")),"",YEAR(Table1[[#This Row],[End Contract]]))</f>
        <v>2025</v>
      </c>
      <c r="Y108" s="54" t="str">
        <f ca="1">IF(Table1[[#This Row],[Maintenance]]="yes",IF(Table1[[#This Row],[End Contract]]="","no",IF(TODAY()&lt;=Table1[[#This Row],[End Contract]],"yes","no")),"no")</f>
        <v>no</v>
      </c>
      <c r="Z108" s="54"/>
      <c r="AA108" s="54"/>
      <c r="AB108" s="54"/>
    </row>
    <row r="109" spans="1:28" x14ac:dyDescent="0.3">
      <c r="A109" s="50">
        <v>103</v>
      </c>
      <c r="B109" s="50" t="s">
        <v>600</v>
      </c>
      <c r="C109" s="50" t="s">
        <v>601</v>
      </c>
      <c r="D109" s="75">
        <v>500727457</v>
      </c>
      <c r="E109" s="81" t="s">
        <v>602</v>
      </c>
      <c r="F109" s="81" t="s">
        <v>9</v>
      </c>
      <c r="G109" s="81">
        <v>290</v>
      </c>
      <c r="H109" s="81">
        <v>133.4</v>
      </c>
      <c r="I109" s="81" t="s">
        <v>8</v>
      </c>
      <c r="J109" s="75" t="s">
        <v>76</v>
      </c>
      <c r="K109" s="81">
        <v>0</v>
      </c>
      <c r="L109" s="81">
        <f>Table1[[#This Row],[Duration]]*12</f>
        <v>0</v>
      </c>
      <c r="M109" s="82" t="s">
        <v>178</v>
      </c>
      <c r="N109" s="46" t="str">
        <f>IF(AND(Table1[[#This Row],[ Type of Contract]]="ESCO",Table1[[#This Row],[Status Detail]]="ACTIVE"),"yes","no")</f>
        <v>no</v>
      </c>
      <c r="O109" s="46" t="s">
        <v>53</v>
      </c>
      <c r="P109" s="46" t="s">
        <v>61</v>
      </c>
      <c r="Q109" s="76" t="s">
        <v>79</v>
      </c>
      <c r="R109" s="49" t="s">
        <v>7</v>
      </c>
      <c r="S109" s="49" t="s">
        <v>603</v>
      </c>
      <c r="T109" s="49" t="s">
        <v>604</v>
      </c>
      <c r="U109" s="49" t="s">
        <v>371</v>
      </c>
      <c r="V109" s="49">
        <v>918494621</v>
      </c>
      <c r="W109" s="119" t="str">
        <f>IF(Table1[[#This Row],[Maintenance]]="yes",IF(OR(Table1[[#This Row],[Start Contract]]="",Table1[[#This Row],[Duration Month2]]=""),"",EDATE(Table1[[#This Row],[Start Contract]],Table1[[#This Row],[Duration Month2]])),"-")</f>
        <v>-</v>
      </c>
      <c r="X109" s="115" t="str">
        <f>IF(OR((W109=""),(W109="-")),"",YEAR(Table1[[#This Row],[End Contract]]))</f>
        <v/>
      </c>
      <c r="Y109" s="54" t="str">
        <f ca="1">IF(Table1[[#This Row],[Maintenance]]="yes",IF(Table1[[#This Row],[End Contract]]="","no",IF(TODAY()&lt;=Table1[[#This Row],[End Contract]],"yes","no")),"no")</f>
        <v>no</v>
      </c>
      <c r="Z109" s="54"/>
      <c r="AA109" s="54"/>
      <c r="AB109" s="54"/>
    </row>
    <row r="110" spans="1:28" x14ac:dyDescent="0.3">
      <c r="A110" s="50">
        <v>104</v>
      </c>
      <c r="B110" s="50" t="s">
        <v>605</v>
      </c>
      <c r="C110" s="50" t="s">
        <v>606</v>
      </c>
      <c r="D110" s="75">
        <v>504277383</v>
      </c>
      <c r="E110" s="81" t="s">
        <v>607</v>
      </c>
      <c r="F110" s="81" t="s">
        <v>12</v>
      </c>
      <c r="G110" s="81">
        <v>1022</v>
      </c>
      <c r="H110" s="81">
        <v>449.7</v>
      </c>
      <c r="I110" s="81" t="s">
        <v>8</v>
      </c>
      <c r="J110" s="75" t="s">
        <v>76</v>
      </c>
      <c r="K110" s="81">
        <v>0</v>
      </c>
      <c r="L110" s="81">
        <f>Table1[[#This Row],[Duration]]*12</f>
        <v>0</v>
      </c>
      <c r="M110" s="82" t="s">
        <v>178</v>
      </c>
      <c r="N110" s="46" t="str">
        <f>IF(AND(Table1[[#This Row],[ Type of Contract]]="ESCO",Table1[[#This Row],[Status Detail]]="ACTIVE"),"yes","no")</f>
        <v>no</v>
      </c>
      <c r="O110" s="46" t="s">
        <v>53</v>
      </c>
      <c r="P110" s="46" t="s">
        <v>61</v>
      </c>
      <c r="Q110" s="76" t="s">
        <v>79</v>
      </c>
      <c r="R110" s="49" t="s">
        <v>7</v>
      </c>
      <c r="S110" s="49" t="s">
        <v>1412</v>
      </c>
      <c r="T110" s="49" t="s">
        <v>70</v>
      </c>
      <c r="U110" s="49"/>
      <c r="V110" s="49" t="s">
        <v>1413</v>
      </c>
      <c r="W110" s="119" t="str">
        <f>IF(Table1[[#This Row],[Maintenance]]="yes",IF(OR(Table1[[#This Row],[Start Contract]]="",Table1[[#This Row],[Duration Month2]]=""),"",EDATE(Table1[[#This Row],[Start Contract]],Table1[[#This Row],[Duration Month2]])),"-")</f>
        <v>-</v>
      </c>
      <c r="X110" s="115" t="str">
        <f>IF(OR((W110=""),(W110="-")),"",YEAR(Table1[[#This Row],[End Contract]]))</f>
        <v/>
      </c>
      <c r="Y110" s="54" t="str">
        <f ca="1">IF(Table1[[#This Row],[Maintenance]]="yes",IF(Table1[[#This Row],[End Contract]]="","no",IF(TODAY()&lt;=Table1[[#This Row],[End Contract]],"yes","no")),"no")</f>
        <v>no</v>
      </c>
      <c r="Z110" s="54"/>
      <c r="AA110" s="54"/>
      <c r="AB110" s="54"/>
    </row>
    <row r="111" spans="1:28" x14ac:dyDescent="0.3">
      <c r="A111" s="50">
        <v>105</v>
      </c>
      <c r="B111" s="50" t="s">
        <v>608</v>
      </c>
      <c r="C111" s="50" t="s">
        <v>609</v>
      </c>
      <c r="D111" s="75">
        <v>502200979</v>
      </c>
      <c r="E111" s="81" t="s">
        <v>610</v>
      </c>
      <c r="F111" s="81" t="s">
        <v>17</v>
      </c>
      <c r="G111" s="81">
        <v>55</v>
      </c>
      <c r="H111" s="81">
        <v>30</v>
      </c>
      <c r="I111" s="81" t="s">
        <v>8</v>
      </c>
      <c r="J111" s="75" t="s">
        <v>76</v>
      </c>
      <c r="K111" s="81">
        <v>0</v>
      </c>
      <c r="L111" s="81">
        <f>Table1[[#This Row],[Duration]]*12</f>
        <v>0</v>
      </c>
      <c r="M111" s="82" t="s">
        <v>178</v>
      </c>
      <c r="N111" s="46" t="str">
        <f>IF(AND(Table1[[#This Row],[ Type of Contract]]="ESCO",Table1[[#This Row],[Status Detail]]="ACTIVE"),"yes","no")</f>
        <v>no</v>
      </c>
      <c r="O111" s="46" t="s">
        <v>431</v>
      </c>
      <c r="P111" s="46" t="s">
        <v>61</v>
      </c>
      <c r="Q111" s="76" t="s">
        <v>474</v>
      </c>
      <c r="R111" s="49" t="s">
        <v>7</v>
      </c>
      <c r="S111" s="122" t="s">
        <v>611</v>
      </c>
      <c r="T111" s="54"/>
      <c r="U111" s="128" t="s">
        <v>612</v>
      </c>
      <c r="V111" s="122" t="s">
        <v>613</v>
      </c>
      <c r="W111" s="119" t="str">
        <f>IF(Table1[[#This Row],[Maintenance]]="yes",IF(OR(Table1[[#This Row],[Start Contract]]="",Table1[[#This Row],[Duration Month2]]=""),"",EDATE(Table1[[#This Row],[Start Contract]],Table1[[#This Row],[Duration Month2]])),"-")</f>
        <v>-</v>
      </c>
      <c r="X111" s="115" t="str">
        <f>IF(OR((W111=""),(W111="-")),"",YEAR(Table1[[#This Row],[End Contract]]))</f>
        <v/>
      </c>
      <c r="Y111" s="54" t="str">
        <f ca="1">IF(Table1[[#This Row],[Maintenance]]="yes",IF(Table1[[#This Row],[End Contract]]="","no",IF(TODAY()&lt;=Table1[[#This Row],[End Contract]],"yes","no")),"no")</f>
        <v>no</v>
      </c>
      <c r="Z111" s="54"/>
      <c r="AA111" s="54"/>
      <c r="AB111" s="54"/>
    </row>
    <row r="112" spans="1:28" x14ac:dyDescent="0.3">
      <c r="A112" s="50">
        <v>106</v>
      </c>
      <c r="B112" s="153" t="s">
        <v>614</v>
      </c>
      <c r="C112" s="153" t="s">
        <v>614</v>
      </c>
      <c r="D112" s="154">
        <v>501426892</v>
      </c>
      <c r="E112" s="155" t="s">
        <v>615</v>
      </c>
      <c r="F112" s="155" t="s">
        <v>616</v>
      </c>
      <c r="G112" s="155">
        <v>147</v>
      </c>
      <c r="H112" s="155">
        <v>53</v>
      </c>
      <c r="I112" s="155" t="s">
        <v>11</v>
      </c>
      <c r="J112" s="154" t="s">
        <v>456</v>
      </c>
      <c r="K112" s="155">
        <v>10</v>
      </c>
      <c r="L112" s="155">
        <f>Table1[[#This Row],[Duration]]*12</f>
        <v>120</v>
      </c>
      <c r="M112" s="156">
        <v>45231</v>
      </c>
      <c r="N112" s="157" t="str">
        <f>IF(AND(Table1[[#This Row],[ Type of Contract]]="ESCO",Table1[[#This Row],[Status Detail]]="ACTIVE"),"yes","no")</f>
        <v>yes</v>
      </c>
      <c r="O112" s="157" t="s">
        <v>431</v>
      </c>
      <c r="P112" s="157" t="s">
        <v>61</v>
      </c>
      <c r="Q112" s="158"/>
      <c r="R112" s="141" t="s">
        <v>7</v>
      </c>
      <c r="S112" s="141" t="s">
        <v>617</v>
      </c>
      <c r="T112" s="141" t="s">
        <v>618</v>
      </c>
      <c r="U112" s="144" t="s">
        <v>619</v>
      </c>
      <c r="V112" s="141">
        <v>281324800</v>
      </c>
      <c r="W112" s="119">
        <f>IF(Table1[[#This Row],[Maintenance]]="yes",IF(OR(Table1[[#This Row],[Start Contract]]="",Table1[[#This Row],[Duration Month2]]=""),"",EDATE(Table1[[#This Row],[Start Contract]],Table1[[#This Row],[Duration Month2]])),"-")</f>
        <v>48884</v>
      </c>
      <c r="X112" s="115">
        <f>IF(OR((W112=""),(W112="-")),"",YEAR(Table1[[#This Row],[End Contract]]))</f>
        <v>2033</v>
      </c>
      <c r="Y112" s="54" t="str">
        <f ca="1">IF(Table1[[#This Row],[Maintenance]]="yes",IF(Table1[[#This Row],[End Contract]]="","no",IF(TODAY()&lt;=Table1[[#This Row],[End Contract]],"yes","no")),"no")</f>
        <v>yes</v>
      </c>
      <c r="Z112" s="54"/>
      <c r="AA112" s="277">
        <v>5324.88</v>
      </c>
      <c r="AB112" s="54" t="s">
        <v>1409</v>
      </c>
    </row>
    <row r="113" spans="1:28" x14ac:dyDescent="0.3">
      <c r="A113" s="50">
        <v>107</v>
      </c>
      <c r="B113" s="153" t="s">
        <v>620</v>
      </c>
      <c r="C113" s="153" t="s">
        <v>621</v>
      </c>
      <c r="D113" s="154">
        <v>500945586</v>
      </c>
      <c r="E113" s="155" t="s">
        <v>622</v>
      </c>
      <c r="F113" s="155" t="s">
        <v>17</v>
      </c>
      <c r="G113" s="155">
        <v>142</v>
      </c>
      <c r="H113" s="155">
        <v>78.099999999999994</v>
      </c>
      <c r="I113" s="155" t="s">
        <v>8</v>
      </c>
      <c r="J113" s="154" t="s">
        <v>76</v>
      </c>
      <c r="K113" s="155">
        <v>4</v>
      </c>
      <c r="L113" s="155">
        <f>Table1[[#This Row],[Duration]]*12</f>
        <v>48</v>
      </c>
      <c r="M113" s="156">
        <v>45222</v>
      </c>
      <c r="N113" s="157" t="s">
        <v>77</v>
      </c>
      <c r="O113" s="157" t="s">
        <v>53</v>
      </c>
      <c r="P113" s="157" t="s">
        <v>61</v>
      </c>
      <c r="Q113" s="158" t="s">
        <v>623</v>
      </c>
      <c r="R113" s="141" t="s">
        <v>7</v>
      </c>
      <c r="S113" s="141" t="s">
        <v>624</v>
      </c>
      <c r="T113" s="141" t="s">
        <v>70</v>
      </c>
      <c r="U113" s="151" t="s">
        <v>625</v>
      </c>
      <c r="V113" s="141">
        <v>961557014</v>
      </c>
      <c r="W113" s="119">
        <f>IF(Table1[[#This Row],[Maintenance]]="yes",IF(OR(Table1[[#This Row],[Start Contract]]="",Table1[[#This Row],[Duration Month2]]=""),"",EDATE(Table1[[#This Row],[Start Contract]],Table1[[#This Row],[Duration Month2]])),"-")</f>
        <v>46683</v>
      </c>
      <c r="X113" s="115">
        <f>IF(OR((W113=""),(W113="-")),"",YEAR(Table1[[#This Row],[End Contract]]))</f>
        <v>2027</v>
      </c>
      <c r="Y113" s="54" t="str">
        <f ca="1">IF(Table1[[#This Row],[Maintenance]]="yes",IF(Table1[[#This Row],[End Contract]]="","no",IF(TODAY()&lt;=Table1[[#This Row],[End Contract]],"yes","no")),"no")</f>
        <v>yes</v>
      </c>
      <c r="Z113" s="54"/>
      <c r="AA113" s="277" t="s">
        <v>178</v>
      </c>
      <c r="AB113" s="276" t="s">
        <v>1405</v>
      </c>
    </row>
    <row r="114" spans="1:28" x14ac:dyDescent="0.3">
      <c r="A114" s="50">
        <v>108</v>
      </c>
      <c r="B114" s="153" t="s">
        <v>627</v>
      </c>
      <c r="C114" s="153" t="s">
        <v>628</v>
      </c>
      <c r="D114" s="154">
        <v>508619041</v>
      </c>
      <c r="E114" s="155" t="s">
        <v>629</v>
      </c>
      <c r="F114" s="155" t="s">
        <v>630</v>
      </c>
      <c r="G114" s="155">
        <v>248</v>
      </c>
      <c r="H114" s="155">
        <v>141.36000000000001</v>
      </c>
      <c r="I114" s="155" t="s">
        <v>11</v>
      </c>
      <c r="J114" s="154" t="s">
        <v>456</v>
      </c>
      <c r="K114" s="155">
        <v>15</v>
      </c>
      <c r="L114" s="155">
        <f>Table1[[#This Row],[Duration]]*12</f>
        <v>180</v>
      </c>
      <c r="M114" s="152">
        <v>45474</v>
      </c>
      <c r="N114" s="157" t="str">
        <f>IF(AND(Table1[[#This Row],[ Type of Contract]]="ESCO",Table1[[#This Row],[Status Detail]]="ACTIVE"),"yes","no")</f>
        <v>yes</v>
      </c>
      <c r="O114" s="157" t="s">
        <v>53</v>
      </c>
      <c r="P114" s="157" t="s">
        <v>61</v>
      </c>
      <c r="Q114" s="158"/>
      <c r="R114" s="141" t="s">
        <v>7</v>
      </c>
      <c r="S114" s="141" t="s">
        <v>631</v>
      </c>
      <c r="T114" s="141" t="s">
        <v>70</v>
      </c>
      <c r="U114" s="144" t="s">
        <v>632</v>
      </c>
      <c r="V114" s="141">
        <v>916163015</v>
      </c>
      <c r="W114" s="119">
        <f>IF(Table1[[#This Row],[Maintenance]]="yes",IF(OR(Table1[[#This Row],[Start Contract]]="",Table1[[#This Row],[Duration Month2]]=""),"",EDATE(Table1[[#This Row],[Start Contract]],Table1[[#This Row],[Duration Month2]])),"-")</f>
        <v>50952</v>
      </c>
      <c r="X114" s="115">
        <f>IF(OR((W114=""),(W114="-")),"",YEAR(Table1[[#This Row],[End Contract]]))</f>
        <v>2039</v>
      </c>
      <c r="Y114" s="54" t="str">
        <f ca="1">IF(Table1[[#This Row],[Maintenance]]="yes",IF(Table1[[#This Row],[End Contract]]="","no",IF(TODAY()&lt;=Table1[[#This Row],[End Contract]],"yes","no")),"no")</f>
        <v>yes</v>
      </c>
      <c r="Z114" s="54"/>
      <c r="AA114" s="277">
        <v>13671.36</v>
      </c>
      <c r="AB114" s="54" t="s">
        <v>1409</v>
      </c>
    </row>
    <row r="115" spans="1:28" x14ac:dyDescent="0.3">
      <c r="A115" s="50">
        <v>109</v>
      </c>
      <c r="B115" s="153" t="s">
        <v>1415</v>
      </c>
      <c r="C115" s="153" t="s">
        <v>634</v>
      </c>
      <c r="D115" s="154">
        <v>901663964</v>
      </c>
      <c r="E115" s="146" t="s">
        <v>635</v>
      </c>
      <c r="F115" s="155" t="s">
        <v>9</v>
      </c>
      <c r="G115" s="155">
        <v>274</v>
      </c>
      <c r="H115" s="155">
        <v>156.18</v>
      </c>
      <c r="I115" s="155" t="s">
        <v>8</v>
      </c>
      <c r="J115" s="154" t="s">
        <v>76</v>
      </c>
      <c r="K115" s="155">
        <v>1</v>
      </c>
      <c r="L115" s="155">
        <f>Table1[[#This Row],[Duration]]*12</f>
        <v>12</v>
      </c>
      <c r="M115" s="156">
        <v>45413</v>
      </c>
      <c r="N115" s="157" t="s">
        <v>77</v>
      </c>
      <c r="O115" s="157" t="s">
        <v>431</v>
      </c>
      <c r="P115" s="157" t="s">
        <v>432</v>
      </c>
      <c r="Q115" s="158" t="s">
        <v>636</v>
      </c>
      <c r="R115" s="141" t="s">
        <v>7</v>
      </c>
      <c r="S115" s="141" t="s">
        <v>637</v>
      </c>
      <c r="T115" s="141" t="s">
        <v>638</v>
      </c>
      <c r="U115" s="151" t="s">
        <v>639</v>
      </c>
      <c r="V115" s="141">
        <v>919309216</v>
      </c>
      <c r="W115" s="119">
        <f>IF(Table1[[#This Row],[Maintenance]]="yes",IF(OR(Table1[[#This Row],[Start Contract]]="",Table1[[#This Row],[Duration Month2]]=""),"",EDATE(Table1[[#This Row],[Start Contract]],Table1[[#This Row],[Duration Month2]])),"-")</f>
        <v>45778</v>
      </c>
      <c r="X115" s="115">
        <f>IF(OR((W115=""),(W115="-")),"",YEAR(Table1[[#This Row],[End Contract]]))</f>
        <v>2025</v>
      </c>
      <c r="Y115" s="54" t="str">
        <f ca="1">IF(Table1[[#This Row],[Maintenance]]="yes",IF(Table1[[#This Row],[End Contract]]="","no",IF(TODAY()&lt;=Table1[[#This Row],[End Contract]],"yes","no")),"no")</f>
        <v>no</v>
      </c>
      <c r="Z115" s="54" t="s">
        <v>640</v>
      </c>
      <c r="AA115" s="54"/>
      <c r="AB115" s="54"/>
    </row>
    <row r="116" spans="1:28" ht="27.6" customHeight="1" x14ac:dyDescent="0.3">
      <c r="A116" s="50">
        <v>110</v>
      </c>
      <c r="B116" s="50" t="s">
        <v>641</v>
      </c>
      <c r="C116" s="50" t="s">
        <v>642</v>
      </c>
      <c r="D116" s="75">
        <v>502136120</v>
      </c>
      <c r="E116" s="81" t="s">
        <v>643</v>
      </c>
      <c r="F116" s="81" t="s">
        <v>12</v>
      </c>
      <c r="G116" s="81">
        <v>910</v>
      </c>
      <c r="H116" s="81">
        <v>500.5</v>
      </c>
      <c r="I116" s="81" t="s">
        <v>8</v>
      </c>
      <c r="J116" s="75" t="s">
        <v>76</v>
      </c>
      <c r="K116" s="81">
        <v>0</v>
      </c>
      <c r="L116" s="81">
        <f>Table1[[#This Row],[Duration]]*12</f>
        <v>0</v>
      </c>
      <c r="M116" s="82" t="s">
        <v>178</v>
      </c>
      <c r="N116" s="46" t="str">
        <f>IF(AND(Table1[[#This Row],[ Type of Contract]]="ESCO",Table1[[#This Row],[Status Detail]]="ACTIVE"),"yes","no")</f>
        <v>no</v>
      </c>
      <c r="O116" s="46" t="s">
        <v>207</v>
      </c>
      <c r="P116" s="46" t="s">
        <v>208</v>
      </c>
      <c r="Q116" s="76"/>
      <c r="R116" s="49" t="s">
        <v>7</v>
      </c>
      <c r="S116" s="49" t="s">
        <v>644</v>
      </c>
      <c r="T116" s="49" t="s">
        <v>152</v>
      </c>
      <c r="U116" s="49"/>
      <c r="V116" s="53" t="s">
        <v>645</v>
      </c>
      <c r="W116" s="119" t="str">
        <f>IF(Table1[[#This Row],[Maintenance]]="yes",IF(OR(Table1[[#This Row],[Start Contract]]="",Table1[[#This Row],[Duration Month2]]=""),"",EDATE(Table1[[#This Row],[Start Contract]],Table1[[#This Row],[Duration Month2]])),"-")</f>
        <v>-</v>
      </c>
      <c r="X116" s="115" t="str">
        <f>IF(OR((W116=""),(W116="-")),"",YEAR(Table1[[#This Row],[End Contract]]))</f>
        <v/>
      </c>
      <c r="Y116" s="54" t="str">
        <f ca="1">IF(Table1[[#This Row],[Maintenance]]="yes",IF(Table1[[#This Row],[End Contract]]="","no",IF(TODAY()&lt;=Table1[[#This Row],[End Contract]],"yes","no")),"no")</f>
        <v>no</v>
      </c>
      <c r="Z116" s="54"/>
      <c r="AA116" s="54"/>
      <c r="AB116" s="54"/>
    </row>
    <row r="117" spans="1:28" x14ac:dyDescent="0.3">
      <c r="A117" s="50">
        <v>111</v>
      </c>
      <c r="B117" s="50" t="s">
        <v>646</v>
      </c>
      <c r="C117" s="50" t="s">
        <v>647</v>
      </c>
      <c r="D117" s="75">
        <v>514471840</v>
      </c>
      <c r="E117" s="81" t="s">
        <v>648</v>
      </c>
      <c r="F117" s="81" t="s">
        <v>9</v>
      </c>
      <c r="G117" s="81">
        <v>402</v>
      </c>
      <c r="H117" s="81">
        <v>173.22</v>
      </c>
      <c r="I117" s="81" t="s">
        <v>8</v>
      </c>
      <c r="J117" s="75" t="s">
        <v>76</v>
      </c>
      <c r="K117" s="81">
        <v>0</v>
      </c>
      <c r="L117" s="81">
        <f>Table1[[#This Row],[Duration]]*12</f>
        <v>0</v>
      </c>
      <c r="M117" s="82" t="s">
        <v>178</v>
      </c>
      <c r="N117" s="46" t="str">
        <f>IF(AND(Table1[[#This Row],[ Type of Contract]]="ESCO",Table1[[#This Row],[Status Detail]]="ACTIVE"),"yes","no")</f>
        <v>no</v>
      </c>
      <c r="O117" s="46" t="s">
        <v>207</v>
      </c>
      <c r="P117" s="46" t="s">
        <v>208</v>
      </c>
      <c r="Q117" s="76"/>
      <c r="R117" s="49" t="s">
        <v>7</v>
      </c>
      <c r="S117" s="49" t="s">
        <v>649</v>
      </c>
      <c r="T117" s="49" t="s">
        <v>70</v>
      </c>
      <c r="U117" s="49"/>
      <c r="V117" s="49">
        <v>964372709</v>
      </c>
      <c r="W117" s="119" t="str">
        <f>IF(Table1[[#This Row],[Maintenance]]="yes",IF(OR(Table1[[#This Row],[Start Contract]]="",Table1[[#This Row],[Duration Month2]]=""),"",EDATE(Table1[[#This Row],[Start Contract]],Table1[[#This Row],[Duration Month2]])),"-")</f>
        <v>-</v>
      </c>
      <c r="X117" s="115" t="str">
        <f>IF(OR((W117=""),(W117="-")),"",YEAR(Table1[[#This Row],[End Contract]]))</f>
        <v/>
      </c>
      <c r="Y117" s="54" t="str">
        <f ca="1">IF(Table1[[#This Row],[Maintenance]]="yes",IF(Table1[[#This Row],[End Contract]]="","no",IF(TODAY()&lt;=Table1[[#This Row],[End Contract]],"yes","no")),"no")</f>
        <v>no</v>
      </c>
      <c r="Z117" s="54"/>
      <c r="AA117" s="54"/>
      <c r="AB117" s="54"/>
    </row>
    <row r="118" spans="1:28" x14ac:dyDescent="0.3">
      <c r="A118" s="50">
        <v>112</v>
      </c>
      <c r="B118" s="50" t="s">
        <v>650</v>
      </c>
      <c r="C118" s="50" t="s">
        <v>651</v>
      </c>
      <c r="D118" s="75">
        <v>500239878</v>
      </c>
      <c r="E118" s="81" t="s">
        <v>652</v>
      </c>
      <c r="F118" s="81" t="s">
        <v>12</v>
      </c>
      <c r="G118" s="81">
        <v>68</v>
      </c>
      <c r="H118" s="81">
        <v>29.9</v>
      </c>
      <c r="I118" s="81" t="s">
        <v>8</v>
      </c>
      <c r="J118" s="75" t="s">
        <v>76</v>
      </c>
      <c r="K118" s="81">
        <v>0</v>
      </c>
      <c r="L118" s="81">
        <f>Table1[[#This Row],[Duration]]*12</f>
        <v>0</v>
      </c>
      <c r="M118" s="82" t="s">
        <v>178</v>
      </c>
      <c r="N118" s="46" t="str">
        <f>IF(AND(Table1[[#This Row],[ Type of Contract]]="ESCO",Table1[[#This Row],[Status Detail]]="ACTIVE"),"yes","no")</f>
        <v>no</v>
      </c>
      <c r="O118" s="46" t="s">
        <v>53</v>
      </c>
      <c r="P118" s="46" t="s">
        <v>61</v>
      </c>
      <c r="Q118" s="76"/>
      <c r="R118" s="49" t="s">
        <v>7</v>
      </c>
      <c r="S118" s="49"/>
      <c r="T118" s="49"/>
      <c r="U118" s="49"/>
      <c r="V118" s="49"/>
      <c r="W118" s="119" t="str">
        <f>IF(Table1[[#This Row],[Maintenance]]="yes",IF(OR(Table1[[#This Row],[Start Contract]]="",Table1[[#This Row],[Duration Month2]]=""),"",EDATE(Table1[[#This Row],[Start Contract]],Table1[[#This Row],[Duration Month2]])),"-")</f>
        <v>-</v>
      </c>
      <c r="X118" s="115" t="str">
        <f>IF(OR((W118=""),(W118="-")),"",YEAR(Table1[[#This Row],[End Contract]]))</f>
        <v/>
      </c>
      <c r="Y118" s="54" t="str">
        <f ca="1">IF(Table1[[#This Row],[Maintenance]]="yes",IF(Table1[[#This Row],[End Contract]]="","no",IF(TODAY()&lt;=Table1[[#This Row],[End Contract]],"yes","no")),"no")</f>
        <v>no</v>
      </c>
      <c r="Z118" s="54"/>
      <c r="AA118" s="54"/>
      <c r="AB118" s="54"/>
    </row>
    <row r="119" spans="1:28" x14ac:dyDescent="0.3">
      <c r="A119" s="50">
        <v>113</v>
      </c>
      <c r="B119" s="50" t="s">
        <v>653</v>
      </c>
      <c r="C119" s="50" t="s">
        <v>654</v>
      </c>
      <c r="D119" s="75">
        <v>501441450</v>
      </c>
      <c r="E119" s="81" t="s">
        <v>655</v>
      </c>
      <c r="F119" s="81" t="s">
        <v>68</v>
      </c>
      <c r="G119" s="81">
        <v>76</v>
      </c>
      <c r="H119" s="81">
        <v>33.4</v>
      </c>
      <c r="I119" s="81" t="s">
        <v>8</v>
      </c>
      <c r="J119" s="75" t="s">
        <v>76</v>
      </c>
      <c r="K119" s="81">
        <v>0</v>
      </c>
      <c r="L119" s="81">
        <f>Table1[[#This Row],[Duration]]*12</f>
        <v>0</v>
      </c>
      <c r="M119" s="82" t="s">
        <v>178</v>
      </c>
      <c r="N119" s="46" t="str">
        <f>IF(AND(Table1[[#This Row],[ Type of Contract]]="ESCO",Table1[[#This Row],[Status Detail]]="ACTIVE"),"yes","no")</f>
        <v>no</v>
      </c>
      <c r="O119" s="46" t="s">
        <v>94</v>
      </c>
      <c r="P119" s="46" t="s">
        <v>61</v>
      </c>
      <c r="Q119" s="76"/>
      <c r="R119" s="49" t="s">
        <v>7</v>
      </c>
      <c r="S119" s="122" t="s">
        <v>656</v>
      </c>
      <c r="T119" s="54"/>
      <c r="U119" s="128" t="s">
        <v>657</v>
      </c>
      <c r="V119" s="122">
        <v>932770010</v>
      </c>
      <c r="W119" s="119" t="str">
        <f>IF(Table1[[#This Row],[Maintenance]]="yes",IF(OR(Table1[[#This Row],[Start Contract]]="",Table1[[#This Row],[Duration Month2]]=""),"",EDATE(Table1[[#This Row],[Start Contract]],Table1[[#This Row],[Duration Month2]])),"-")</f>
        <v>-</v>
      </c>
      <c r="X119" s="115" t="str">
        <f>IF(OR((W119=""),(W119="-")),"",YEAR(Table1[[#This Row],[End Contract]]))</f>
        <v/>
      </c>
      <c r="Y119" s="54" t="str">
        <f ca="1">IF(Table1[[#This Row],[Maintenance]]="yes",IF(Table1[[#This Row],[End Contract]]="","no",IF(TODAY()&lt;=Table1[[#This Row],[End Contract]],"yes","no")),"no")</f>
        <v>no</v>
      </c>
      <c r="Z119" s="54"/>
      <c r="AA119" s="54"/>
      <c r="AB119" s="54"/>
    </row>
    <row r="120" spans="1:28" x14ac:dyDescent="0.3">
      <c r="A120" s="50">
        <v>114</v>
      </c>
      <c r="B120" s="50" t="s">
        <v>658</v>
      </c>
      <c r="C120" s="50" t="s">
        <v>659</v>
      </c>
      <c r="D120" s="75">
        <v>501064869</v>
      </c>
      <c r="E120" s="81" t="s">
        <v>660</v>
      </c>
      <c r="F120" s="81" t="s">
        <v>12</v>
      </c>
      <c r="G120" s="81">
        <v>90</v>
      </c>
      <c r="H120" s="81">
        <v>39.6</v>
      </c>
      <c r="I120" s="81" t="s">
        <v>8</v>
      </c>
      <c r="J120" s="75" t="s">
        <v>76</v>
      </c>
      <c r="K120" s="81">
        <v>0</v>
      </c>
      <c r="L120" s="81">
        <f>Table1[[#This Row],[Duration]]*12</f>
        <v>0</v>
      </c>
      <c r="M120" s="82" t="s">
        <v>178</v>
      </c>
      <c r="N120" s="46" t="str">
        <f>IF(AND(Table1[[#This Row],[ Type of Contract]]="ESCO",Table1[[#This Row],[Status Detail]]="ACTIVE"),"yes","no")</f>
        <v>no</v>
      </c>
      <c r="O120" s="46" t="s">
        <v>94</v>
      </c>
      <c r="P120" s="46" t="s">
        <v>61</v>
      </c>
      <c r="Q120" s="76"/>
      <c r="R120" s="49" t="s">
        <v>7</v>
      </c>
      <c r="S120" s="122" t="s">
        <v>531</v>
      </c>
      <c r="T120" s="54"/>
      <c r="U120" s="128" t="s">
        <v>661</v>
      </c>
      <c r="V120" s="122">
        <v>969778474</v>
      </c>
      <c r="W120" s="119" t="str">
        <f>IF(Table1[[#This Row],[Maintenance]]="yes",IF(OR(Table1[[#This Row],[Start Contract]]="",Table1[[#This Row],[Duration Month2]]=""),"",EDATE(Table1[[#This Row],[Start Contract]],Table1[[#This Row],[Duration Month2]])),"-")</f>
        <v>-</v>
      </c>
      <c r="X120" s="115" t="str">
        <f>IF(OR((W120=""),(W120="-")),"",YEAR(Table1[[#This Row],[End Contract]]))</f>
        <v/>
      </c>
      <c r="Y120" s="54" t="str">
        <f ca="1">IF(Table1[[#This Row],[Maintenance]]="yes",IF(Table1[[#This Row],[End Contract]]="","no",IF(TODAY()&lt;=Table1[[#This Row],[End Contract]],"yes","no")),"no")</f>
        <v>no</v>
      </c>
      <c r="Z120" s="54"/>
      <c r="AA120" s="54"/>
      <c r="AB120" s="54"/>
    </row>
    <row r="121" spans="1:28" x14ac:dyDescent="0.3">
      <c r="A121" s="50">
        <v>115</v>
      </c>
      <c r="B121" s="50" t="s">
        <v>662</v>
      </c>
      <c r="C121" s="50" t="s">
        <v>663</v>
      </c>
      <c r="D121" s="75">
        <v>504905104</v>
      </c>
      <c r="E121" s="81" t="s">
        <v>664</v>
      </c>
      <c r="F121" s="81" t="s">
        <v>21</v>
      </c>
      <c r="G121" s="81">
        <v>136</v>
      </c>
      <c r="H121" s="81">
        <v>59.8</v>
      </c>
      <c r="I121" s="81" t="s">
        <v>8</v>
      </c>
      <c r="J121" s="75" t="s">
        <v>76</v>
      </c>
      <c r="K121" s="81">
        <v>0</v>
      </c>
      <c r="L121" s="81">
        <f>Table1[[#This Row],[Duration]]*12</f>
        <v>0</v>
      </c>
      <c r="M121" s="82" t="s">
        <v>178</v>
      </c>
      <c r="N121" s="46" t="str">
        <f>IF(AND(Table1[[#This Row],[ Type of Contract]]="ESCO",Table1[[#This Row],[Status Detail]]="ACTIVE"),"yes","no")</f>
        <v>no</v>
      </c>
      <c r="O121" s="46" t="s">
        <v>53</v>
      </c>
      <c r="P121" s="46" t="s">
        <v>61</v>
      </c>
      <c r="Q121" s="76"/>
      <c r="R121" s="49" t="s">
        <v>7</v>
      </c>
      <c r="S121" s="49" t="s">
        <v>665</v>
      </c>
      <c r="T121" s="49" t="s">
        <v>70</v>
      </c>
      <c r="U121" s="49"/>
      <c r="V121" s="49"/>
      <c r="W121" s="119" t="str">
        <f>IF(Table1[[#This Row],[Maintenance]]="yes",IF(OR(Table1[[#This Row],[Start Contract]]="",Table1[[#This Row],[Duration Month2]]=""),"",EDATE(Table1[[#This Row],[Start Contract]],Table1[[#This Row],[Duration Month2]])),"-")</f>
        <v>-</v>
      </c>
      <c r="X121" s="115" t="str">
        <f>IF(OR((W121=""),(W121="-")),"",YEAR(Table1[[#This Row],[End Contract]]))</f>
        <v/>
      </c>
      <c r="Y121" s="54" t="str">
        <f ca="1">IF(Table1[[#This Row],[Maintenance]]="yes",IF(Table1[[#This Row],[End Contract]]="","no",IF(TODAY()&lt;=Table1[[#This Row],[End Contract]],"yes","no")),"no")</f>
        <v>no</v>
      </c>
      <c r="Z121" s="54"/>
      <c r="AA121" s="54"/>
      <c r="AB121" s="54"/>
    </row>
    <row r="122" spans="1:28" x14ac:dyDescent="0.3">
      <c r="A122" s="50">
        <v>116</v>
      </c>
      <c r="B122" s="50" t="s">
        <v>666</v>
      </c>
      <c r="C122" s="50" t="s">
        <v>667</v>
      </c>
      <c r="D122" s="75">
        <v>502272708</v>
      </c>
      <c r="E122" s="81" t="s">
        <v>668</v>
      </c>
      <c r="F122" s="81"/>
      <c r="G122" s="81">
        <v>48</v>
      </c>
      <c r="H122" s="81"/>
      <c r="I122" s="81" t="s">
        <v>8</v>
      </c>
      <c r="J122" s="75" t="s">
        <v>76</v>
      </c>
      <c r="K122" s="81"/>
      <c r="L122" s="81">
        <f>Table1[[#This Row],[Duration]]*12</f>
        <v>0</v>
      </c>
      <c r="M122" s="82"/>
      <c r="N122" s="46" t="str">
        <f>IF(AND(Table1[[#This Row],[ Type of Contract]]="ESCO",Table1[[#This Row],[Status Detail]]="ACTIVE"),"yes","no")</f>
        <v>no</v>
      </c>
      <c r="O122" s="46" t="s">
        <v>94</v>
      </c>
      <c r="P122" s="46" t="s">
        <v>61</v>
      </c>
      <c r="Q122" s="76"/>
      <c r="R122" s="49" t="s">
        <v>14</v>
      </c>
      <c r="S122" s="49" t="s">
        <v>669</v>
      </c>
      <c r="T122" s="49" t="s">
        <v>70</v>
      </c>
      <c r="U122" s="49"/>
      <c r="V122" s="49"/>
      <c r="W122" s="119" t="str">
        <f>IF(Table1[[#This Row],[Maintenance]]="yes",IF(OR(Table1[[#This Row],[Start Contract]]="",Table1[[#This Row],[Duration Month2]]=""),"",EDATE(Table1[[#This Row],[Start Contract]],Table1[[#This Row],[Duration Month2]])),"-")</f>
        <v>-</v>
      </c>
      <c r="X122" s="115" t="str">
        <f>IF(OR((W122=""),(W122="-")),"",YEAR(Table1[[#This Row],[End Contract]]))</f>
        <v/>
      </c>
      <c r="Y122" s="54" t="str">
        <f ca="1">IF(Table1[[#This Row],[Maintenance]]="yes",IF(Table1[[#This Row],[End Contract]]="","no",IF(TODAY()&lt;=Table1[[#This Row],[End Contract]],"yes","no")),"no")</f>
        <v>no</v>
      </c>
      <c r="Z122" s="54"/>
      <c r="AA122" s="54"/>
      <c r="AB122" s="54"/>
    </row>
    <row r="123" spans="1:28" x14ac:dyDescent="0.3">
      <c r="A123" s="50">
        <v>118</v>
      </c>
      <c r="B123" s="153" t="s">
        <v>670</v>
      </c>
      <c r="C123" s="153" t="s">
        <v>671</v>
      </c>
      <c r="D123" s="154">
        <v>501130179</v>
      </c>
      <c r="E123" s="155" t="s">
        <v>672</v>
      </c>
      <c r="F123" s="155" t="s">
        <v>12</v>
      </c>
      <c r="G123" s="155">
        <v>48</v>
      </c>
      <c r="H123" s="155">
        <v>27.4</v>
      </c>
      <c r="I123" s="155" t="s">
        <v>11</v>
      </c>
      <c r="J123" s="154" t="s">
        <v>456</v>
      </c>
      <c r="K123" s="155">
        <v>15</v>
      </c>
      <c r="L123" s="155">
        <f>Table1[[#This Row],[Duration]]*12</f>
        <v>180</v>
      </c>
      <c r="M123" s="152">
        <v>45383</v>
      </c>
      <c r="N123" s="157" t="str">
        <f>IF(AND(Table1[[#This Row],[ Type of Contract]]="ESCO",Table1[[#This Row],[Status Detail]]="ACTIVE"),"yes","no")</f>
        <v>yes</v>
      </c>
      <c r="O123" s="157" t="s">
        <v>53</v>
      </c>
      <c r="P123" s="157" t="s">
        <v>61</v>
      </c>
      <c r="Q123" s="158"/>
      <c r="R123" s="141" t="s">
        <v>7</v>
      </c>
      <c r="S123" s="141" t="s">
        <v>673</v>
      </c>
      <c r="T123" s="141" t="s">
        <v>674</v>
      </c>
      <c r="U123" s="205" t="s">
        <v>675</v>
      </c>
      <c r="V123" s="141">
        <v>263480131</v>
      </c>
      <c r="W123" s="119">
        <f>IF(Table1[[#This Row],[Maintenance]]="yes",IF(OR(Table1[[#This Row],[Start Contract]]="",Table1[[#This Row],[Duration Month2]]=""),"",EDATE(Table1[[#This Row],[Start Contract]],Table1[[#This Row],[Duration Month2]])),"-")</f>
        <v>50861</v>
      </c>
      <c r="X123" s="115">
        <f>IF(OR((W123=""),(W123="-")),"",YEAR(Table1[[#This Row],[End Contract]]))</f>
        <v>2039</v>
      </c>
      <c r="Y123" s="54" t="str">
        <f ca="1">IF(Table1[[#This Row],[Maintenance]]="yes",IF(Table1[[#This Row],[End Contract]]="","no",IF(TODAY()&lt;=Table1[[#This Row],[End Contract]],"yes","no")),"no")</f>
        <v>yes</v>
      </c>
      <c r="Z123" s="54"/>
      <c r="AA123" s="277">
        <v>8290.08</v>
      </c>
      <c r="AB123" s="54" t="s">
        <v>1409</v>
      </c>
    </row>
    <row r="124" spans="1:28" x14ac:dyDescent="0.3">
      <c r="A124" s="50">
        <v>119</v>
      </c>
      <c r="B124" s="50" t="s">
        <v>1418</v>
      </c>
      <c r="C124" s="50" t="s">
        <v>677</v>
      </c>
      <c r="D124" s="75">
        <v>503078212</v>
      </c>
      <c r="E124" s="81" t="s">
        <v>678</v>
      </c>
      <c r="F124" s="81" t="s">
        <v>16</v>
      </c>
      <c r="G124" s="81">
        <v>480</v>
      </c>
      <c r="H124" s="81">
        <v>257.39999999999998</v>
      </c>
      <c r="I124" s="81" t="s">
        <v>8</v>
      </c>
      <c r="J124" s="75" t="s">
        <v>76</v>
      </c>
      <c r="K124" s="81">
        <v>0</v>
      </c>
      <c r="L124" s="81">
        <f>Table1[[#This Row],[Duration]]*12</f>
        <v>0</v>
      </c>
      <c r="M124" s="82" t="s">
        <v>178</v>
      </c>
      <c r="N124" s="46" t="str">
        <f>IF(AND(Table1[[#This Row],[ Type of Contract]]="ESCO",Table1[[#This Row],[Status Detail]]="ACTIVE"),"yes","no")</f>
        <v>no</v>
      </c>
      <c r="O124" s="46" t="s">
        <v>53</v>
      </c>
      <c r="P124" s="46" t="s">
        <v>61</v>
      </c>
      <c r="Q124" s="76"/>
      <c r="R124" s="49" t="s">
        <v>7</v>
      </c>
      <c r="S124" s="49" t="s">
        <v>679</v>
      </c>
      <c r="T124" s="49" t="s">
        <v>680</v>
      </c>
      <c r="U124" s="123" t="s">
        <v>681</v>
      </c>
      <c r="V124" s="49">
        <v>924431079</v>
      </c>
      <c r="W124" s="119" t="str">
        <f>IF(Table1[[#This Row],[Maintenance]]="yes",IF(OR(Table1[[#This Row],[Start Contract]]="",Table1[[#This Row],[Duration Month2]]=""),"",EDATE(Table1[[#This Row],[Start Contract]],Table1[[#This Row],[Duration Month2]])),"-")</f>
        <v>-</v>
      </c>
      <c r="X124" s="115" t="str">
        <f>IF(OR((W124=""),(W124="-")),"",YEAR(Table1[[#This Row],[End Contract]]))</f>
        <v/>
      </c>
      <c r="Y124" s="54" t="str">
        <f ca="1">IF(Table1[[#This Row],[Maintenance]]="yes",IF(Table1[[#This Row],[End Contract]]="","no",IF(TODAY()&lt;=Table1[[#This Row],[End Contract]],"yes","no")),"no")</f>
        <v>no</v>
      </c>
      <c r="Z124" s="54"/>
      <c r="AA124" s="54"/>
      <c r="AB124" s="54"/>
    </row>
    <row r="125" spans="1:28" x14ac:dyDescent="0.3">
      <c r="A125" s="50">
        <v>120</v>
      </c>
      <c r="B125" s="153" t="s">
        <v>682</v>
      </c>
      <c r="C125" s="153" t="s">
        <v>683</v>
      </c>
      <c r="D125" s="154">
        <v>501440623</v>
      </c>
      <c r="E125" s="155" t="s">
        <v>684</v>
      </c>
      <c r="F125" s="155" t="s">
        <v>9</v>
      </c>
      <c r="G125" s="155">
        <v>81</v>
      </c>
      <c r="H125" s="155">
        <v>40</v>
      </c>
      <c r="I125" s="155" t="s">
        <v>11</v>
      </c>
      <c r="J125" s="154" t="s">
        <v>456</v>
      </c>
      <c r="K125" s="155">
        <v>15</v>
      </c>
      <c r="L125" s="155">
        <f>Table1[[#This Row],[Duration]]*12</f>
        <v>180</v>
      </c>
      <c r="M125" s="152">
        <v>45505</v>
      </c>
      <c r="N125" s="157" t="str">
        <f>IF(AND(Table1[[#This Row],[ Type of Contract]]="ESCO",Table1[[#This Row],[Status Detail]]="ACTIVE"),"yes","no")</f>
        <v>yes</v>
      </c>
      <c r="O125" s="157" t="s">
        <v>53</v>
      </c>
      <c r="P125" s="157" t="s">
        <v>61</v>
      </c>
      <c r="Q125" s="158"/>
      <c r="R125" s="141" t="s">
        <v>7</v>
      </c>
      <c r="S125" s="141" t="s">
        <v>685</v>
      </c>
      <c r="T125" s="141" t="s">
        <v>686</v>
      </c>
      <c r="U125" s="141" t="s">
        <v>687</v>
      </c>
      <c r="V125" s="141">
        <v>924133562</v>
      </c>
      <c r="W125" s="119">
        <f>IF(Table1[[#This Row],[Maintenance]]="yes",IF(OR(Table1[[#This Row],[Start Contract]]="",Table1[[#This Row],[Duration Month2]]=""),"",EDATE(Table1[[#This Row],[Start Contract]],Table1[[#This Row],[Duration Month2]])),"-")</f>
        <v>50983</v>
      </c>
      <c r="X125" s="115">
        <f>IF(OR((W125=""),(W125="-")),"",YEAR(Table1[[#This Row],[End Contract]]))</f>
        <v>2039</v>
      </c>
      <c r="Y125" s="54" t="str">
        <f ca="1">IF(Table1[[#This Row],[Maintenance]]="yes",IF(Table1[[#This Row],[End Contract]]="","no",IF(TODAY()&lt;=Table1[[#This Row],[End Contract]],"yes","no")),"no")</f>
        <v>yes</v>
      </c>
      <c r="Z125" s="54"/>
      <c r="AA125" s="277">
        <v>8520.36</v>
      </c>
      <c r="AB125" s="54" t="s">
        <v>1409</v>
      </c>
    </row>
    <row r="126" spans="1:28" x14ac:dyDescent="0.3">
      <c r="A126" s="50">
        <v>121</v>
      </c>
      <c r="B126" s="50" t="s">
        <v>688</v>
      </c>
      <c r="C126" s="50" t="s">
        <v>689</v>
      </c>
      <c r="D126" s="75">
        <v>513203524</v>
      </c>
      <c r="E126" s="81"/>
      <c r="F126" s="81" t="s">
        <v>17</v>
      </c>
      <c r="G126" s="81">
        <v>45</v>
      </c>
      <c r="H126" s="81">
        <v>20.7</v>
      </c>
      <c r="I126" s="81" t="s">
        <v>8</v>
      </c>
      <c r="J126" s="75" t="s">
        <v>76</v>
      </c>
      <c r="K126" s="81">
        <v>0</v>
      </c>
      <c r="L126" s="81">
        <f>Table1[[#This Row],[Duration]]*12</f>
        <v>0</v>
      </c>
      <c r="M126" s="82" t="s">
        <v>178</v>
      </c>
      <c r="N126" s="46" t="str">
        <f>IF(AND(Table1[[#This Row],[ Type of Contract]]="ESCO",Table1[[#This Row],[Status Detail]]="ACTIVE"),"yes","no")</f>
        <v>no</v>
      </c>
      <c r="O126" s="46" t="s">
        <v>690</v>
      </c>
      <c r="P126" s="46" t="s">
        <v>61</v>
      </c>
      <c r="Q126" s="76"/>
      <c r="R126" s="49" t="s">
        <v>10</v>
      </c>
      <c r="S126" s="49" t="s">
        <v>691</v>
      </c>
      <c r="T126" s="49"/>
      <c r="U126" s="49"/>
      <c r="V126" s="49">
        <v>915913810</v>
      </c>
      <c r="W126" s="119" t="str">
        <f>IF(Table1[[#This Row],[Maintenance]]="yes",IF(OR(Table1[[#This Row],[Start Contract]]="",Table1[[#This Row],[Duration Month2]]=""),"",EDATE(Table1[[#This Row],[Start Contract]],Table1[[#This Row],[Duration Month2]])),"-")</f>
        <v>-</v>
      </c>
      <c r="X126" s="115" t="str">
        <f>IF(OR((W126=""),(W126="-")),"",YEAR(Table1[[#This Row],[End Contract]]))</f>
        <v/>
      </c>
      <c r="Y126" s="54" t="str">
        <f ca="1">IF(Table1[[#This Row],[Maintenance]]="yes",IF(Table1[[#This Row],[End Contract]]="","no",IF(TODAY()&lt;=Table1[[#This Row],[End Contract]],"yes","no")),"no")</f>
        <v>no</v>
      </c>
      <c r="Z126" s="54"/>
      <c r="AA126" s="54"/>
      <c r="AB126" s="54"/>
    </row>
    <row r="127" spans="1:28" x14ac:dyDescent="0.3">
      <c r="A127" s="50">
        <v>122</v>
      </c>
      <c r="B127" s="50" t="s">
        <v>692</v>
      </c>
      <c r="C127" s="50" t="s">
        <v>693</v>
      </c>
      <c r="D127" s="75">
        <v>2969620133</v>
      </c>
      <c r="E127" s="81" t="s">
        <v>694</v>
      </c>
      <c r="F127" s="81" t="s">
        <v>695</v>
      </c>
      <c r="G127" s="81">
        <v>45</v>
      </c>
      <c r="H127" s="81">
        <v>19.8</v>
      </c>
      <c r="I127" s="81" t="s">
        <v>8</v>
      </c>
      <c r="J127" s="75" t="s">
        <v>76</v>
      </c>
      <c r="K127" s="81">
        <v>0</v>
      </c>
      <c r="L127" s="81">
        <f>Table1[[#This Row],[Duration]]*12</f>
        <v>0</v>
      </c>
      <c r="M127" s="82" t="s">
        <v>178</v>
      </c>
      <c r="N127" s="46" t="str">
        <f>IF(AND(Table1[[#This Row],[ Type of Contract]]="ESCO",Table1[[#This Row],[Status Detail]]="ACTIVE"),"yes","no")</f>
        <v>no</v>
      </c>
      <c r="O127" s="46" t="s">
        <v>53</v>
      </c>
      <c r="P127" s="46" t="s">
        <v>61</v>
      </c>
      <c r="Q127" s="76"/>
      <c r="R127" s="49" t="s">
        <v>7</v>
      </c>
      <c r="S127" s="49" t="s">
        <v>696</v>
      </c>
      <c r="T127" s="49" t="s">
        <v>697</v>
      </c>
      <c r="U127" s="49"/>
      <c r="V127" s="49"/>
      <c r="W127" s="119" t="str">
        <f>IF(Table1[[#This Row],[Maintenance]]="yes",IF(OR(Table1[[#This Row],[Start Contract]]="",Table1[[#This Row],[Duration Month2]]=""),"",EDATE(Table1[[#This Row],[Start Contract]],Table1[[#This Row],[Duration Month2]])),"-")</f>
        <v>-</v>
      </c>
      <c r="X127" s="115" t="str">
        <f>IF(OR((W127=""),(W127="-")),"",YEAR(Table1[[#This Row],[End Contract]]))</f>
        <v/>
      </c>
      <c r="Y127" s="54" t="str">
        <f ca="1">IF(Table1[[#This Row],[Maintenance]]="yes",IF(Table1[[#This Row],[End Contract]]="","no",IF(TODAY()&lt;=Table1[[#This Row],[End Contract]],"yes","no")),"no")</f>
        <v>no</v>
      </c>
      <c r="Z127" s="54"/>
      <c r="AA127" s="54"/>
      <c r="AB127" s="54"/>
    </row>
    <row r="128" spans="1:28" x14ac:dyDescent="0.3">
      <c r="A128" s="50">
        <v>123</v>
      </c>
      <c r="B128" s="50" t="s">
        <v>698</v>
      </c>
      <c r="C128" s="50" t="s">
        <v>699</v>
      </c>
      <c r="D128" s="98">
        <v>363387002</v>
      </c>
      <c r="E128" s="81" t="s">
        <v>700</v>
      </c>
      <c r="F128" s="81" t="s">
        <v>695</v>
      </c>
      <c r="G128" s="81">
        <v>42</v>
      </c>
      <c r="H128" s="81">
        <v>18.899999999999999</v>
      </c>
      <c r="I128" s="81" t="s">
        <v>8</v>
      </c>
      <c r="J128" s="75" t="s">
        <v>76</v>
      </c>
      <c r="K128" s="81">
        <v>0</v>
      </c>
      <c r="L128" s="81">
        <f>Table1[[#This Row],[Duration]]*12</f>
        <v>0</v>
      </c>
      <c r="M128" s="82" t="s">
        <v>178</v>
      </c>
      <c r="N128" s="46" t="str">
        <f>IF(AND(Table1[[#This Row],[ Type of Contract]]="ESCO",Table1[[#This Row],[Status Detail]]="ACTIVE"),"yes","no")</f>
        <v>no</v>
      </c>
      <c r="O128" s="46" t="s">
        <v>94</v>
      </c>
      <c r="P128" s="46" t="s">
        <v>61</v>
      </c>
      <c r="Q128" s="76"/>
      <c r="R128" s="49" t="s">
        <v>7</v>
      </c>
      <c r="S128" s="49" t="s">
        <v>701</v>
      </c>
      <c r="T128" s="49" t="s">
        <v>697</v>
      </c>
      <c r="U128" s="49"/>
      <c r="V128" s="49"/>
      <c r="W128" s="119" t="str">
        <f>IF(Table1[[#This Row],[Maintenance]]="yes",IF(OR(Table1[[#This Row],[Start Contract]]="",Table1[[#This Row],[Duration Month2]]=""),"",EDATE(Table1[[#This Row],[Start Contract]],Table1[[#This Row],[Duration Month2]])),"-")</f>
        <v>-</v>
      </c>
      <c r="X128" s="115" t="str">
        <f>IF(OR((W128=""),(W128="-")),"",YEAR(Table1[[#This Row],[End Contract]]))</f>
        <v/>
      </c>
      <c r="Y128" s="54" t="str">
        <f ca="1">IF(Table1[[#This Row],[Maintenance]]="yes",IF(Table1[[#This Row],[End Contract]]="","no",IF(TODAY()&lt;=Table1[[#This Row],[End Contract]],"yes","no")),"no")</f>
        <v>no</v>
      </c>
      <c r="Z128" s="54"/>
      <c r="AA128" s="54"/>
      <c r="AB128" s="54"/>
    </row>
    <row r="129" spans="1:28" x14ac:dyDescent="0.3">
      <c r="A129" s="50">
        <v>124</v>
      </c>
      <c r="B129" s="50" t="s">
        <v>1428</v>
      </c>
      <c r="C129" s="50" t="s">
        <v>703</v>
      </c>
      <c r="D129" s="75">
        <v>97477630152</v>
      </c>
      <c r="E129" s="81"/>
      <c r="F129" s="81" t="s">
        <v>695</v>
      </c>
      <c r="G129" s="81">
        <v>336</v>
      </c>
      <c r="H129" s="81">
        <v>168.4</v>
      </c>
      <c r="I129" s="81" t="s">
        <v>8</v>
      </c>
      <c r="J129" s="75" t="s">
        <v>76</v>
      </c>
      <c r="K129" s="81">
        <v>0</v>
      </c>
      <c r="L129" s="81">
        <f>Table1[[#This Row],[Duration]]*12</f>
        <v>0</v>
      </c>
      <c r="M129" s="82" t="s">
        <v>178</v>
      </c>
      <c r="N129" s="46" t="str">
        <f>IF(AND(Table1[[#This Row],[ Type of Contract]]="ESCO",Table1[[#This Row],[Status Detail]]="ACTIVE"),"yes","no")</f>
        <v>no</v>
      </c>
      <c r="O129" s="46" t="s">
        <v>94</v>
      </c>
      <c r="P129" s="46" t="s">
        <v>61</v>
      </c>
      <c r="Q129" s="76"/>
      <c r="R129" s="49" t="s">
        <v>7</v>
      </c>
      <c r="S129" s="49" t="s">
        <v>704</v>
      </c>
      <c r="T129" s="49" t="s">
        <v>705</v>
      </c>
      <c r="U129" s="49"/>
      <c r="V129" s="49"/>
      <c r="W129" s="119" t="str">
        <f>IF(Table1[[#This Row],[Maintenance]]="yes",IF(OR(Table1[[#This Row],[Start Contract]]="",Table1[[#This Row],[Duration Month2]]=""),"",EDATE(Table1[[#This Row],[Start Contract]],Table1[[#This Row],[Duration Month2]])),"-")</f>
        <v>-</v>
      </c>
      <c r="X129" s="115" t="str">
        <f>IF(OR((W129=""),(W129="-")),"",YEAR(Table1[[#This Row],[End Contract]]))</f>
        <v/>
      </c>
      <c r="Y129" s="54" t="str">
        <f ca="1">IF(Table1[[#This Row],[Maintenance]]="yes",IF(Table1[[#This Row],[End Contract]]="","no",IF(TODAY()&lt;=Table1[[#This Row],[End Contract]],"yes","no")),"no")</f>
        <v>no</v>
      </c>
      <c r="Z129" s="54"/>
      <c r="AA129" s="54"/>
      <c r="AB129" s="54"/>
    </row>
    <row r="130" spans="1:28" x14ac:dyDescent="0.3">
      <c r="A130" s="50">
        <v>125</v>
      </c>
      <c r="B130" s="50" t="s">
        <v>706</v>
      </c>
      <c r="C130" s="50" t="s">
        <v>707</v>
      </c>
      <c r="D130" s="75">
        <v>500877092</v>
      </c>
      <c r="E130" s="81" t="s">
        <v>708</v>
      </c>
      <c r="F130" s="81" t="s">
        <v>215</v>
      </c>
      <c r="G130" s="81">
        <v>54</v>
      </c>
      <c r="H130" s="81">
        <v>30.8</v>
      </c>
      <c r="I130" s="81" t="s">
        <v>8</v>
      </c>
      <c r="J130" s="75" t="s">
        <v>76</v>
      </c>
      <c r="K130" s="81">
        <v>0</v>
      </c>
      <c r="L130" s="81">
        <f>Table1[[#This Row],[Duration]]*12</f>
        <v>0</v>
      </c>
      <c r="M130" s="82" t="s">
        <v>178</v>
      </c>
      <c r="N130" s="46" t="str">
        <f>IF(AND(Table1[[#This Row],[ Type of Contract]]="ESCO",Table1[[#This Row],[Status Detail]]="ACTIVE"),"yes","no")</f>
        <v>no</v>
      </c>
      <c r="O130" s="46" t="s">
        <v>94</v>
      </c>
      <c r="P130" s="46" t="s">
        <v>61</v>
      </c>
      <c r="Q130" s="76"/>
      <c r="R130" s="49" t="s">
        <v>7</v>
      </c>
      <c r="S130" s="49"/>
      <c r="T130" s="49"/>
      <c r="U130" s="49"/>
      <c r="V130" s="49"/>
      <c r="W130" s="119" t="str">
        <f>IF(Table1[[#This Row],[Maintenance]]="yes",IF(OR(Table1[[#This Row],[Start Contract]]="",Table1[[#This Row],[Duration Month2]]=""),"",EDATE(Table1[[#This Row],[Start Contract]],Table1[[#This Row],[Duration Month2]])),"-")</f>
        <v>-</v>
      </c>
      <c r="X130" s="115" t="str">
        <f>IF(OR((W130=""),(W130="-")),"",YEAR(Table1[[#This Row],[End Contract]]))</f>
        <v/>
      </c>
      <c r="Y130" s="54" t="str">
        <f ca="1">IF(Table1[[#This Row],[Maintenance]]="yes",IF(Table1[[#This Row],[End Contract]]="","no",IF(TODAY()&lt;=Table1[[#This Row],[End Contract]],"yes","no")),"no")</f>
        <v>no</v>
      </c>
      <c r="Z130" s="54"/>
      <c r="AA130" s="54"/>
      <c r="AB130" s="54"/>
    </row>
    <row r="131" spans="1:28" x14ac:dyDescent="0.3">
      <c r="A131" s="50">
        <v>126</v>
      </c>
      <c r="B131" s="50" t="s">
        <v>709</v>
      </c>
      <c r="C131" s="50" t="s">
        <v>710</v>
      </c>
      <c r="D131" s="75">
        <v>503360902</v>
      </c>
      <c r="E131" s="81"/>
      <c r="F131" s="81"/>
      <c r="G131" s="81">
        <v>36</v>
      </c>
      <c r="H131" s="81">
        <v>20</v>
      </c>
      <c r="I131" s="81" t="s">
        <v>8</v>
      </c>
      <c r="J131" s="75" t="s">
        <v>76</v>
      </c>
      <c r="K131" s="81">
        <v>0</v>
      </c>
      <c r="L131" s="81">
        <f>Table1[[#This Row],[Duration]]*12</f>
        <v>0</v>
      </c>
      <c r="M131" s="82" t="s">
        <v>178</v>
      </c>
      <c r="N131" s="46" t="str">
        <f>IF(AND(Table1[[#This Row],[ Type of Contract]]="ESCO",Table1[[#This Row],[Status Detail]]="ACTIVE"),"yes","no")</f>
        <v>no</v>
      </c>
      <c r="O131" s="46" t="s">
        <v>53</v>
      </c>
      <c r="P131" s="46" t="s">
        <v>61</v>
      </c>
      <c r="Q131" s="76"/>
      <c r="R131" s="49" t="s">
        <v>7</v>
      </c>
      <c r="S131" s="49"/>
      <c r="T131" s="49"/>
      <c r="U131" s="49"/>
      <c r="V131" s="49"/>
      <c r="W131" s="119" t="str">
        <f>IF(Table1[[#This Row],[Maintenance]]="yes",IF(OR(Table1[[#This Row],[Start Contract]]="",Table1[[#This Row],[Duration Month2]]=""),"",EDATE(Table1[[#This Row],[Start Contract]],Table1[[#This Row],[Duration Month2]])),"-")</f>
        <v>-</v>
      </c>
      <c r="X131" s="115" t="str">
        <f>IF(OR((W131=""),(W131="-")),"",YEAR(Table1[[#This Row],[End Contract]]))</f>
        <v/>
      </c>
      <c r="Y131" s="54" t="str">
        <f ca="1">IF(Table1[[#This Row],[Maintenance]]="yes",IF(Table1[[#This Row],[End Contract]]="","no",IF(TODAY()&lt;=Table1[[#This Row],[End Contract]],"yes","no")),"no")</f>
        <v>no</v>
      </c>
      <c r="Z131" s="54"/>
      <c r="AA131" s="54"/>
      <c r="AB131" s="54"/>
    </row>
    <row r="132" spans="1:28" x14ac:dyDescent="0.3">
      <c r="A132" s="50">
        <v>127</v>
      </c>
      <c r="B132" s="50" t="s">
        <v>711</v>
      </c>
      <c r="C132" s="50" t="s">
        <v>438</v>
      </c>
      <c r="D132" s="75">
        <v>505248417</v>
      </c>
      <c r="E132" s="81" t="s">
        <v>712</v>
      </c>
      <c r="F132" s="81" t="s">
        <v>9</v>
      </c>
      <c r="G132" s="81">
        <v>30</v>
      </c>
      <c r="H132" s="81">
        <v>13.2</v>
      </c>
      <c r="I132" s="81" t="s">
        <v>8</v>
      </c>
      <c r="J132" s="75" t="s">
        <v>76</v>
      </c>
      <c r="K132" s="81">
        <v>6</v>
      </c>
      <c r="L132" s="81">
        <f>Table1[[#This Row],[Duration]]*12</f>
        <v>72</v>
      </c>
      <c r="M132" s="82" t="s">
        <v>178</v>
      </c>
      <c r="N132" s="46" t="str">
        <f>IF(AND(Table1[[#This Row],[ Type of Contract]]="ESCO",Table1[[#This Row],[Status Detail]]="ACTIVE"),"yes","no")</f>
        <v>no</v>
      </c>
      <c r="O132" s="46" t="s">
        <v>53</v>
      </c>
      <c r="P132" s="46" t="s">
        <v>61</v>
      </c>
      <c r="Q132" s="76" t="s">
        <v>713</v>
      </c>
      <c r="R132" s="49" t="s">
        <v>7</v>
      </c>
      <c r="S132" s="49" t="s">
        <v>440</v>
      </c>
      <c r="T132" s="49" t="s">
        <v>70</v>
      </c>
      <c r="U132" s="49"/>
      <c r="V132" s="49">
        <v>965352795</v>
      </c>
      <c r="W132" s="119" t="str">
        <f>IF(Table1[[#This Row],[Maintenance]]="yes",IF(OR(Table1[[#This Row],[Start Contract]]="",Table1[[#This Row],[Duration Month2]]=""),"",EDATE(Table1[[#This Row],[Start Contract]],Table1[[#This Row],[Duration Month2]])),"-")</f>
        <v>-</v>
      </c>
      <c r="X132" s="115" t="str">
        <f>IF(OR((W132=""),(W132="-")),"",YEAR(Table1[[#This Row],[End Contract]]))</f>
        <v/>
      </c>
      <c r="Y132" s="54" t="str">
        <f ca="1">IF(Table1[[#This Row],[Maintenance]]="yes",IF(Table1[[#This Row],[End Contract]]="","no",IF(TODAY()&lt;=Table1[[#This Row],[End Contract]],"yes","no")),"no")</f>
        <v>no</v>
      </c>
      <c r="Z132" s="54"/>
      <c r="AA132" s="54"/>
      <c r="AB132" s="54"/>
    </row>
    <row r="133" spans="1:28" x14ac:dyDescent="0.3">
      <c r="A133" s="50">
        <v>128</v>
      </c>
      <c r="B133" s="50" t="s">
        <v>714</v>
      </c>
      <c r="C133" s="50" t="s">
        <v>715</v>
      </c>
      <c r="D133" s="75">
        <v>500298068</v>
      </c>
      <c r="E133" s="81" t="s">
        <v>716</v>
      </c>
      <c r="F133" s="81" t="s">
        <v>9</v>
      </c>
      <c r="G133" s="81">
        <v>160</v>
      </c>
      <c r="H133" s="81">
        <v>91.2</v>
      </c>
      <c r="I133" s="81" t="s">
        <v>8</v>
      </c>
      <c r="J133" s="75" t="s">
        <v>76</v>
      </c>
      <c r="K133" s="81">
        <v>0</v>
      </c>
      <c r="L133" s="81">
        <f>Table1[[#This Row],[Duration]]*12</f>
        <v>0</v>
      </c>
      <c r="M133" s="82" t="s">
        <v>178</v>
      </c>
      <c r="N133" s="46" t="str">
        <f>IF(AND(Table1[[#This Row],[ Type of Contract]]="ESCO",Table1[[#This Row],[Status Detail]]="ACTIVE"),"yes","no")</f>
        <v>no</v>
      </c>
      <c r="O133" s="46" t="s">
        <v>53</v>
      </c>
      <c r="P133" s="46" t="s">
        <v>61</v>
      </c>
      <c r="Q133" s="76"/>
      <c r="R133" s="49" t="s">
        <v>7</v>
      </c>
      <c r="S133" s="49" t="s">
        <v>717</v>
      </c>
      <c r="T133" s="49" t="s">
        <v>70</v>
      </c>
      <c r="U133" s="49"/>
      <c r="V133" s="49">
        <v>917366463</v>
      </c>
      <c r="W133" s="119" t="str">
        <f>IF(Table1[[#This Row],[Maintenance]]="yes",IF(OR(Table1[[#This Row],[Start Contract]]="",Table1[[#This Row],[Duration Month2]]=""),"",EDATE(Table1[[#This Row],[Start Contract]],Table1[[#This Row],[Duration Month2]])),"-")</f>
        <v>-</v>
      </c>
      <c r="X133" s="115" t="str">
        <f>IF(OR((W133=""),(W133="-")),"",YEAR(Table1[[#This Row],[End Contract]]))</f>
        <v/>
      </c>
      <c r="Y133" s="54" t="str">
        <f ca="1">IF(Table1[[#This Row],[Maintenance]]="yes",IF(Table1[[#This Row],[End Contract]]="","no",IF(TODAY()&lt;=Table1[[#This Row],[End Contract]],"yes","no")),"no")</f>
        <v>no</v>
      </c>
      <c r="Z133" s="54"/>
      <c r="AA133" s="54"/>
      <c r="AB133" s="54"/>
    </row>
    <row r="134" spans="1:28" ht="27.6" customHeight="1" x14ac:dyDescent="0.3">
      <c r="A134" s="50">
        <v>129</v>
      </c>
      <c r="B134" s="153" t="s">
        <v>718</v>
      </c>
      <c r="C134" s="153" t="s">
        <v>719</v>
      </c>
      <c r="D134" s="154">
        <v>501512071</v>
      </c>
      <c r="E134" s="155" t="s">
        <v>720</v>
      </c>
      <c r="F134" s="155" t="s">
        <v>18</v>
      </c>
      <c r="G134" s="155">
        <v>194</v>
      </c>
      <c r="H134" s="155" t="s">
        <v>721</v>
      </c>
      <c r="I134" s="155" t="s">
        <v>11</v>
      </c>
      <c r="J134" s="154" t="s">
        <v>456</v>
      </c>
      <c r="K134" s="155">
        <v>15</v>
      </c>
      <c r="L134" s="155">
        <f>Table1[[#This Row],[Duration]]*12</f>
        <v>180</v>
      </c>
      <c r="M134" s="152">
        <v>45505</v>
      </c>
      <c r="N134" s="157" t="str">
        <f>IF(AND(Table1[[#This Row],[ Type of Contract]]="ESCO",Table1[[#This Row],[Status Detail]]="ACTIVE"),"yes","no")</f>
        <v>yes</v>
      </c>
      <c r="O134" s="157" t="s">
        <v>53</v>
      </c>
      <c r="P134" s="157" t="s">
        <v>61</v>
      </c>
      <c r="Q134" s="158"/>
      <c r="R134" s="141" t="s">
        <v>7</v>
      </c>
      <c r="S134" s="142" t="s">
        <v>722</v>
      </c>
      <c r="T134" s="141" t="s">
        <v>70</v>
      </c>
      <c r="U134" s="144" t="s">
        <v>723</v>
      </c>
      <c r="V134" s="141" t="s">
        <v>724</v>
      </c>
      <c r="W134" s="119">
        <f>IF(Table1[[#This Row],[Maintenance]]="yes",IF(OR(Table1[[#This Row],[Start Contract]]="",Table1[[#This Row],[Duration Month2]]=""),"",EDATE(Table1[[#This Row],[Start Contract]],Table1[[#This Row],[Duration Month2]])),"-")</f>
        <v>50983</v>
      </c>
      <c r="X134" s="115">
        <f>IF(OR((W134=""),(W134="-")),"",YEAR(Table1[[#This Row],[End Contract]]))</f>
        <v>2039</v>
      </c>
      <c r="Y134" s="54" t="str">
        <f ca="1">IF(Table1[[#This Row],[Maintenance]]="yes",IF(Table1[[#This Row],[End Contract]]="","no",IF(TODAY()&lt;=Table1[[#This Row],[End Contract]],"yes","no")),"no")</f>
        <v>yes</v>
      </c>
      <c r="Z134" s="54"/>
      <c r="AA134" s="277" t="s">
        <v>178</v>
      </c>
      <c r="AB134" s="276" t="s">
        <v>1406</v>
      </c>
    </row>
    <row r="135" spans="1:28" x14ac:dyDescent="0.3">
      <c r="A135" s="50">
        <v>130</v>
      </c>
      <c r="B135" s="50" t="s">
        <v>725</v>
      </c>
      <c r="C135" s="50" t="s">
        <v>726</v>
      </c>
      <c r="D135" s="75">
        <v>505348357</v>
      </c>
      <c r="E135" s="81" t="s">
        <v>727</v>
      </c>
      <c r="F135" s="81" t="s">
        <v>12</v>
      </c>
      <c r="G135" s="81">
        <v>88</v>
      </c>
      <c r="H135" s="81">
        <v>50.2</v>
      </c>
      <c r="I135" s="81" t="s">
        <v>8</v>
      </c>
      <c r="J135" s="75" t="s">
        <v>76</v>
      </c>
      <c r="K135" s="81">
        <v>0</v>
      </c>
      <c r="L135" s="81">
        <f>Table1[[#This Row],[Duration]]*12</f>
        <v>0</v>
      </c>
      <c r="M135" s="82" t="s">
        <v>178</v>
      </c>
      <c r="N135" s="46" t="str">
        <f>IF(AND(Table1[[#This Row],[ Type of Contract]]="ESCO",Table1[[#This Row],[Status Detail]]="ACTIVE"),"yes","no")</f>
        <v>no</v>
      </c>
      <c r="O135" s="46" t="s">
        <v>53</v>
      </c>
      <c r="P135" s="46" t="s">
        <v>61</v>
      </c>
      <c r="Q135" s="76"/>
      <c r="R135" s="49" t="s">
        <v>7</v>
      </c>
      <c r="S135" s="49" t="s">
        <v>644</v>
      </c>
      <c r="T135" s="49" t="s">
        <v>152</v>
      </c>
      <c r="U135" s="49"/>
      <c r="V135" s="49"/>
      <c r="W135" s="119" t="str">
        <f>IF(Table1[[#This Row],[Maintenance]]="yes",IF(OR(Table1[[#This Row],[Start Contract]]="",Table1[[#This Row],[Duration Month2]]=""),"",EDATE(Table1[[#This Row],[Start Contract]],Table1[[#This Row],[Duration Month2]])),"-")</f>
        <v>-</v>
      </c>
      <c r="X135" s="115" t="str">
        <f>IF(OR((W135=""),(W135="-")),"",YEAR(Table1[[#This Row],[End Contract]]))</f>
        <v/>
      </c>
      <c r="Y135" s="54" t="str">
        <f ca="1">IF(Table1[[#This Row],[Maintenance]]="yes",IF(Table1[[#This Row],[End Contract]]="","no",IF(TODAY()&lt;=Table1[[#This Row],[End Contract]],"yes","no")),"no")</f>
        <v>no</v>
      </c>
      <c r="Z135" s="54"/>
      <c r="AA135" s="54"/>
      <c r="AB135" s="54"/>
    </row>
    <row r="136" spans="1:28" x14ac:dyDescent="0.3">
      <c r="A136" s="50">
        <v>131</v>
      </c>
      <c r="B136" s="50" t="s">
        <v>728</v>
      </c>
      <c r="C136" s="50" t="s">
        <v>729</v>
      </c>
      <c r="D136" s="50">
        <v>501539204</v>
      </c>
      <c r="E136" s="81" t="s">
        <v>730</v>
      </c>
      <c r="F136" s="81" t="s">
        <v>12</v>
      </c>
      <c r="G136" s="81">
        <v>224</v>
      </c>
      <c r="H136" s="81">
        <v>127.7</v>
      </c>
      <c r="I136" s="81" t="s">
        <v>8</v>
      </c>
      <c r="J136" s="75" t="s">
        <v>76</v>
      </c>
      <c r="K136" s="81">
        <v>0</v>
      </c>
      <c r="L136" s="81">
        <f>Table1[[#This Row],[Duration]]*12</f>
        <v>0</v>
      </c>
      <c r="M136" s="82" t="s">
        <v>178</v>
      </c>
      <c r="N136" s="46" t="str">
        <f>IF(AND(Table1[[#This Row],[ Type of Contract]]="ESCO",Table1[[#This Row],[Status Detail]]="ACTIVE"),"yes","no")</f>
        <v>no</v>
      </c>
      <c r="O136" s="46" t="s">
        <v>207</v>
      </c>
      <c r="P136" s="46" t="s">
        <v>208</v>
      </c>
      <c r="Q136" s="76"/>
      <c r="R136" s="49" t="s">
        <v>7</v>
      </c>
      <c r="S136" s="49" t="s">
        <v>644</v>
      </c>
      <c r="T136" s="49" t="s">
        <v>152</v>
      </c>
      <c r="U136" s="49"/>
      <c r="V136" s="49"/>
      <c r="W136" s="119" t="str">
        <f>IF(Table1[[#This Row],[Maintenance]]="yes",IF(OR(Table1[[#This Row],[Start Contract]]="",Table1[[#This Row],[Duration Month2]]=""),"",EDATE(Table1[[#This Row],[Start Contract]],Table1[[#This Row],[Duration Month2]])),"-")</f>
        <v>-</v>
      </c>
      <c r="X136" s="115" t="str">
        <f>IF(OR((W136=""),(W136="-")),"",YEAR(Table1[[#This Row],[End Contract]]))</f>
        <v/>
      </c>
      <c r="Y136" s="54" t="str">
        <f ca="1">IF(Table1[[#This Row],[Maintenance]]="yes",IF(Table1[[#This Row],[End Contract]]="","no",IF(TODAY()&lt;=Table1[[#This Row],[End Contract]],"yes","no")),"no")</f>
        <v>no</v>
      </c>
      <c r="Z136" s="54"/>
      <c r="AA136" s="54"/>
      <c r="AB136" s="54"/>
    </row>
    <row r="137" spans="1:28" x14ac:dyDescent="0.3">
      <c r="A137" s="50">
        <v>132</v>
      </c>
      <c r="B137" s="50" t="s">
        <v>731</v>
      </c>
      <c r="C137" s="50"/>
      <c r="D137" s="50">
        <v>106873415</v>
      </c>
      <c r="E137" s="127" t="s">
        <v>732</v>
      </c>
      <c r="F137" s="81" t="s">
        <v>12</v>
      </c>
      <c r="G137" s="81">
        <v>176</v>
      </c>
      <c r="H137" s="81">
        <v>100.2</v>
      </c>
      <c r="I137" s="81" t="s">
        <v>8</v>
      </c>
      <c r="J137" s="75" t="s">
        <v>76</v>
      </c>
      <c r="K137" s="81">
        <v>0</v>
      </c>
      <c r="L137" s="81">
        <f>Table1[[#This Row],[Duration]]*12</f>
        <v>0</v>
      </c>
      <c r="M137" s="82" t="s">
        <v>178</v>
      </c>
      <c r="N137" s="46" t="str">
        <f>IF(AND(Table1[[#This Row],[ Type of Contract]]="ESCO",Table1[[#This Row],[Status Detail]]="ACTIVE"),"yes","no")</f>
        <v>no</v>
      </c>
      <c r="O137" s="46" t="s">
        <v>320</v>
      </c>
      <c r="P137" s="46" t="s">
        <v>61</v>
      </c>
      <c r="Q137" s="76"/>
      <c r="R137" s="49" t="s">
        <v>7</v>
      </c>
      <c r="S137" s="49"/>
      <c r="T137" s="49"/>
      <c r="U137" s="49"/>
      <c r="V137" s="49">
        <v>967870346</v>
      </c>
      <c r="W137" s="119" t="str">
        <f>IF(Table1[[#This Row],[Maintenance]]="yes",IF(OR(Table1[[#This Row],[Start Contract]]="",Table1[[#This Row],[Duration Month2]]=""),"",EDATE(Table1[[#This Row],[Start Contract]],Table1[[#This Row],[Duration Month2]])),"-")</f>
        <v>-</v>
      </c>
      <c r="X137" s="115" t="str">
        <f>IF(OR((W137=""),(W137="-")),"",YEAR(Table1[[#This Row],[End Contract]]))</f>
        <v/>
      </c>
      <c r="Y137" s="54" t="str">
        <f ca="1">IF(Table1[[#This Row],[Maintenance]]="yes",IF(Table1[[#This Row],[End Contract]]="","no",IF(TODAY()&lt;=Table1[[#This Row],[End Contract]],"yes","no")),"no")</f>
        <v>no</v>
      </c>
      <c r="Z137" s="54"/>
      <c r="AA137" s="54"/>
      <c r="AB137" s="54"/>
    </row>
    <row r="138" spans="1:28" x14ac:dyDescent="0.3">
      <c r="A138" s="56">
        <v>133</v>
      </c>
      <c r="B138" s="161" t="s">
        <v>733</v>
      </c>
      <c r="C138" s="162" t="s">
        <v>734</v>
      </c>
      <c r="D138" s="163">
        <v>504655256</v>
      </c>
      <c r="E138" s="164" t="s">
        <v>735</v>
      </c>
      <c r="F138" s="164" t="s">
        <v>9</v>
      </c>
      <c r="G138" s="164">
        <v>67</v>
      </c>
      <c r="H138" s="164">
        <v>38.200000000000003</v>
      </c>
      <c r="I138" s="164" t="s">
        <v>8</v>
      </c>
      <c r="J138" s="165" t="s">
        <v>76</v>
      </c>
      <c r="K138" s="164">
        <v>0</v>
      </c>
      <c r="L138" s="164">
        <f>Table1[[#This Row],[Duration]]*12</f>
        <v>0</v>
      </c>
      <c r="M138" s="166">
        <v>45358</v>
      </c>
      <c r="N138" s="167" t="s">
        <v>77</v>
      </c>
      <c r="O138" s="167" t="s">
        <v>431</v>
      </c>
      <c r="P138" s="157" t="s">
        <v>208</v>
      </c>
      <c r="Q138" s="168" t="s">
        <v>736</v>
      </c>
      <c r="R138" s="145" t="s">
        <v>7</v>
      </c>
      <c r="S138" s="145" t="s">
        <v>737</v>
      </c>
      <c r="T138" s="145" t="s">
        <v>738</v>
      </c>
      <c r="U138" s="145" t="s">
        <v>739</v>
      </c>
      <c r="V138" s="145">
        <v>213305543</v>
      </c>
      <c r="W138" s="119">
        <f>IF(Table1[[#This Row],[Maintenance]]="yes",IF(OR(Table1[[#This Row],[Start Contract]]="",Table1[[#This Row],[Duration Month2]]=""),"",EDATE(Table1[[#This Row],[Start Contract]],Table1[[#This Row],[Duration Month2]])),"-")</f>
        <v>45358</v>
      </c>
      <c r="X138" s="115">
        <f>IF(OR((W138=""),(W138="-")),"",YEAR(Table1[[#This Row],[End Contract]]))</f>
        <v>2024</v>
      </c>
      <c r="Y138" s="54" t="str">
        <f ca="1">IF(Table1[[#This Row],[Maintenance]]="yes",IF(Table1[[#This Row],[End Contract]]="","no",IF(TODAY()&lt;=Table1[[#This Row],[End Contract]],"yes","no")),"no")</f>
        <v>no</v>
      </c>
      <c r="Z138" s="54" t="s">
        <v>626</v>
      </c>
      <c r="AA138" s="54"/>
      <c r="AB138" s="54"/>
    </row>
    <row r="139" spans="1:28" s="8" customFormat="1" x14ac:dyDescent="0.3">
      <c r="A139" s="99">
        <v>134</v>
      </c>
      <c r="B139" s="58" t="s">
        <v>740</v>
      </c>
      <c r="C139" s="59" t="s">
        <v>741</v>
      </c>
      <c r="D139" s="59">
        <v>507857682</v>
      </c>
      <c r="E139" s="59" t="s">
        <v>742</v>
      </c>
      <c r="F139" s="59" t="s">
        <v>12</v>
      </c>
      <c r="G139" s="59">
        <v>144</v>
      </c>
      <c r="H139" s="59">
        <v>82.1</v>
      </c>
      <c r="I139" s="59" t="s">
        <v>8</v>
      </c>
      <c r="J139" s="59" t="s">
        <v>76</v>
      </c>
      <c r="K139" s="59">
        <v>0</v>
      </c>
      <c r="L139" s="59">
        <f>Table1[[#This Row],[Duration]]*12</f>
        <v>0</v>
      </c>
      <c r="M139" s="59" t="s">
        <v>178</v>
      </c>
      <c r="N139" s="100" t="str">
        <f>IF(AND(Table1[[#This Row],[ Type of Contract]]="ESCO",Table1[[#This Row],[Status Detail]]="ACTIVE"),"yes","no")</f>
        <v>no</v>
      </c>
      <c r="O139" s="100" t="s">
        <v>207</v>
      </c>
      <c r="P139" s="46" t="s">
        <v>432</v>
      </c>
      <c r="Q139" s="59"/>
      <c r="R139" s="59" t="s">
        <v>7</v>
      </c>
      <c r="S139" s="59" t="s">
        <v>743</v>
      </c>
      <c r="T139" s="59" t="s">
        <v>70</v>
      </c>
      <c r="U139" s="59"/>
      <c r="V139" s="59">
        <v>934079329</v>
      </c>
      <c r="W139" s="226" t="str">
        <f>IF(Table1[[#This Row],[Maintenance]]="yes",IF(OR(Table1[[#This Row],[Start Contract]]="",Table1[[#This Row],[Duration Month2]]=""),"",EDATE(Table1[[#This Row],[Start Contract]],Table1[[#This Row],[Duration Month2]])),"-")</f>
        <v>-</v>
      </c>
      <c r="X139" s="225" t="str">
        <f>IF(OR((W139=""),(W139="-")),"",YEAR(Table1[[#This Row],[End Contract]]))</f>
        <v/>
      </c>
      <c r="Y139" s="65" t="str">
        <f ca="1">IF(Table1[[#This Row],[Maintenance]]="yes",IF(Table1[[#This Row],[End Contract]]="","no",IF(TODAY()&lt;=Table1[[#This Row],[End Contract]],"yes","no")),"no")</f>
        <v>no</v>
      </c>
      <c r="Z139" s="65"/>
      <c r="AA139" s="65"/>
      <c r="AB139" s="65"/>
    </row>
    <row r="140" spans="1:28" s="9" customFormat="1" x14ac:dyDescent="0.3">
      <c r="A140" s="101">
        <v>135</v>
      </c>
      <c r="B140" s="60" t="s">
        <v>744</v>
      </c>
      <c r="C140" s="61" t="s">
        <v>745</v>
      </c>
      <c r="D140" s="61">
        <v>516235842</v>
      </c>
      <c r="E140" s="102" t="s">
        <v>746</v>
      </c>
      <c r="F140" s="102" t="s">
        <v>12</v>
      </c>
      <c r="G140" s="102">
        <v>68</v>
      </c>
      <c r="H140" s="102">
        <v>38.799999999999997</v>
      </c>
      <c r="I140" s="102" t="s">
        <v>8</v>
      </c>
      <c r="J140" s="102" t="s">
        <v>76</v>
      </c>
      <c r="K140" s="102">
        <v>0</v>
      </c>
      <c r="L140" s="102">
        <f>Table1[[#This Row],[Duration]]*12</f>
        <v>0</v>
      </c>
      <c r="M140" s="103" t="s">
        <v>178</v>
      </c>
      <c r="N140" s="104" t="str">
        <f>IF(AND(Table1[[#This Row],[ Type of Contract]]="ESCO",Table1[[#This Row],[Status Detail]]="ACTIVE"),"yes","no")</f>
        <v>no</v>
      </c>
      <c r="O140" s="100" t="s">
        <v>207</v>
      </c>
      <c r="P140" s="46" t="s">
        <v>208</v>
      </c>
      <c r="Q140" s="103"/>
      <c r="R140" s="62" t="s">
        <v>7</v>
      </c>
      <c r="S140" s="62" t="s">
        <v>747</v>
      </c>
      <c r="T140" s="62" t="s">
        <v>70</v>
      </c>
      <c r="U140" s="62"/>
      <c r="V140" s="62">
        <v>919077887</v>
      </c>
      <c r="W140" s="226" t="str">
        <f>IF(Table1[[#This Row],[Maintenance]]="yes",IF(OR(Table1[[#This Row],[Start Contract]]="",Table1[[#This Row],[Duration Month2]]=""),"",EDATE(Table1[[#This Row],[Start Contract]],Table1[[#This Row],[Duration Month2]])),"-")</f>
        <v>-</v>
      </c>
      <c r="X140" s="225" t="str">
        <f>IF(OR((W140=""),(W140="-")),"",YEAR(Table1[[#This Row],[End Contract]]))</f>
        <v/>
      </c>
      <c r="Y140" s="65" t="str">
        <f ca="1">IF(Table1[[#This Row],[Maintenance]]="yes",IF(Table1[[#This Row],[End Contract]]="","no",IF(TODAY()&lt;=Table1[[#This Row],[End Contract]],"yes","no")),"no")</f>
        <v>no</v>
      </c>
      <c r="Z140" s="65"/>
      <c r="AA140" s="65"/>
      <c r="AB140" s="65"/>
    </row>
    <row r="141" spans="1:28" s="9" customFormat="1" x14ac:dyDescent="0.3">
      <c r="A141" s="99">
        <v>136</v>
      </c>
      <c r="B141" s="58" t="s">
        <v>748</v>
      </c>
      <c r="C141" s="59" t="s">
        <v>749</v>
      </c>
      <c r="D141" s="59">
        <v>509017070</v>
      </c>
      <c r="E141" s="59" t="s">
        <v>750</v>
      </c>
      <c r="F141" s="59" t="s">
        <v>215</v>
      </c>
      <c r="G141" s="59">
        <v>18</v>
      </c>
      <c r="H141" s="59">
        <v>9.1</v>
      </c>
      <c r="I141" s="59" t="s">
        <v>8</v>
      </c>
      <c r="J141" s="59" t="s">
        <v>76</v>
      </c>
      <c r="K141" s="59">
        <v>0</v>
      </c>
      <c r="L141" s="59">
        <f>Table1[[#This Row],[Duration]]*12</f>
        <v>0</v>
      </c>
      <c r="M141" s="59" t="s">
        <v>178</v>
      </c>
      <c r="N141" s="100" t="str">
        <f>IF(AND(Table1[[#This Row],[ Type of Contract]]="ESCO",Table1[[#This Row],[Status Detail]]="ACTIVE"),"yes","no")</f>
        <v>no</v>
      </c>
      <c r="O141" s="100" t="s">
        <v>94</v>
      </c>
      <c r="P141" s="46" t="s">
        <v>61</v>
      </c>
      <c r="Q141" s="59"/>
      <c r="R141" s="59" t="s">
        <v>7</v>
      </c>
      <c r="S141" s="59" t="s">
        <v>751</v>
      </c>
      <c r="T141" s="59" t="s">
        <v>752</v>
      </c>
      <c r="U141" s="59"/>
      <c r="V141" s="59">
        <v>935122181</v>
      </c>
      <c r="W141" s="226" t="str">
        <f>IF(Table1[[#This Row],[Maintenance]]="yes",IF(OR(Table1[[#This Row],[Start Contract]]="",Table1[[#This Row],[Duration Month2]]=""),"",EDATE(Table1[[#This Row],[Start Contract]],Table1[[#This Row],[Duration Month2]])),"-")</f>
        <v>-</v>
      </c>
      <c r="X141" s="225" t="str">
        <f>IF(OR((W141=""),(W141="-")),"",YEAR(Table1[[#This Row],[End Contract]]))</f>
        <v/>
      </c>
      <c r="Y141" s="65" t="str">
        <f ca="1">IF(Table1[[#This Row],[Maintenance]]="yes",IF(Table1[[#This Row],[End Contract]]="","no",IF(TODAY()&lt;=Table1[[#This Row],[End Contract]],"yes","no")),"no")</f>
        <v>no</v>
      </c>
      <c r="Z141" s="65"/>
      <c r="AA141" s="65"/>
      <c r="AB141" s="65"/>
    </row>
    <row r="142" spans="1:28" s="9" customFormat="1" x14ac:dyDescent="0.3">
      <c r="A142" s="101">
        <v>137</v>
      </c>
      <c r="B142" s="63" t="s">
        <v>753</v>
      </c>
      <c r="C142" s="61" t="s">
        <v>754</v>
      </c>
      <c r="D142" s="61">
        <v>513976728</v>
      </c>
      <c r="E142" s="102" t="s">
        <v>755</v>
      </c>
      <c r="F142" s="102" t="s">
        <v>17</v>
      </c>
      <c r="G142" s="102">
        <v>126</v>
      </c>
      <c r="H142" s="102">
        <v>71.819999999999993</v>
      </c>
      <c r="I142" s="102" t="s">
        <v>8</v>
      </c>
      <c r="J142" s="102" t="s">
        <v>76</v>
      </c>
      <c r="K142" s="102">
        <v>0</v>
      </c>
      <c r="L142" s="102">
        <f>Table1[[#This Row],[Duration]]*12</f>
        <v>0</v>
      </c>
      <c r="M142" s="103" t="s">
        <v>178</v>
      </c>
      <c r="N142" s="104" t="str">
        <f>IF(AND(Table1[[#This Row],[ Type of Contract]]="ESCO",Table1[[#This Row],[Status Detail]]="ACTIVE"),"yes","no")</f>
        <v>no</v>
      </c>
      <c r="O142" s="104" t="s">
        <v>53</v>
      </c>
      <c r="P142" s="46" t="s">
        <v>432</v>
      </c>
      <c r="Q142" s="103"/>
      <c r="R142" s="62" t="s">
        <v>7</v>
      </c>
      <c r="S142" s="62" t="s">
        <v>756</v>
      </c>
      <c r="T142" s="62" t="s">
        <v>70</v>
      </c>
      <c r="U142" s="62"/>
      <c r="V142" s="62">
        <v>918606975</v>
      </c>
      <c r="W142" s="226" t="str">
        <f>IF(Table1[[#This Row],[Maintenance]]="yes",IF(OR(Table1[[#This Row],[Start Contract]]="",Table1[[#This Row],[Duration Month2]]=""),"",EDATE(Table1[[#This Row],[Start Contract]],Table1[[#This Row],[Duration Month2]])),"-")</f>
        <v>-</v>
      </c>
      <c r="X142" s="225" t="str">
        <f>IF(OR((W142=""),(W142="-")),"",YEAR(Table1[[#This Row],[End Contract]]))</f>
        <v/>
      </c>
      <c r="Y142" s="65" t="str">
        <f ca="1">IF(Table1[[#This Row],[Maintenance]]="yes",IF(Table1[[#This Row],[End Contract]]="","no",IF(TODAY()&lt;=Table1[[#This Row],[End Contract]],"yes","no")),"no")</f>
        <v>no</v>
      </c>
      <c r="Z142" s="65"/>
      <c r="AA142" s="65"/>
      <c r="AB142" s="65"/>
    </row>
    <row r="143" spans="1:28" s="9" customFormat="1" x14ac:dyDescent="0.3">
      <c r="A143" s="99">
        <v>138</v>
      </c>
      <c r="B143" s="58" t="s">
        <v>757</v>
      </c>
      <c r="C143" s="59" t="s">
        <v>758</v>
      </c>
      <c r="D143" s="59">
        <v>506769291</v>
      </c>
      <c r="E143" s="81" t="s">
        <v>759</v>
      </c>
      <c r="F143" s="81" t="s">
        <v>12</v>
      </c>
      <c r="G143" s="81">
        <v>150</v>
      </c>
      <c r="H143" s="81">
        <v>54.15</v>
      </c>
      <c r="I143" s="81" t="s">
        <v>8</v>
      </c>
      <c r="J143" s="89" t="s">
        <v>76</v>
      </c>
      <c r="K143" s="81">
        <v>0</v>
      </c>
      <c r="L143" s="81">
        <f>Table1[[#This Row],[Duration]]*12</f>
        <v>0</v>
      </c>
      <c r="M143" s="82" t="s">
        <v>178</v>
      </c>
      <c r="N143" s="88" t="str">
        <f>IF(AND(Table1[[#This Row],[ Type of Contract]]="ESCO",Table1[[#This Row],[Status Detail]]="ACTIVE"),"yes","no")</f>
        <v>no</v>
      </c>
      <c r="O143" s="88" t="s">
        <v>207</v>
      </c>
      <c r="P143" s="46" t="s">
        <v>208</v>
      </c>
      <c r="Q143" s="82"/>
      <c r="R143" s="49" t="s">
        <v>7</v>
      </c>
      <c r="S143" s="49" t="s">
        <v>760</v>
      </c>
      <c r="T143" s="49" t="s">
        <v>70</v>
      </c>
      <c r="U143" s="49"/>
      <c r="V143" s="49">
        <v>919700084</v>
      </c>
      <c r="W143" s="226" t="str">
        <f>IF(Table1[[#This Row],[Maintenance]]="yes",IF(OR(Table1[[#This Row],[Start Contract]]="",Table1[[#This Row],[Duration Month2]]=""),"",EDATE(Table1[[#This Row],[Start Contract]],Table1[[#This Row],[Duration Month2]])),"-")</f>
        <v>-</v>
      </c>
      <c r="X143" s="225" t="str">
        <f>IF(OR((W143=""),(W143="-")),"",YEAR(Table1[[#This Row],[End Contract]]))</f>
        <v/>
      </c>
      <c r="Y143" s="65" t="str">
        <f ca="1">IF(Table1[[#This Row],[Maintenance]]="yes",IF(Table1[[#This Row],[End Contract]]="","no",IF(TODAY()&lt;=Table1[[#This Row],[End Contract]],"yes","no")),"no")</f>
        <v>no</v>
      </c>
      <c r="Z143" s="65"/>
      <c r="AA143" s="65"/>
      <c r="AB143" s="65"/>
    </row>
    <row r="144" spans="1:28" x14ac:dyDescent="0.3">
      <c r="A144" s="63">
        <v>139</v>
      </c>
      <c r="B144" s="63" t="s">
        <v>761</v>
      </c>
      <c r="C144" s="64" t="s">
        <v>762</v>
      </c>
      <c r="D144" s="64">
        <v>513010505</v>
      </c>
      <c r="E144" s="102" t="s">
        <v>763</v>
      </c>
      <c r="F144" s="89" t="s">
        <v>9</v>
      </c>
      <c r="G144" s="102">
        <v>580</v>
      </c>
      <c r="H144" s="102">
        <v>330.6</v>
      </c>
      <c r="I144" s="102" t="s">
        <v>8</v>
      </c>
      <c r="J144" s="102" t="s">
        <v>76</v>
      </c>
      <c r="K144" s="102"/>
      <c r="L144" s="102">
        <f>Table1[[#This Row],[Duration]]*12</f>
        <v>0</v>
      </c>
      <c r="M144" s="103"/>
      <c r="N144" s="46" t="str">
        <f>IF(AND(Table1[[#This Row],[ Type of Contract]]="ESCO",Table1[[#This Row],[Status Detail]]="ACTIVE"),"yes","no")</f>
        <v>no</v>
      </c>
      <c r="O144" s="104" t="s">
        <v>53</v>
      </c>
      <c r="P144" s="46" t="s">
        <v>61</v>
      </c>
      <c r="Q144" s="103"/>
      <c r="R144" s="62" t="s">
        <v>10</v>
      </c>
      <c r="S144" s="62"/>
      <c r="T144" s="62"/>
      <c r="U144" s="62"/>
      <c r="V144" s="62"/>
      <c r="W144" s="119" t="str">
        <f>IF(Table1[[#This Row],[Maintenance]]="yes",IF(OR(Table1[[#This Row],[Start Contract]]="",Table1[[#This Row],[Duration Month2]]=""),"",EDATE(Table1[[#This Row],[Start Contract]],Table1[[#This Row],[Duration Month2]])),"-")</f>
        <v>-</v>
      </c>
      <c r="X144" s="115" t="str">
        <f>IF(OR((W144=""),(W144="-")),"",YEAR(Table1[[#This Row],[End Contract]]))</f>
        <v/>
      </c>
      <c r="Y144" s="54" t="str">
        <f ca="1">IF(Table1[[#This Row],[Maintenance]]="yes",IF(Table1[[#This Row],[End Contract]]="","no",IF(TODAY()&lt;=Table1[[#This Row],[End Contract]],"yes","no")),"no")</f>
        <v>no</v>
      </c>
      <c r="Z144" s="54"/>
      <c r="AA144" s="54"/>
      <c r="AB144" s="54"/>
    </row>
    <row r="145" spans="1:30" s="9" customFormat="1" x14ac:dyDescent="0.3">
      <c r="A145" s="58">
        <v>140</v>
      </c>
      <c r="B145" s="58" t="s">
        <v>1416</v>
      </c>
      <c r="C145" s="59" t="s">
        <v>765</v>
      </c>
      <c r="D145" s="59">
        <v>500060789</v>
      </c>
      <c r="E145" s="89" t="s">
        <v>766</v>
      </c>
      <c r="F145" s="89" t="s">
        <v>9</v>
      </c>
      <c r="G145" s="89">
        <v>96</v>
      </c>
      <c r="H145" s="89">
        <v>54.7</v>
      </c>
      <c r="I145" s="89" t="s">
        <v>8</v>
      </c>
      <c r="J145" s="89" t="s">
        <v>76</v>
      </c>
      <c r="K145" s="89">
        <v>0</v>
      </c>
      <c r="L145" s="89">
        <f>Table1[[#This Row],[Duration]]*12</f>
        <v>0</v>
      </c>
      <c r="M145" s="105" t="s">
        <v>178</v>
      </c>
      <c r="N145" s="106" t="str">
        <f>IF(AND(Table1[[#This Row],[ Type of Contract]]="ESCO",Table1[[#This Row],[Status Detail]]="ACTIVE"),"yes","no")</f>
        <v>no</v>
      </c>
      <c r="O145" s="106" t="s">
        <v>53</v>
      </c>
      <c r="P145" s="46" t="s">
        <v>432</v>
      </c>
      <c r="Q145" s="105"/>
      <c r="R145" s="66" t="s">
        <v>7</v>
      </c>
      <c r="S145" s="122" t="s">
        <v>767</v>
      </c>
      <c r="T145" s="65"/>
      <c r="U145" s="130" t="s">
        <v>768</v>
      </c>
      <c r="V145" s="122">
        <v>939087312</v>
      </c>
      <c r="W145" s="226" t="str">
        <f>IF(Table1[[#This Row],[Maintenance]]="yes",IF(OR(Table1[[#This Row],[Start Contract]]="",Table1[[#This Row],[Duration Month2]]=""),"",EDATE(Table1[[#This Row],[Start Contract]],Table1[[#This Row],[Duration Month2]])),"-")</f>
        <v>-</v>
      </c>
      <c r="X145" s="225" t="str">
        <f>IF(OR((W145=""),(W145="-")),"",YEAR(Table1[[#This Row],[End Contract]]))</f>
        <v/>
      </c>
      <c r="Y145" s="65" t="str">
        <f ca="1">IF(Table1[[#This Row],[Maintenance]]="yes",IF(Table1[[#This Row],[End Contract]]="","no",IF(TODAY()&lt;=Table1[[#This Row],[End Contract]],"yes","no")),"no")</f>
        <v>no</v>
      </c>
      <c r="Z145" s="65"/>
      <c r="AA145" s="65"/>
      <c r="AB145" s="65"/>
    </row>
    <row r="146" spans="1:30" s="9" customFormat="1" x14ac:dyDescent="0.3">
      <c r="A146" s="63">
        <v>141</v>
      </c>
      <c r="B146" s="63" t="s">
        <v>769</v>
      </c>
      <c r="C146" s="61" t="s">
        <v>770</v>
      </c>
      <c r="D146" s="61">
        <v>502061146</v>
      </c>
      <c r="E146" s="107" t="s">
        <v>771</v>
      </c>
      <c r="F146" s="107" t="s">
        <v>9</v>
      </c>
      <c r="G146" s="102">
        <v>121</v>
      </c>
      <c r="H146" s="102">
        <v>69</v>
      </c>
      <c r="I146" s="102" t="s">
        <v>8</v>
      </c>
      <c r="J146" s="102" t="s">
        <v>76</v>
      </c>
      <c r="K146" s="102">
        <v>0</v>
      </c>
      <c r="L146" s="102">
        <f>Table1[[#This Row],[Duration]]*12</f>
        <v>0</v>
      </c>
      <c r="M146" s="103" t="s">
        <v>178</v>
      </c>
      <c r="N146" s="46" t="str">
        <f>IF(AND(Table1[[#This Row],[ Type of Contract]]="ESCO",Table1[[#This Row],[Status Detail]]="ACTIVE"),"yes","no")</f>
        <v>no</v>
      </c>
      <c r="O146" s="104" t="s">
        <v>53</v>
      </c>
      <c r="P146" s="46" t="s">
        <v>61</v>
      </c>
      <c r="Q146" s="103"/>
      <c r="R146" s="62" t="s">
        <v>7</v>
      </c>
      <c r="S146" s="62"/>
      <c r="T146" s="62"/>
      <c r="U146" s="62"/>
      <c r="V146" s="62"/>
      <c r="W146" s="226" t="str">
        <f>IF(Table1[[#This Row],[Maintenance]]="yes",IF(OR(Table1[[#This Row],[Start Contract]]="",Table1[[#This Row],[Duration Month2]]=""),"",EDATE(Table1[[#This Row],[Start Contract]],Table1[[#This Row],[Duration Month2]])),"-")</f>
        <v>-</v>
      </c>
      <c r="X146" s="225" t="str">
        <f>IF(OR((W146=""),(W146="-")),"",YEAR(Table1[[#This Row],[End Contract]]))</f>
        <v/>
      </c>
      <c r="Y146" s="65" t="str">
        <f ca="1">IF(Table1[[#This Row],[Maintenance]]="yes",IF(Table1[[#This Row],[End Contract]]="","no",IF(TODAY()&lt;=Table1[[#This Row],[End Contract]],"yes","no")),"no")</f>
        <v>no</v>
      </c>
      <c r="Z146" s="65"/>
      <c r="AA146" s="65"/>
      <c r="AB146" s="65"/>
    </row>
    <row r="147" spans="1:30" x14ac:dyDescent="0.3">
      <c r="A147" s="58">
        <v>142</v>
      </c>
      <c r="B147" s="58" t="s">
        <v>772</v>
      </c>
      <c r="C147" s="58" t="s">
        <v>773</v>
      </c>
      <c r="D147" s="58">
        <v>501211756</v>
      </c>
      <c r="E147" s="89" t="s">
        <v>774</v>
      </c>
      <c r="F147" s="89" t="s">
        <v>17</v>
      </c>
      <c r="G147" s="89">
        <v>196</v>
      </c>
      <c r="H147" s="89">
        <v>111.7</v>
      </c>
      <c r="I147" s="89" t="s">
        <v>8</v>
      </c>
      <c r="J147" s="89" t="s">
        <v>76</v>
      </c>
      <c r="K147" s="89">
        <v>0</v>
      </c>
      <c r="L147" s="89">
        <f>Table1[[#This Row],[Duration]]*12</f>
        <v>0</v>
      </c>
      <c r="M147" s="105" t="s">
        <v>178</v>
      </c>
      <c r="N147" s="46" t="str">
        <f>IF(AND(Table1[[#This Row],[ Type of Contract]]="ESCO",Table1[[#This Row],[Status Detail]]="ACTIVE"),"yes","no")</f>
        <v>no</v>
      </c>
      <c r="O147" s="106" t="s">
        <v>431</v>
      </c>
      <c r="P147" s="46" t="s">
        <v>61</v>
      </c>
      <c r="Q147" s="105"/>
      <c r="R147" s="66" t="s">
        <v>7</v>
      </c>
      <c r="S147" s="66"/>
      <c r="T147" s="66"/>
      <c r="U147" s="66"/>
      <c r="V147" s="66"/>
      <c r="W147" s="119" t="str">
        <f>IF(Table1[[#This Row],[Maintenance]]="yes",IF(OR(Table1[[#This Row],[Start Contract]]="",Table1[[#This Row],[Duration Month2]]=""),"",EDATE(Table1[[#This Row],[Start Contract]],Table1[[#This Row],[Duration Month2]])),"-")</f>
        <v>-</v>
      </c>
      <c r="X147" s="115" t="str">
        <f>IF(OR((W147=""),(W147="-")),"",YEAR(Table1[[#This Row],[End Contract]]))</f>
        <v/>
      </c>
      <c r="Y147" s="54" t="str">
        <f ca="1">IF(Table1[[#This Row],[Maintenance]]="yes",IF(Table1[[#This Row],[End Contract]]="","no",IF(TODAY()&lt;=Table1[[#This Row],[End Contract]],"yes","no")),"no")</f>
        <v>no</v>
      </c>
      <c r="Z147" s="54"/>
      <c r="AA147" s="54"/>
      <c r="AB147" s="54"/>
    </row>
    <row r="148" spans="1:30" s="9" customFormat="1" x14ac:dyDescent="0.3">
      <c r="A148" s="63">
        <v>143</v>
      </c>
      <c r="B148" s="63" t="s">
        <v>775</v>
      </c>
      <c r="C148" s="61" t="s">
        <v>776</v>
      </c>
      <c r="D148" s="61">
        <v>501272690</v>
      </c>
      <c r="E148" s="127" t="s">
        <v>777</v>
      </c>
      <c r="F148" s="102" t="s">
        <v>778</v>
      </c>
      <c r="G148" s="102">
        <v>128</v>
      </c>
      <c r="H148" s="102">
        <v>73</v>
      </c>
      <c r="I148" s="102" t="s">
        <v>8</v>
      </c>
      <c r="J148" s="102" t="s">
        <v>76</v>
      </c>
      <c r="K148" s="102">
        <v>0</v>
      </c>
      <c r="L148" s="102">
        <f>Table1[[#This Row],[Duration]]*12</f>
        <v>0</v>
      </c>
      <c r="M148" s="103" t="s">
        <v>178</v>
      </c>
      <c r="N148" s="104" t="str">
        <f>IF(AND(Table1[[#This Row],[ Type of Contract]]="ESCO",Table1[[#This Row],[Status Detail]]="ACTIVE"),"yes","no")</f>
        <v>no</v>
      </c>
      <c r="O148" s="104" t="s">
        <v>779</v>
      </c>
      <c r="P148" s="46" t="s">
        <v>61</v>
      </c>
      <c r="Q148" s="103"/>
      <c r="R148" s="62" t="s">
        <v>7</v>
      </c>
      <c r="S148" s="62" t="s">
        <v>780</v>
      </c>
      <c r="T148" s="62" t="s">
        <v>310</v>
      </c>
      <c r="U148" s="62"/>
      <c r="V148" s="62">
        <v>913456795</v>
      </c>
      <c r="W148" s="226" t="str">
        <f>IF(Table1[[#This Row],[Maintenance]]="yes",IF(OR(Table1[[#This Row],[Start Contract]]="",Table1[[#This Row],[Duration Month2]]=""),"",EDATE(Table1[[#This Row],[Start Contract]],Table1[[#This Row],[Duration Month2]])),"-")</f>
        <v>-</v>
      </c>
      <c r="X148" s="225" t="str">
        <f>IF(OR((W148=""),(W148="-")),"",YEAR(Table1[[#This Row],[End Contract]]))</f>
        <v/>
      </c>
      <c r="Y148" s="65" t="str">
        <f ca="1">IF(Table1[[#This Row],[Maintenance]]="yes",IF(Table1[[#This Row],[End Contract]]="","no",IF(TODAY()&lt;=Table1[[#This Row],[End Contract]],"yes","no")),"no")</f>
        <v>no</v>
      </c>
      <c r="Z148" s="65"/>
      <c r="AA148" s="65"/>
      <c r="AB148" s="65"/>
    </row>
    <row r="149" spans="1:30" x14ac:dyDescent="0.3">
      <c r="A149" s="67">
        <v>144</v>
      </c>
      <c r="B149" s="67" t="s">
        <v>781</v>
      </c>
      <c r="C149" s="68" t="s">
        <v>782</v>
      </c>
      <c r="D149" s="68">
        <v>508415110</v>
      </c>
      <c r="E149" s="108" t="s">
        <v>783</v>
      </c>
      <c r="F149" s="108" t="s">
        <v>9</v>
      </c>
      <c r="G149" s="108">
        <v>13</v>
      </c>
      <c r="H149" s="108">
        <v>7.04</v>
      </c>
      <c r="I149" s="108" t="s">
        <v>8</v>
      </c>
      <c r="J149" s="108" t="s">
        <v>76</v>
      </c>
      <c r="K149" s="108">
        <v>0</v>
      </c>
      <c r="L149" s="108">
        <f>Table1[[#This Row],[Duration]]*12</f>
        <v>0</v>
      </c>
      <c r="M149" s="109" t="s">
        <v>178</v>
      </c>
      <c r="N149" s="46" t="str">
        <f>IF(AND(Table1[[#This Row],[ Type of Contract]]="ESCO",Table1[[#This Row],[Status Detail]]="ACTIVE"),"yes","no")</f>
        <v>no</v>
      </c>
      <c r="O149" s="110" t="s">
        <v>94</v>
      </c>
      <c r="P149" s="46" t="s">
        <v>61</v>
      </c>
      <c r="Q149" s="109"/>
      <c r="R149" s="69" t="s">
        <v>7</v>
      </c>
      <c r="S149" s="69"/>
      <c r="T149" s="69"/>
      <c r="U149" s="69"/>
      <c r="V149" s="69"/>
      <c r="W149" s="119" t="str">
        <f>IF(Table1[[#This Row],[Maintenance]]="yes",IF(OR(Table1[[#This Row],[Start Contract]]="",Table1[[#This Row],[Duration Month2]]=""),"",EDATE(Table1[[#This Row],[Start Contract]],Table1[[#This Row],[Duration Month2]])),"-")</f>
        <v>-</v>
      </c>
      <c r="X149" s="115" t="str">
        <f>IF(OR((W149=""),(W149="-")),"",YEAR(Table1[[#This Row],[End Contract]]))</f>
        <v/>
      </c>
      <c r="Y149" s="54" t="str">
        <f ca="1">IF(Table1[[#This Row],[Maintenance]]="yes",IF(Table1[[#This Row],[End Contract]]="","no",IF(TODAY()&lt;=Table1[[#This Row],[End Contract]],"yes","no")),"no")</f>
        <v>no</v>
      </c>
      <c r="Z149" s="54"/>
      <c r="AA149" s="54"/>
      <c r="AB149" s="54"/>
    </row>
    <row r="150" spans="1:30" x14ac:dyDescent="0.3">
      <c r="A150" s="63">
        <v>145</v>
      </c>
      <c r="B150" s="63" t="s">
        <v>784</v>
      </c>
      <c r="C150" s="61" t="s">
        <v>785</v>
      </c>
      <c r="D150" s="61">
        <v>502435712</v>
      </c>
      <c r="E150" s="81" t="s">
        <v>786</v>
      </c>
      <c r="F150" s="81" t="s">
        <v>787</v>
      </c>
      <c r="G150" s="81">
        <v>192</v>
      </c>
      <c r="H150" s="81">
        <v>109.44</v>
      </c>
      <c r="I150" s="81" t="s">
        <v>8</v>
      </c>
      <c r="J150" s="81" t="s">
        <v>76</v>
      </c>
      <c r="K150" s="81">
        <v>0</v>
      </c>
      <c r="L150" s="81">
        <f>Table1[[#This Row],[Duration]]*12</f>
        <v>0</v>
      </c>
      <c r="M150" s="82" t="s">
        <v>178</v>
      </c>
      <c r="N150" s="88" t="str">
        <f>IF(AND(Table1[[#This Row],[ Type of Contract]]="ESCO",Table1[[#This Row],[Status Detail]]="ACTIVE"),"yes","no")</f>
        <v>no</v>
      </c>
      <c r="O150" s="88" t="s">
        <v>53</v>
      </c>
      <c r="P150" s="46"/>
      <c r="Q150" s="82"/>
      <c r="R150" s="49" t="s">
        <v>7</v>
      </c>
      <c r="S150" s="49" t="s">
        <v>788</v>
      </c>
      <c r="T150" s="49" t="s">
        <v>70</v>
      </c>
      <c r="U150" s="49"/>
      <c r="V150" s="49">
        <v>919613988</v>
      </c>
      <c r="W150" s="119" t="str">
        <f>IF(Table1[[#This Row],[Maintenance]]="yes",IF(OR(Table1[[#This Row],[Start Contract]]="",Table1[[#This Row],[Duration Month2]]=""),"",EDATE(Table1[[#This Row],[Start Contract]],Table1[[#This Row],[Duration Month2]])),"-")</f>
        <v>-</v>
      </c>
      <c r="X150" s="115" t="str">
        <f>IF(OR((W150=""),(W150="-")),"",YEAR(Table1[[#This Row],[End Contract]]))</f>
        <v/>
      </c>
      <c r="Y150" s="54" t="str">
        <f ca="1">IF(Table1[[#This Row],[Maintenance]]="yes",IF(Table1[[#This Row],[End Contract]]="","no",IF(TODAY()&lt;=Table1[[#This Row],[End Contract]],"yes","no")),"no")</f>
        <v>no</v>
      </c>
      <c r="Z150" s="54"/>
      <c r="AA150" s="54"/>
      <c r="AB150" s="54"/>
    </row>
    <row r="151" spans="1:30" x14ac:dyDescent="0.3">
      <c r="A151" s="58">
        <v>146</v>
      </c>
      <c r="B151" s="58" t="s">
        <v>789</v>
      </c>
      <c r="C151" s="70" t="s">
        <v>790</v>
      </c>
      <c r="D151" s="111">
        <v>901172146</v>
      </c>
      <c r="E151" s="89" t="s">
        <v>791</v>
      </c>
      <c r="F151" s="89" t="s">
        <v>9</v>
      </c>
      <c r="G151" s="89">
        <v>42</v>
      </c>
      <c r="H151" s="89">
        <v>17.010000000000002</v>
      </c>
      <c r="I151" s="89" t="s">
        <v>8</v>
      </c>
      <c r="J151" s="89" t="s">
        <v>76</v>
      </c>
      <c r="K151" s="89">
        <v>0</v>
      </c>
      <c r="L151" s="89">
        <f>Table1[[#This Row],[Duration]]*12</f>
        <v>0</v>
      </c>
      <c r="M151" s="105" t="s">
        <v>178</v>
      </c>
      <c r="N151" s="106" t="str">
        <f>IF(AND(Table1[[#This Row],[ Type of Contract]]="ESCO",Table1[[#This Row],[Status Detail]]="ACTIVE"),"yes","no")</f>
        <v>no</v>
      </c>
      <c r="O151" s="106" t="s">
        <v>94</v>
      </c>
      <c r="P151" s="46" t="s">
        <v>432</v>
      </c>
      <c r="Q151" s="105"/>
      <c r="R151" s="66" t="s">
        <v>7</v>
      </c>
      <c r="S151" s="66" t="s">
        <v>792</v>
      </c>
      <c r="T151" s="66" t="s">
        <v>793</v>
      </c>
      <c r="U151" s="66"/>
      <c r="V151" s="66">
        <v>916136454</v>
      </c>
      <c r="W151" s="119" t="str">
        <f>IF(Table1[[#This Row],[Maintenance]]="yes",IF(OR(Table1[[#This Row],[Start Contract]]="",Table1[[#This Row],[Duration Month2]]=""),"",EDATE(Table1[[#This Row],[Start Contract]],Table1[[#This Row],[Duration Month2]])),"-")</f>
        <v>-</v>
      </c>
      <c r="X151" s="115" t="str">
        <f>IF(OR((W151=""),(W151="-")),"",YEAR(Table1[[#This Row],[End Contract]]))</f>
        <v/>
      </c>
      <c r="Y151" s="54" t="str">
        <f ca="1">IF(Table1[[#This Row],[Maintenance]]="yes",IF(Table1[[#This Row],[End Contract]]="","no",IF(TODAY()&lt;=Table1[[#This Row],[End Contract]],"yes","no")),"no")</f>
        <v>no</v>
      </c>
      <c r="Z151" s="54"/>
      <c r="AA151" s="54"/>
      <c r="AB151" s="54"/>
    </row>
    <row r="152" spans="1:30" ht="27.6" customHeight="1" x14ac:dyDescent="0.3">
      <c r="A152" s="112">
        <v>147</v>
      </c>
      <c r="B152" s="63" t="s">
        <v>794</v>
      </c>
      <c r="C152" s="61" t="s">
        <v>795</v>
      </c>
      <c r="D152" s="61">
        <v>501615385</v>
      </c>
      <c r="E152" s="81" t="s">
        <v>796</v>
      </c>
      <c r="F152" s="81" t="s">
        <v>12</v>
      </c>
      <c r="G152" s="81">
        <v>138</v>
      </c>
      <c r="H152" s="81">
        <v>60.7</v>
      </c>
      <c r="I152" s="81" t="s">
        <v>8</v>
      </c>
      <c r="J152" s="81" t="s">
        <v>76</v>
      </c>
      <c r="K152" s="81">
        <v>0</v>
      </c>
      <c r="L152" s="81">
        <f>Table1[[#This Row],[Duration]]*12</f>
        <v>0</v>
      </c>
      <c r="M152" s="82" t="s">
        <v>178</v>
      </c>
      <c r="N152" s="88" t="str">
        <f>IF(AND(Table1[[#This Row],[ Type of Contract]]="ESCO",Table1[[#This Row],[Status Detail]]="ACTIVE"),"yes","no")</f>
        <v>no</v>
      </c>
      <c r="O152" s="88" t="s">
        <v>53</v>
      </c>
      <c r="P152" s="46" t="s">
        <v>61</v>
      </c>
      <c r="Q152" s="82"/>
      <c r="R152" s="49" t="s">
        <v>7</v>
      </c>
      <c r="S152" s="49" t="s">
        <v>644</v>
      </c>
      <c r="T152" s="49" t="s">
        <v>421</v>
      </c>
      <c r="U152" s="49"/>
      <c r="V152" s="53" t="s">
        <v>797</v>
      </c>
      <c r="W152" s="119" t="str">
        <f>IF(Table1[[#This Row],[Maintenance]]="yes",IF(OR(Table1[[#This Row],[Start Contract]]="",Table1[[#This Row],[Duration Month2]]=""),"",EDATE(Table1[[#This Row],[Start Contract]],Table1[[#This Row],[Duration Month2]])),"-")</f>
        <v>-</v>
      </c>
      <c r="X152" s="115" t="str">
        <f>IF(OR((W152=""),(W152="-")),"",YEAR(Table1[[#This Row],[End Contract]]))</f>
        <v/>
      </c>
      <c r="Y152" s="54" t="str">
        <f ca="1">IF(Table1[[#This Row],[Maintenance]]="yes",IF(Table1[[#This Row],[End Contract]]="","no",IF(TODAY()&lt;=Table1[[#This Row],[End Contract]],"yes","no")),"no")</f>
        <v>no</v>
      </c>
      <c r="Z152" s="54"/>
      <c r="AA152" s="54"/>
      <c r="AB152" s="54"/>
    </row>
    <row r="153" spans="1:30" x14ac:dyDescent="0.3">
      <c r="A153" s="58">
        <v>148</v>
      </c>
      <c r="B153" s="58" t="s">
        <v>798</v>
      </c>
      <c r="C153" s="70" t="s">
        <v>799</v>
      </c>
      <c r="D153" s="70">
        <v>501131981</v>
      </c>
      <c r="E153" s="89" t="s">
        <v>800</v>
      </c>
      <c r="F153" s="89" t="s">
        <v>9</v>
      </c>
      <c r="G153" s="89">
        <v>116</v>
      </c>
      <c r="H153" s="89">
        <v>66.099999999999994</v>
      </c>
      <c r="I153" s="89" t="s">
        <v>11</v>
      </c>
      <c r="J153" s="89" t="s">
        <v>456</v>
      </c>
      <c r="K153" s="89">
        <v>10</v>
      </c>
      <c r="L153" s="89">
        <f>Table1[[#This Row],[Duration]]*12</f>
        <v>120</v>
      </c>
      <c r="M153" s="105" t="s">
        <v>178</v>
      </c>
      <c r="N153" s="46" t="str">
        <f>IF(AND(Table1[[#This Row],[ Type of Contract]]="ESCO",Table1[[#This Row],[Status Detail]]="ACTIVE"),"yes","no")</f>
        <v>no</v>
      </c>
      <c r="O153" s="106"/>
      <c r="P153" s="46"/>
      <c r="Q153" s="105"/>
      <c r="R153" s="66" t="s">
        <v>10</v>
      </c>
      <c r="S153" s="66" t="s">
        <v>801</v>
      </c>
      <c r="T153" s="66" t="s">
        <v>802</v>
      </c>
      <c r="U153" s="66" t="s">
        <v>803</v>
      </c>
      <c r="V153" s="66"/>
      <c r="W153" s="119" t="str">
        <f>IF(Table1[[#This Row],[Maintenance]]="yes",IF(OR(Table1[[#This Row],[Start Contract]]="",Table1[[#This Row],[Duration Month2]]=""),"",EDATE(Table1[[#This Row],[Start Contract]],Table1[[#This Row],[Duration Month2]])),"-")</f>
        <v>-</v>
      </c>
      <c r="X153" s="115" t="str">
        <f>IF(OR((W153=""),(W153="-")),"",YEAR(Table1[[#This Row],[End Contract]]))</f>
        <v/>
      </c>
      <c r="Y153" s="54" t="str">
        <f ca="1">IF(Table1[[#This Row],[Maintenance]]="yes",IF(Table1[[#This Row],[End Contract]]="","no",IF(TODAY()&lt;=Table1[[#This Row],[End Contract]],"yes","no")),"no")</f>
        <v>no</v>
      </c>
      <c r="Z153" s="54"/>
      <c r="AA153" s="54"/>
      <c r="AB153" s="54"/>
    </row>
    <row r="154" spans="1:30" x14ac:dyDescent="0.3">
      <c r="A154" s="63">
        <v>149</v>
      </c>
      <c r="B154" s="63" t="s">
        <v>804</v>
      </c>
      <c r="C154" s="61" t="s">
        <v>805</v>
      </c>
      <c r="D154" s="61">
        <v>504704915</v>
      </c>
      <c r="E154" s="102" t="s">
        <v>806</v>
      </c>
      <c r="F154" s="102" t="s">
        <v>51</v>
      </c>
      <c r="G154" s="102">
        <v>64</v>
      </c>
      <c r="H154" s="102">
        <v>36.049999999999997</v>
      </c>
      <c r="I154" s="102" t="s">
        <v>8</v>
      </c>
      <c r="J154" s="102" t="s">
        <v>76</v>
      </c>
      <c r="K154" s="102">
        <v>0</v>
      </c>
      <c r="L154" s="102">
        <f>Table1[[#This Row],[Duration]]*12</f>
        <v>0</v>
      </c>
      <c r="M154" s="103" t="s">
        <v>178</v>
      </c>
      <c r="N154" s="46" t="str">
        <f>IF(AND(Table1[[#This Row],[ Type of Contract]]="ESCO",Table1[[#This Row],[Status Detail]]="ACTIVE"),"yes","no")</f>
        <v>no</v>
      </c>
      <c r="O154" s="104" t="s">
        <v>53</v>
      </c>
      <c r="P154" s="46" t="s">
        <v>61</v>
      </c>
      <c r="Q154" s="103"/>
      <c r="R154" s="62" t="s">
        <v>7</v>
      </c>
      <c r="S154" s="62" t="s">
        <v>807</v>
      </c>
      <c r="T154" s="62" t="s">
        <v>70</v>
      </c>
      <c r="U154" s="62"/>
      <c r="V154" s="62"/>
      <c r="W154" s="119" t="str">
        <f>IF(Table1[[#This Row],[Maintenance]]="yes",IF(OR(Table1[[#This Row],[Start Contract]]="",Table1[[#This Row],[Duration Month2]]=""),"",EDATE(Table1[[#This Row],[Start Contract]],Table1[[#This Row],[Duration Month2]])),"-")</f>
        <v>-</v>
      </c>
      <c r="X154" s="115" t="str">
        <f>IF(OR((W154=""),(W154="-")),"",YEAR(Table1[[#This Row],[End Contract]]))</f>
        <v/>
      </c>
      <c r="Y154" s="54" t="str">
        <f ca="1">IF(Table1[[#This Row],[Maintenance]]="yes",IF(Table1[[#This Row],[End Contract]]="","no",IF(TODAY()&lt;=Table1[[#This Row],[End Contract]],"yes","no")),"no")</f>
        <v>no</v>
      </c>
      <c r="Z154" s="54"/>
      <c r="AA154" s="54"/>
      <c r="AB154" s="54"/>
    </row>
    <row r="155" spans="1:30" x14ac:dyDescent="0.3">
      <c r="A155" s="58">
        <v>150</v>
      </c>
      <c r="B155" s="169" t="s">
        <v>808</v>
      </c>
      <c r="C155" s="170" t="s">
        <v>809</v>
      </c>
      <c r="D155" s="170">
        <v>508776597</v>
      </c>
      <c r="E155" s="155" t="s">
        <v>810</v>
      </c>
      <c r="F155" s="171" t="s">
        <v>12</v>
      </c>
      <c r="G155" s="171">
        <v>130</v>
      </c>
      <c r="H155" s="171">
        <v>74.099999999999994</v>
      </c>
      <c r="I155" s="171" t="s">
        <v>11</v>
      </c>
      <c r="J155" s="171" t="s">
        <v>456</v>
      </c>
      <c r="K155" s="171">
        <v>10</v>
      </c>
      <c r="L155" s="171">
        <f>Table1[[#This Row],[Duration]]*12</f>
        <v>120</v>
      </c>
      <c r="M155" s="152">
        <v>45505</v>
      </c>
      <c r="N155" s="173" t="str">
        <f>IF(AND(Table1[[#This Row],[ Type of Contract]]="ESCO",Table1[[#This Row],[Status Detail]]="ACTIVE"),"yes","no")</f>
        <v>yes</v>
      </c>
      <c r="O155" s="173" t="s">
        <v>53</v>
      </c>
      <c r="P155" s="157" t="s">
        <v>61</v>
      </c>
      <c r="Q155" s="172"/>
      <c r="R155" s="174" t="s">
        <v>7</v>
      </c>
      <c r="S155" s="144" t="s">
        <v>811</v>
      </c>
      <c r="T155" s="143"/>
      <c r="U155" s="149" t="s">
        <v>812</v>
      </c>
      <c r="V155" s="141">
        <v>967870346</v>
      </c>
      <c r="W155" s="119">
        <f>IF(Table1[[#This Row],[Maintenance]]="yes",IF(OR(Table1[[#This Row],[Start Contract]]="",Table1[[#This Row],[Duration Month2]]=""),"",EDATE(Table1[[#This Row],[Start Contract]],Table1[[#This Row],[Duration Month2]])),"-")</f>
        <v>49157</v>
      </c>
      <c r="X155" s="115">
        <f>IF(OR((W155=""),(W155="-")),"",YEAR(Table1[[#This Row],[End Contract]]))</f>
        <v>2034</v>
      </c>
      <c r="Y155" s="54" t="str">
        <f ca="1">IF(Table1[[#This Row],[Maintenance]]="yes",IF(Table1[[#This Row],[End Contract]]="","no",IF(TODAY()&lt;=Table1[[#This Row],[End Contract]],"yes","no")),"no")</f>
        <v>yes</v>
      </c>
      <c r="Z155" s="54"/>
      <c r="AA155" s="277">
        <v>9150.6</v>
      </c>
      <c r="AB155" s="54" t="s">
        <v>1409</v>
      </c>
    </row>
    <row r="156" spans="1:30" x14ac:dyDescent="0.3">
      <c r="A156" s="63">
        <v>151</v>
      </c>
      <c r="B156" s="175" t="s">
        <v>813</v>
      </c>
      <c r="C156" s="176" t="s">
        <v>809</v>
      </c>
      <c r="D156" s="176">
        <v>508776597</v>
      </c>
      <c r="E156" s="146" t="s">
        <v>810</v>
      </c>
      <c r="F156" s="155" t="s">
        <v>12</v>
      </c>
      <c r="G156" s="155">
        <v>270</v>
      </c>
      <c r="H156" s="155">
        <v>153.80000000000001</v>
      </c>
      <c r="I156" s="155" t="s">
        <v>11</v>
      </c>
      <c r="J156" s="155" t="s">
        <v>456</v>
      </c>
      <c r="K156" s="155">
        <v>10</v>
      </c>
      <c r="L156" s="155">
        <f>Table1[[#This Row],[Duration]]*12</f>
        <v>120</v>
      </c>
      <c r="M156" s="152">
        <v>45505</v>
      </c>
      <c r="N156" s="178" t="str">
        <f>IF(AND(Table1[[#This Row],[ Type of Contract]]="ESCO",Table1[[#This Row],[Status Detail]]="ACTIVE"),"yes","no")</f>
        <v>yes</v>
      </c>
      <c r="O156" s="178" t="s">
        <v>207</v>
      </c>
      <c r="P156" s="157" t="s">
        <v>208</v>
      </c>
      <c r="Q156" s="156"/>
      <c r="R156" s="141" t="s">
        <v>7</v>
      </c>
      <c r="S156" s="144" t="s">
        <v>811</v>
      </c>
      <c r="T156" s="143"/>
      <c r="U156" s="149" t="s">
        <v>812</v>
      </c>
      <c r="V156" s="141">
        <v>967870346</v>
      </c>
      <c r="W156" s="119">
        <f>IF(Table1[[#This Row],[Maintenance]]="yes",IF(OR(Table1[[#This Row],[Start Contract]]="",Table1[[#This Row],[Duration Month2]]=""),"",EDATE(Table1[[#This Row],[Start Contract]],Table1[[#This Row],[Duration Month2]])),"-")</f>
        <v>49157</v>
      </c>
      <c r="X156" s="115">
        <f>IF(OR((W156=""),(W156="-")),"",YEAR(Table1[[#This Row],[End Contract]]))</f>
        <v>2034</v>
      </c>
      <c r="Y156" s="54" t="str">
        <f ca="1">IF(Table1[[#This Row],[Maintenance]]="yes",IF(Table1[[#This Row],[End Contract]]="","no",IF(TODAY()&lt;=Table1[[#This Row],[End Contract]],"yes","no")),"no")</f>
        <v>yes</v>
      </c>
      <c r="Z156" s="54"/>
      <c r="AA156" s="277" t="s">
        <v>1410</v>
      </c>
      <c r="AB156" s="54" t="s">
        <v>1409</v>
      </c>
    </row>
    <row r="157" spans="1:30" x14ac:dyDescent="0.3">
      <c r="A157" s="58">
        <v>152</v>
      </c>
      <c r="B157" s="58" t="s">
        <v>814</v>
      </c>
      <c r="C157" s="70" t="s">
        <v>815</v>
      </c>
      <c r="D157" s="70">
        <v>510170684</v>
      </c>
      <c r="E157" s="89" t="s">
        <v>816</v>
      </c>
      <c r="F157" s="89" t="s">
        <v>16</v>
      </c>
      <c r="G157" s="89">
        <v>72</v>
      </c>
      <c r="H157" s="89">
        <v>41</v>
      </c>
      <c r="I157" s="89" t="s">
        <v>8</v>
      </c>
      <c r="J157" s="89" t="s">
        <v>76</v>
      </c>
      <c r="K157" s="89">
        <v>0</v>
      </c>
      <c r="L157" s="89">
        <f>Table1[[#This Row],[Duration]]*12</f>
        <v>0</v>
      </c>
      <c r="M157" s="105" t="s">
        <v>178</v>
      </c>
      <c r="N157" s="46" t="str">
        <f>IF(AND(Table1[[#This Row],[ Type of Contract]]="ESCO",Table1[[#This Row],[Status Detail]]="ACTIVE"),"yes","no")</f>
        <v>no</v>
      </c>
      <c r="O157" s="106" t="s">
        <v>596</v>
      </c>
      <c r="P157" s="46" t="s">
        <v>61</v>
      </c>
      <c r="Q157" s="105"/>
      <c r="R157" s="66" t="s">
        <v>7</v>
      </c>
      <c r="S157" s="66" t="s">
        <v>817</v>
      </c>
      <c r="T157" s="66" t="s">
        <v>70</v>
      </c>
      <c r="U157" s="66" t="s">
        <v>818</v>
      </c>
      <c r="V157" s="66"/>
      <c r="W157" s="119" t="str">
        <f>IF(Table1[[#This Row],[Maintenance]]="yes",IF(OR(Table1[[#This Row],[Start Contract]]="",Table1[[#This Row],[Duration Month2]]=""),"",EDATE(Table1[[#This Row],[Start Contract]],Table1[[#This Row],[Duration Month2]])),"-")</f>
        <v>-</v>
      </c>
      <c r="X157" s="115" t="str">
        <f>IF(OR((W157=""),(W157="-")),"",YEAR(Table1[[#This Row],[End Contract]]))</f>
        <v/>
      </c>
      <c r="Y157" s="54" t="str">
        <f ca="1">IF(Table1[[#This Row],[Maintenance]]="yes",IF(Table1[[#This Row],[End Contract]]="","no",IF(TODAY()&lt;=Table1[[#This Row],[End Contract]],"yes","no")),"no")</f>
        <v>no</v>
      </c>
      <c r="Z157" s="54"/>
      <c r="AA157" s="54"/>
      <c r="AB157" s="54"/>
    </row>
    <row r="158" spans="1:30" s="9" customFormat="1" x14ac:dyDescent="0.3">
      <c r="A158" s="63">
        <v>153</v>
      </c>
      <c r="B158" s="63" t="s">
        <v>819</v>
      </c>
      <c r="C158" s="61" t="s">
        <v>820</v>
      </c>
      <c r="D158" s="61">
        <v>500816905</v>
      </c>
      <c r="E158" s="102" t="s">
        <v>821</v>
      </c>
      <c r="F158" s="102" t="s">
        <v>68</v>
      </c>
      <c r="G158" s="102">
        <v>144</v>
      </c>
      <c r="H158" s="102">
        <v>82.1</v>
      </c>
      <c r="I158" s="102" t="s">
        <v>8</v>
      </c>
      <c r="J158" s="102" t="s">
        <v>76</v>
      </c>
      <c r="K158" s="102">
        <v>0</v>
      </c>
      <c r="L158" s="102">
        <f>Table1[[#This Row],[Duration]]*12</f>
        <v>0</v>
      </c>
      <c r="M158" s="103" t="s">
        <v>178</v>
      </c>
      <c r="N158" s="46" t="str">
        <f>IF(AND(Table1[[#This Row],[ Type of Contract]]="ESCO",Table1[[#This Row],[Status Detail]]="ACTIVE"),"yes","no")</f>
        <v>no</v>
      </c>
      <c r="O158" s="104" t="s">
        <v>431</v>
      </c>
      <c r="P158" s="46" t="s">
        <v>61</v>
      </c>
      <c r="Q158" s="103"/>
      <c r="R158" s="62" t="s">
        <v>7</v>
      </c>
      <c r="S158" s="62"/>
      <c r="T158" s="62"/>
      <c r="U158" s="62"/>
      <c r="V158" s="62"/>
      <c r="W158" s="226" t="str">
        <f>IF(Table1[[#This Row],[Maintenance]]="yes",IF(OR(Table1[[#This Row],[Start Contract]]="",Table1[[#This Row],[Duration Month2]]=""),"",EDATE(Table1[[#This Row],[Start Contract]],Table1[[#This Row],[Duration Month2]])),"-")</f>
        <v>-</v>
      </c>
      <c r="X158" s="225" t="str">
        <f>IF(OR((W158=""),(W158="-")),"",YEAR(Table1[[#This Row],[End Contract]]))</f>
        <v/>
      </c>
      <c r="Y158" s="65" t="str">
        <f ca="1">IF(Table1[[#This Row],[Maintenance]]="yes",IF(Table1[[#This Row],[End Contract]]="","no",IF(TODAY()&lt;=Table1[[#This Row],[End Contract]],"yes","no")),"no")</f>
        <v>no</v>
      </c>
      <c r="Z158" s="65"/>
      <c r="AA158" s="65"/>
      <c r="AB158" s="65"/>
    </row>
    <row r="159" spans="1:30" x14ac:dyDescent="0.3">
      <c r="A159" s="58">
        <v>154</v>
      </c>
      <c r="B159" s="58" t="s">
        <v>1426</v>
      </c>
      <c r="C159" s="70" t="s">
        <v>809</v>
      </c>
      <c r="D159" s="70">
        <v>508776597</v>
      </c>
      <c r="E159" s="89" t="s">
        <v>810</v>
      </c>
      <c r="F159" s="89" t="s">
        <v>12</v>
      </c>
      <c r="G159" s="89">
        <v>252</v>
      </c>
      <c r="H159" s="89">
        <v>141.4</v>
      </c>
      <c r="I159" s="89" t="s">
        <v>8</v>
      </c>
      <c r="J159" s="89" t="s">
        <v>76</v>
      </c>
      <c r="K159" s="89">
        <v>0</v>
      </c>
      <c r="L159" s="89">
        <f>Table1[[#This Row],[Duration]]*12</f>
        <v>0</v>
      </c>
      <c r="M159" s="105" t="s">
        <v>178</v>
      </c>
      <c r="N159" s="106" t="str">
        <f>IF(AND(Table1[[#This Row],[ Type of Contract]]="ESCO",Table1[[#This Row],[Status Detail]]="ACTIVE"),"yes","no")</f>
        <v>no</v>
      </c>
      <c r="O159" s="106" t="s">
        <v>53</v>
      </c>
      <c r="P159" s="46" t="s">
        <v>61</v>
      </c>
      <c r="Q159" s="105"/>
      <c r="R159" s="66" t="s">
        <v>7</v>
      </c>
      <c r="S159" s="122" t="s">
        <v>811</v>
      </c>
      <c r="T159" s="54"/>
      <c r="U159" s="131" t="s">
        <v>812</v>
      </c>
      <c r="V159" s="49">
        <v>967870346</v>
      </c>
      <c r="W159" s="119" t="str">
        <f>IF(Table1[[#This Row],[Maintenance]]="yes",IF(OR(Table1[[#This Row],[Start Contract]]="",Table1[[#This Row],[Duration Month2]]=""),"",EDATE(Table1[[#This Row],[Start Contract]],Table1[[#This Row],[Duration Month2]])),"-")</f>
        <v>-</v>
      </c>
      <c r="X159" s="115" t="str">
        <f>IF(OR((W159=""),(W159="-")),"",YEAR(Table1[[#This Row],[End Contract]]))</f>
        <v/>
      </c>
      <c r="Y159" s="54" t="str">
        <f ca="1">IF(Table1[[#This Row],[Maintenance]]="yes",IF(Table1[[#This Row],[End Contract]]="","no",IF(TODAY()&lt;=Table1[[#This Row],[End Contract]],"yes","no")),"no")</f>
        <v>no</v>
      </c>
      <c r="Z159" s="54"/>
      <c r="AA159" s="54"/>
      <c r="AB159" s="54"/>
    </row>
    <row r="160" spans="1:30" x14ac:dyDescent="0.3">
      <c r="A160" s="58">
        <v>155</v>
      </c>
      <c r="B160" s="71" t="s">
        <v>823</v>
      </c>
      <c r="C160" s="72" t="s">
        <v>824</v>
      </c>
      <c r="D160" s="72">
        <v>500640793</v>
      </c>
      <c r="E160" s="113" t="s">
        <v>825</v>
      </c>
      <c r="F160" s="114" t="s">
        <v>365</v>
      </c>
      <c r="G160" s="114">
        <v>76</v>
      </c>
      <c r="H160" s="113">
        <v>43.7</v>
      </c>
      <c r="I160" s="113" t="s">
        <v>8</v>
      </c>
      <c r="J160" s="115" t="str">
        <f t="shared" ref="J160:J191" si="0">IF(I160="ESCO", "Solcorelius", IF(I160="EPC", "Cliente", ""))</f>
        <v>Cliente</v>
      </c>
      <c r="K160" s="113">
        <v>2</v>
      </c>
      <c r="L160" s="115">
        <f>Table1[[#This Row],[Duration]]*12</f>
        <v>24</v>
      </c>
      <c r="M160" s="152">
        <v>45587</v>
      </c>
      <c r="N160" s="117" t="s">
        <v>77</v>
      </c>
      <c r="O160" s="117" t="s">
        <v>826</v>
      </c>
      <c r="P160" s="46" t="s">
        <v>61</v>
      </c>
      <c r="Q160" s="201" t="s">
        <v>827</v>
      </c>
      <c r="R160" s="54" t="s">
        <v>7</v>
      </c>
      <c r="S160" s="122" t="s">
        <v>828</v>
      </c>
      <c r="T160" s="54"/>
      <c r="U160" s="131" t="s">
        <v>829</v>
      </c>
      <c r="V160" s="122" t="s">
        <v>830</v>
      </c>
      <c r="W160" s="119">
        <f>IF(Table1[[#This Row],[Maintenance]]="yes",IF(OR(Table1[[#This Row],[Start Contract]]="",Table1[[#This Row],[Duration Month2]]=""),"",EDATE(Table1[[#This Row],[Start Contract]],Table1[[#This Row],[Duration Month2]])),"-")</f>
        <v>46317</v>
      </c>
      <c r="X160" s="115">
        <f>IF(OR((W160=""),(W160="-")),"",YEAR(Table1[[#This Row],[End Contract]]))</f>
        <v>2026</v>
      </c>
      <c r="Y160" s="54" t="str">
        <f ca="1">IF(Table1[[#This Row],[Maintenance]]="yes",IF(Table1[[#This Row],[End Contract]]="","no",IF(TODAY()&lt;=Table1[[#This Row],[End Contract]],"yes","no")),"no")</f>
        <v>yes</v>
      </c>
      <c r="Z160" s="54"/>
      <c r="AA160" s="277">
        <v>0</v>
      </c>
      <c r="AB160" s="277" t="s">
        <v>1408</v>
      </c>
      <c r="AD160" t="s">
        <v>1411</v>
      </c>
    </row>
    <row r="161" spans="1:28" x14ac:dyDescent="0.3">
      <c r="A161" s="63">
        <v>156</v>
      </c>
      <c r="B161" s="71" t="s">
        <v>831</v>
      </c>
      <c r="C161" s="72" t="s">
        <v>832</v>
      </c>
      <c r="D161" s="72">
        <v>501938249</v>
      </c>
      <c r="E161" s="113" t="s">
        <v>833</v>
      </c>
      <c r="F161" s="114" t="s">
        <v>215</v>
      </c>
      <c r="G161" s="114">
        <v>36</v>
      </c>
      <c r="H161" s="113">
        <v>20.52</v>
      </c>
      <c r="I161" s="113" t="s">
        <v>8</v>
      </c>
      <c r="J161" s="115" t="str">
        <f t="shared" si="0"/>
        <v>Cliente</v>
      </c>
      <c r="K161" s="113">
        <v>0</v>
      </c>
      <c r="L161" s="115">
        <f>Table1[[#This Row],[Duration]]*12</f>
        <v>0</v>
      </c>
      <c r="M161" s="116" t="s">
        <v>178</v>
      </c>
      <c r="N161" s="117" t="str">
        <f>IF(AND(Table1[[#This Row],[ Type of Contract]]="ESCO",Table1[[#This Row],[Status Detail]]="ACTIVE"),"yes","no")</f>
        <v>no</v>
      </c>
      <c r="O161" s="117" t="s">
        <v>431</v>
      </c>
      <c r="P161" s="117" t="s">
        <v>61</v>
      </c>
      <c r="Q161" s="118"/>
      <c r="R161" s="54" t="s">
        <v>7</v>
      </c>
      <c r="S161" s="54" t="s">
        <v>834</v>
      </c>
      <c r="T161" s="54"/>
      <c r="U161" s="54" t="s">
        <v>835</v>
      </c>
      <c r="V161" s="54">
        <v>212137730</v>
      </c>
      <c r="W161" s="119" t="str">
        <f>IF(Table1[[#This Row],[Maintenance]]="yes",IF(OR(Table1[[#This Row],[Start Contract]]="",Table1[[#This Row],[Duration Month2]]=""),"",EDATE(Table1[[#This Row],[Start Contract]],Table1[[#This Row],[Duration Month2]])),"-")</f>
        <v>-</v>
      </c>
      <c r="X161" s="115" t="str">
        <f>IF(OR((W161=""),(W161="-")),"",YEAR(Table1[[#This Row],[End Contract]]))</f>
        <v/>
      </c>
      <c r="Y161" s="54" t="str">
        <f ca="1">IF(Table1[[#This Row],[Maintenance]]="yes",IF(Table1[[#This Row],[End Contract]]="","no",IF(TODAY()&lt;=Table1[[#This Row],[End Contract]],"yes","no")),"no")</f>
        <v>no</v>
      </c>
      <c r="Z161" s="54"/>
      <c r="AA161" s="54"/>
      <c r="AB161" s="54"/>
    </row>
    <row r="162" spans="1:28" x14ac:dyDescent="0.3">
      <c r="A162" s="58">
        <v>157</v>
      </c>
      <c r="B162" s="71" t="s">
        <v>836</v>
      </c>
      <c r="C162" s="72" t="s">
        <v>832</v>
      </c>
      <c r="D162" s="72">
        <v>501938250</v>
      </c>
      <c r="E162" s="113" t="s">
        <v>837</v>
      </c>
      <c r="F162" s="114" t="s">
        <v>215</v>
      </c>
      <c r="G162" s="114">
        <v>60</v>
      </c>
      <c r="H162" s="113">
        <v>34.200000000000003</v>
      </c>
      <c r="I162" s="113" t="s">
        <v>8</v>
      </c>
      <c r="J162" s="115" t="str">
        <f t="shared" si="0"/>
        <v>Cliente</v>
      </c>
      <c r="K162" s="113">
        <v>0</v>
      </c>
      <c r="L162" s="115">
        <f>Table1[[#This Row],[Duration]]*12</f>
        <v>0</v>
      </c>
      <c r="M162" s="116" t="s">
        <v>178</v>
      </c>
      <c r="N162" s="117" t="str">
        <f>IF(AND(Table1[[#This Row],[ Type of Contract]]="ESCO",Table1[[#This Row],[Status Detail]]="ACTIVE"),"yes","no")</f>
        <v>no</v>
      </c>
      <c r="O162" s="117" t="s">
        <v>53</v>
      </c>
      <c r="P162" s="117" t="s">
        <v>61</v>
      </c>
      <c r="Q162" s="118"/>
      <c r="R162" s="54" t="s">
        <v>7</v>
      </c>
      <c r="S162" s="54" t="s">
        <v>834</v>
      </c>
      <c r="T162" s="54"/>
      <c r="U162" s="54" t="s">
        <v>835</v>
      </c>
      <c r="V162" s="54">
        <v>212137730</v>
      </c>
      <c r="W162" s="119" t="str">
        <f>IF(Table1[[#This Row],[Maintenance]]="yes",IF(OR(Table1[[#This Row],[Start Contract]]="",Table1[[#This Row],[Duration Month2]]=""),"",EDATE(Table1[[#This Row],[Start Contract]],Table1[[#This Row],[Duration Month2]])),"-")</f>
        <v>-</v>
      </c>
      <c r="X162" s="115" t="str">
        <f>IF(OR((W162=""),(W162="-")),"",YEAR(Table1[[#This Row],[End Contract]]))</f>
        <v/>
      </c>
      <c r="Y162" s="54" t="str">
        <f ca="1">IF(Table1[[#This Row],[Maintenance]]="yes",IF(Table1[[#This Row],[End Contract]]="","no",IF(TODAY()&lt;=Table1[[#This Row],[End Contract]],"yes","no")),"no")</f>
        <v>no</v>
      </c>
      <c r="Z162" s="54"/>
      <c r="AA162" s="54"/>
      <c r="AB162" s="54"/>
    </row>
    <row r="163" spans="1:28" x14ac:dyDescent="0.3">
      <c r="A163" s="58">
        <v>158</v>
      </c>
      <c r="B163" s="179" t="s">
        <v>838</v>
      </c>
      <c r="C163" s="163" t="s">
        <v>839</v>
      </c>
      <c r="D163" s="163">
        <v>502962801</v>
      </c>
      <c r="E163" s="180" t="s">
        <v>840</v>
      </c>
      <c r="F163" s="181" t="s">
        <v>16</v>
      </c>
      <c r="G163" s="181">
        <v>119</v>
      </c>
      <c r="H163" s="180">
        <v>68.400000000000006</v>
      </c>
      <c r="I163" s="180" t="s">
        <v>11</v>
      </c>
      <c r="J163" s="182" t="str">
        <f t="shared" si="0"/>
        <v>Solcorelius</v>
      </c>
      <c r="K163" s="180">
        <v>15</v>
      </c>
      <c r="L163" s="182">
        <f>Table1[[#This Row],[Duration]]*12</f>
        <v>180</v>
      </c>
      <c r="M163" s="152">
        <v>45474</v>
      </c>
      <c r="N163" s="183" t="str">
        <f>IF(AND(Table1[[#This Row],[ Type of Contract]]="ESCO",Table1[[#This Row],[Status Detail]]="ACTIVE"),"yes","no")</f>
        <v>yes</v>
      </c>
      <c r="O163" s="183" t="s">
        <v>53</v>
      </c>
      <c r="P163" s="183" t="s">
        <v>61</v>
      </c>
      <c r="Q163" s="184"/>
      <c r="R163" s="143" t="s">
        <v>7</v>
      </c>
      <c r="S163" s="143" t="s">
        <v>841</v>
      </c>
      <c r="T163" s="143"/>
      <c r="U163" s="150" t="s">
        <v>842</v>
      </c>
      <c r="V163" s="143" t="s">
        <v>843</v>
      </c>
      <c r="W163" s="119">
        <f>IF(Table1[[#This Row],[Maintenance]]="yes",IF(OR(Table1[[#This Row],[Start Contract]]="",Table1[[#This Row],[Duration Month2]]=""),"",EDATE(Table1[[#This Row],[Start Contract]],Table1[[#This Row],[Duration Month2]])),"-")</f>
        <v>50952</v>
      </c>
      <c r="X163" s="115">
        <f>IF(OR((W163=""),(W163="-")),"",YEAR(Table1[[#This Row],[End Contract]]))</f>
        <v>2039</v>
      </c>
      <c r="Y163" s="54" t="str">
        <f ca="1">IF(Table1[[#This Row],[Maintenance]]="yes",IF(Table1[[#This Row],[End Contract]]="","no",IF(TODAY()&lt;=Table1[[#This Row],[End Contract]],"yes","no")),"no")</f>
        <v>yes</v>
      </c>
      <c r="Z163" s="54"/>
      <c r="AA163" s="277" t="s">
        <v>178</v>
      </c>
      <c r="AB163" s="276" t="s">
        <v>1406</v>
      </c>
    </row>
    <row r="164" spans="1:28" x14ac:dyDescent="0.3">
      <c r="A164" s="63">
        <v>159</v>
      </c>
      <c r="B164" s="71" t="s">
        <v>844</v>
      </c>
      <c r="C164" s="72" t="s">
        <v>845</v>
      </c>
      <c r="D164" s="72">
        <v>501461396</v>
      </c>
      <c r="E164" s="113" t="s">
        <v>846</v>
      </c>
      <c r="F164" s="114" t="s">
        <v>12</v>
      </c>
      <c r="G164" s="114">
        <v>75</v>
      </c>
      <c r="H164" s="113">
        <v>43.13</v>
      </c>
      <c r="I164" s="113" t="s">
        <v>8</v>
      </c>
      <c r="J164" s="115" t="str">
        <f t="shared" si="0"/>
        <v>Cliente</v>
      </c>
      <c r="K164" s="113">
        <v>0</v>
      </c>
      <c r="L164" s="115">
        <f>Table1[[#This Row],[Duration]]*12</f>
        <v>0</v>
      </c>
      <c r="M164" s="116" t="s">
        <v>178</v>
      </c>
      <c r="N164" s="117" t="str">
        <f>IF(AND(Table1[[#This Row],[ Type of Contract]]="ESCO",Table1[[#This Row],[Status Detail]]="ACTIVE"),"yes","no")</f>
        <v>no</v>
      </c>
      <c r="O164" s="117" t="s">
        <v>53</v>
      </c>
      <c r="P164" s="117" t="s">
        <v>61</v>
      </c>
      <c r="Q164" s="118"/>
      <c r="R164" s="54" t="s">
        <v>7</v>
      </c>
      <c r="S164" s="54" t="s">
        <v>847</v>
      </c>
      <c r="T164" s="54"/>
      <c r="U164" s="54" t="s">
        <v>848</v>
      </c>
      <c r="V164" s="54" t="s">
        <v>849</v>
      </c>
      <c r="W164" s="119" t="str">
        <f>IF(Table1[[#This Row],[Maintenance]]="yes",IF(OR(Table1[[#This Row],[Start Contract]]="",Table1[[#This Row],[Duration Month2]]=""),"",EDATE(Table1[[#This Row],[Start Contract]],Table1[[#This Row],[Duration Month2]])),"-")</f>
        <v>-</v>
      </c>
      <c r="X164" s="115" t="str">
        <f>IF(OR((W164=""),(W164="-")),"",YEAR(Table1[[#This Row],[End Contract]]))</f>
        <v/>
      </c>
      <c r="Y164" s="54" t="str">
        <f ca="1">IF(Table1[[#This Row],[Maintenance]]="yes",IF(Table1[[#This Row],[End Contract]]="","no",IF(TODAY()&lt;=Table1[[#This Row],[End Contract]],"yes","no")),"no")</f>
        <v>no</v>
      </c>
      <c r="Z164" s="54"/>
      <c r="AA164" s="54"/>
      <c r="AB164" s="54"/>
    </row>
    <row r="165" spans="1:28" x14ac:dyDescent="0.3">
      <c r="A165" s="58">
        <v>160</v>
      </c>
      <c r="B165" s="71" t="s">
        <v>850</v>
      </c>
      <c r="C165" s="200" t="s">
        <v>851</v>
      </c>
      <c r="D165" s="72"/>
      <c r="E165" s="113" t="s">
        <v>852</v>
      </c>
      <c r="F165" s="114" t="s">
        <v>20</v>
      </c>
      <c r="G165" s="114">
        <v>80</v>
      </c>
      <c r="H165" s="113">
        <v>46</v>
      </c>
      <c r="I165" s="113" t="s">
        <v>11</v>
      </c>
      <c r="J165" s="115" t="str">
        <f t="shared" si="0"/>
        <v>Solcorelius</v>
      </c>
      <c r="K165" s="113"/>
      <c r="L165" s="115">
        <f>Table1[[#This Row],[Duration]]*12</f>
        <v>0</v>
      </c>
      <c r="M165" s="116"/>
      <c r="N165" s="46" t="str">
        <f>IF(AND(Table1[[#This Row],[ Type of Contract]]="ESCO",Table1[[#This Row],[Status Detail]]="ACTIVE"),"yes","no")</f>
        <v>no</v>
      </c>
      <c r="O165" s="117"/>
      <c r="P165" s="117"/>
      <c r="Q165" s="118"/>
      <c r="R165" s="54" t="s">
        <v>10</v>
      </c>
      <c r="S165" s="54"/>
      <c r="T165" s="54"/>
      <c r="U165" s="54"/>
      <c r="V165" s="54"/>
      <c r="W165" s="119" t="str">
        <f>IF(Table1[[#This Row],[Maintenance]]="yes",IF(OR(Table1[[#This Row],[Start Contract]]="",Table1[[#This Row],[Duration Month2]]=""),"",EDATE(Table1[[#This Row],[Start Contract]],Table1[[#This Row],[Duration Month2]])),"-")</f>
        <v>-</v>
      </c>
      <c r="X165" s="115" t="str">
        <f>IF(OR((W165=""),(W165="-")),"",YEAR(Table1[[#This Row],[End Contract]]))</f>
        <v/>
      </c>
      <c r="Y165" s="54" t="str">
        <f ca="1">IF(Table1[[#This Row],[Maintenance]]="yes",IF(Table1[[#This Row],[End Contract]]="","no",IF(TODAY()&lt;=Table1[[#This Row],[End Contract]],"yes","no")),"no")</f>
        <v>no</v>
      </c>
      <c r="Z165" s="54"/>
      <c r="AA165" s="54"/>
      <c r="AB165" s="54"/>
    </row>
    <row r="166" spans="1:28" ht="27.6" customHeight="1" x14ac:dyDescent="0.3">
      <c r="A166" s="58">
        <v>161</v>
      </c>
      <c r="B166" s="71" t="s">
        <v>853</v>
      </c>
      <c r="C166" s="72" t="s">
        <v>854</v>
      </c>
      <c r="D166" s="72">
        <v>517233720</v>
      </c>
      <c r="E166" s="113" t="s">
        <v>855</v>
      </c>
      <c r="F166" s="114" t="s">
        <v>215</v>
      </c>
      <c r="G166" s="114">
        <v>112</v>
      </c>
      <c r="H166" s="113">
        <v>64.400000000000006</v>
      </c>
      <c r="I166" s="113" t="s">
        <v>8</v>
      </c>
      <c r="J166" s="115" t="str">
        <f t="shared" si="0"/>
        <v>Cliente</v>
      </c>
      <c r="K166" s="113">
        <v>0</v>
      </c>
      <c r="L166" s="115">
        <f>Table1[[#This Row],[Duration]]*12</f>
        <v>0</v>
      </c>
      <c r="M166" s="116" t="s">
        <v>178</v>
      </c>
      <c r="N166" s="117" t="str">
        <f>IF(AND(Table1[[#This Row],[ Type of Contract]]="ESCO",Table1[[#This Row],[Status Detail]]="ACTIVE"),"yes","no")</f>
        <v>no</v>
      </c>
      <c r="O166" s="117" t="s">
        <v>53</v>
      </c>
      <c r="P166" s="117" t="s">
        <v>61</v>
      </c>
      <c r="Q166" s="118"/>
      <c r="R166" s="54" t="s">
        <v>7</v>
      </c>
      <c r="S166" s="73" t="s">
        <v>856</v>
      </c>
      <c r="T166" s="54"/>
      <c r="U166" s="132" t="s">
        <v>857</v>
      </c>
      <c r="V166" s="73" t="s">
        <v>858</v>
      </c>
      <c r="W166" s="119" t="str">
        <f>IF(Table1[[#This Row],[Maintenance]]="yes",IF(OR(Table1[[#This Row],[Start Contract]]="",Table1[[#This Row],[Duration Month2]]=""),"",EDATE(Table1[[#This Row],[Start Contract]],Table1[[#This Row],[Duration Month2]])),"-")</f>
        <v>-</v>
      </c>
      <c r="X166" s="115" t="str">
        <f>IF(OR((W166=""),(W166="-")),"",YEAR(Table1[[#This Row],[End Contract]]))</f>
        <v/>
      </c>
      <c r="Y166" s="54" t="str">
        <f ca="1">IF(Table1[[#This Row],[Maintenance]]="yes",IF(Table1[[#This Row],[End Contract]]="","no",IF(TODAY()&lt;=Table1[[#This Row],[End Contract]],"yes","no")),"no")</f>
        <v>no</v>
      </c>
      <c r="Z166" s="54"/>
      <c r="AA166" s="54"/>
      <c r="AB166" s="54"/>
    </row>
    <row r="167" spans="1:28" x14ac:dyDescent="0.3">
      <c r="A167" s="63">
        <v>162</v>
      </c>
      <c r="B167" s="71" t="s">
        <v>859</v>
      </c>
      <c r="C167" s="72"/>
      <c r="D167" s="72"/>
      <c r="E167" s="113" t="s">
        <v>860</v>
      </c>
      <c r="F167" s="114" t="s">
        <v>9</v>
      </c>
      <c r="G167" s="114">
        <v>48</v>
      </c>
      <c r="H167" s="113">
        <v>27.6</v>
      </c>
      <c r="I167" s="113" t="s">
        <v>8</v>
      </c>
      <c r="J167" s="115" t="str">
        <f t="shared" si="0"/>
        <v>Cliente</v>
      </c>
      <c r="K167" s="113">
        <v>0</v>
      </c>
      <c r="L167" s="115">
        <f>Table1[[#This Row],[Duration]]*12</f>
        <v>0</v>
      </c>
      <c r="M167" s="116" t="s">
        <v>178</v>
      </c>
      <c r="N167" s="117" t="str">
        <f>IF(AND(Table1[[#This Row],[ Type of Contract]]="ESCO",Table1[[#This Row],[Status Detail]]="ACTIVE"),"yes","no")</f>
        <v>no</v>
      </c>
      <c r="O167" s="117" t="s">
        <v>431</v>
      </c>
      <c r="P167" s="117" t="s">
        <v>432</v>
      </c>
      <c r="Q167" s="118"/>
      <c r="R167" s="54" t="s">
        <v>7</v>
      </c>
      <c r="S167" s="54" t="s">
        <v>861</v>
      </c>
      <c r="T167" s="54"/>
      <c r="U167" s="47" t="s">
        <v>862</v>
      </c>
      <c r="V167" s="54">
        <v>924765427</v>
      </c>
      <c r="W167" s="119" t="str">
        <f>IF(Table1[[#This Row],[Maintenance]]="yes",IF(OR(Table1[[#This Row],[Start Contract]]="",Table1[[#This Row],[Duration Month2]]=""),"",EDATE(Table1[[#This Row],[Start Contract]],Table1[[#This Row],[Duration Month2]])),"-")</f>
        <v>-</v>
      </c>
      <c r="X167" s="115" t="str">
        <f>IF(OR((W167=""),(W167="-")),"",YEAR(Table1[[#This Row],[End Contract]]))</f>
        <v/>
      </c>
      <c r="Y167" s="54" t="str">
        <f ca="1">IF(Table1[[#This Row],[Maintenance]]="yes",IF(Table1[[#This Row],[End Contract]]="","no",IF(TODAY()&lt;=Table1[[#This Row],[End Contract]],"yes","no")),"no")</f>
        <v>no</v>
      </c>
      <c r="Z167" s="54"/>
      <c r="AA167" s="54"/>
      <c r="AB167" s="54"/>
    </row>
    <row r="168" spans="1:28" x14ac:dyDescent="0.3">
      <c r="A168" s="58">
        <v>163</v>
      </c>
      <c r="B168" s="71" t="s">
        <v>863</v>
      </c>
      <c r="C168" s="72" t="s">
        <v>864</v>
      </c>
      <c r="D168" s="72">
        <v>502657359</v>
      </c>
      <c r="E168" s="113" t="s">
        <v>865</v>
      </c>
      <c r="F168" s="114" t="s">
        <v>12</v>
      </c>
      <c r="G168" s="114">
        <v>64</v>
      </c>
      <c r="H168" s="113">
        <v>38.4</v>
      </c>
      <c r="I168" s="113" t="s">
        <v>8</v>
      </c>
      <c r="J168" s="115" t="str">
        <f t="shared" si="0"/>
        <v>Cliente</v>
      </c>
      <c r="K168" s="113">
        <v>0</v>
      </c>
      <c r="L168" s="115">
        <f>Table1[[#This Row],[Duration]]*12</f>
        <v>0</v>
      </c>
      <c r="M168" s="116" t="s">
        <v>178</v>
      </c>
      <c r="N168" s="117" t="str">
        <f>IF(AND(Table1[[#This Row],[ Type of Contract]]="ESCO",Table1[[#This Row],[Status Detail]]="ACTIVE"),"yes","no")</f>
        <v>no</v>
      </c>
      <c r="O168" s="117" t="s">
        <v>207</v>
      </c>
      <c r="P168" s="117" t="s">
        <v>61</v>
      </c>
      <c r="Q168" s="118"/>
      <c r="R168" s="54" t="s">
        <v>7</v>
      </c>
      <c r="S168" s="54" t="s">
        <v>866</v>
      </c>
      <c r="T168" s="54"/>
      <c r="U168" s="54" t="s">
        <v>867</v>
      </c>
      <c r="V168" s="54" t="s">
        <v>868</v>
      </c>
      <c r="W168" s="119" t="str">
        <f>IF(Table1[[#This Row],[Maintenance]]="yes",IF(OR(Table1[[#This Row],[Start Contract]]="",Table1[[#This Row],[Duration Month2]]=""),"",EDATE(Table1[[#This Row],[Start Contract]],Table1[[#This Row],[Duration Month2]])),"-")</f>
        <v>-</v>
      </c>
      <c r="X168" s="115" t="str">
        <f>IF(OR((W168=""),(W168="-")),"",YEAR(Table1[[#This Row],[End Contract]]))</f>
        <v/>
      </c>
      <c r="Y168" s="54" t="str">
        <f ca="1">IF(Table1[[#This Row],[Maintenance]]="yes",IF(Table1[[#This Row],[End Contract]]="","no",IF(TODAY()&lt;=Table1[[#This Row],[End Contract]],"yes","no")),"no")</f>
        <v>no</v>
      </c>
      <c r="Z168" s="54"/>
      <c r="AA168" s="54"/>
      <c r="AB168" s="54"/>
    </row>
    <row r="169" spans="1:28" x14ac:dyDescent="0.3">
      <c r="A169" s="58">
        <v>164</v>
      </c>
      <c r="B169" s="71" t="s">
        <v>869</v>
      </c>
      <c r="C169" s="72" t="s">
        <v>870</v>
      </c>
      <c r="D169" s="72">
        <v>502660090</v>
      </c>
      <c r="E169" s="113" t="s">
        <v>871</v>
      </c>
      <c r="F169" s="114" t="s">
        <v>12</v>
      </c>
      <c r="G169" s="114">
        <v>64</v>
      </c>
      <c r="H169" s="113">
        <v>38.4</v>
      </c>
      <c r="I169" s="113" t="s">
        <v>8</v>
      </c>
      <c r="J169" s="115" t="str">
        <f t="shared" si="0"/>
        <v>Cliente</v>
      </c>
      <c r="K169" s="113">
        <v>0</v>
      </c>
      <c r="L169" s="115">
        <f>Table1[[#This Row],[Duration]]*12</f>
        <v>0</v>
      </c>
      <c r="M169" s="116" t="s">
        <v>178</v>
      </c>
      <c r="N169" s="117" t="str">
        <f>IF(AND(Table1[[#This Row],[ Type of Contract]]="ESCO",Table1[[#This Row],[Status Detail]]="ACTIVE"),"yes","no")</f>
        <v>no</v>
      </c>
      <c r="O169" s="117" t="s">
        <v>207</v>
      </c>
      <c r="P169" s="117" t="s">
        <v>61</v>
      </c>
      <c r="Q169" s="118"/>
      <c r="R169" s="54" t="s">
        <v>7</v>
      </c>
      <c r="S169" s="54" t="s">
        <v>866</v>
      </c>
      <c r="T169" s="54"/>
      <c r="U169" s="54" t="s">
        <v>867</v>
      </c>
      <c r="V169" s="54" t="s">
        <v>872</v>
      </c>
      <c r="W169" s="119" t="str">
        <f>IF(Table1[[#This Row],[Maintenance]]="yes",IF(OR(Table1[[#This Row],[Start Contract]]="",Table1[[#This Row],[Duration Month2]]=""),"",EDATE(Table1[[#This Row],[Start Contract]],Table1[[#This Row],[Duration Month2]])),"-")</f>
        <v>-</v>
      </c>
      <c r="X169" s="115" t="str">
        <f>IF(OR((W169=""),(W169="-")),"",YEAR(Table1[[#This Row],[End Contract]]))</f>
        <v/>
      </c>
      <c r="Y169" s="54" t="str">
        <f ca="1">IF(Table1[[#This Row],[Maintenance]]="yes",IF(Table1[[#This Row],[End Contract]]="","no",IF(TODAY()&lt;=Table1[[#This Row],[End Contract]],"yes","no")),"no")</f>
        <v>no</v>
      </c>
      <c r="Z169" s="54"/>
      <c r="AA169" s="54"/>
      <c r="AB169" s="54"/>
    </row>
    <row r="170" spans="1:28" x14ac:dyDescent="0.3">
      <c r="A170" s="63">
        <v>165</v>
      </c>
      <c r="B170" s="71" t="s">
        <v>873</v>
      </c>
      <c r="C170" s="72" t="s">
        <v>874</v>
      </c>
      <c r="D170" s="72">
        <v>502660074</v>
      </c>
      <c r="E170" s="113" t="s">
        <v>875</v>
      </c>
      <c r="F170" s="114" t="s">
        <v>12</v>
      </c>
      <c r="G170" s="114">
        <v>64</v>
      </c>
      <c r="H170" s="113">
        <v>38.4</v>
      </c>
      <c r="I170" s="113" t="s">
        <v>8</v>
      </c>
      <c r="J170" s="115" t="str">
        <f t="shared" si="0"/>
        <v>Cliente</v>
      </c>
      <c r="K170" s="113">
        <v>0</v>
      </c>
      <c r="L170" s="115">
        <f>Table1[[#This Row],[Duration]]*12</f>
        <v>0</v>
      </c>
      <c r="M170" s="116" t="s">
        <v>178</v>
      </c>
      <c r="N170" s="117" t="str">
        <f>IF(AND(Table1[[#This Row],[ Type of Contract]]="ESCO",Table1[[#This Row],[Status Detail]]="ACTIVE"),"yes","no")</f>
        <v>no</v>
      </c>
      <c r="O170" s="117" t="s">
        <v>207</v>
      </c>
      <c r="P170" s="117" t="s">
        <v>61</v>
      </c>
      <c r="Q170" s="118"/>
      <c r="R170" s="54" t="s">
        <v>7</v>
      </c>
      <c r="S170" s="54" t="s">
        <v>866</v>
      </c>
      <c r="T170" s="54"/>
      <c r="U170" s="54" t="s">
        <v>867</v>
      </c>
      <c r="V170" s="54" t="s">
        <v>876</v>
      </c>
      <c r="W170" s="119" t="str">
        <f>IF(Table1[[#This Row],[Maintenance]]="yes",IF(OR(Table1[[#This Row],[Start Contract]]="",Table1[[#This Row],[Duration Month2]]=""),"",EDATE(Table1[[#This Row],[Start Contract]],Table1[[#This Row],[Duration Month2]])),"-")</f>
        <v>-</v>
      </c>
      <c r="X170" s="115" t="str">
        <f>IF(OR((W170=""),(W170="-")),"",YEAR(Table1[[#This Row],[End Contract]]))</f>
        <v/>
      </c>
      <c r="Y170" s="54" t="str">
        <f ca="1">IF(Table1[[#This Row],[Maintenance]]="yes",IF(Table1[[#This Row],[End Contract]]="","no",IF(TODAY()&lt;=Table1[[#This Row],[End Contract]],"yes","no")),"no")</f>
        <v>no</v>
      </c>
      <c r="Z170" s="54"/>
      <c r="AA170" s="54"/>
      <c r="AB170" s="54"/>
    </row>
    <row r="171" spans="1:28" x14ac:dyDescent="0.3">
      <c r="A171" s="58">
        <v>166</v>
      </c>
      <c r="B171" s="71" t="s">
        <v>877</v>
      </c>
      <c r="C171" s="72" t="s">
        <v>878</v>
      </c>
      <c r="D171" s="72">
        <v>504971824</v>
      </c>
      <c r="E171" s="113" t="s">
        <v>879</v>
      </c>
      <c r="F171" s="114" t="s">
        <v>16</v>
      </c>
      <c r="G171" s="114">
        <v>34</v>
      </c>
      <c r="H171" s="113">
        <v>19.55</v>
      </c>
      <c r="I171" s="113" t="s">
        <v>8</v>
      </c>
      <c r="J171" s="115" t="str">
        <f t="shared" si="0"/>
        <v>Cliente</v>
      </c>
      <c r="K171" s="113">
        <v>0</v>
      </c>
      <c r="L171" s="115">
        <f>Table1[[#This Row],[Duration]]*12</f>
        <v>0</v>
      </c>
      <c r="M171" s="116" t="s">
        <v>178</v>
      </c>
      <c r="N171" s="117" t="str">
        <f>IF(AND(Table1[[#This Row],[ Type of Contract]]="ESCO",Table1[[#This Row],[Status Detail]]="ACTIVE"),"yes","no")</f>
        <v>no</v>
      </c>
      <c r="O171" s="117" t="s">
        <v>431</v>
      </c>
      <c r="P171" s="117" t="s">
        <v>432</v>
      </c>
      <c r="Q171" s="118"/>
      <c r="R171" s="54" t="s">
        <v>7</v>
      </c>
      <c r="S171" s="54" t="s">
        <v>880</v>
      </c>
      <c r="T171" s="54"/>
      <c r="U171" s="54" t="s">
        <v>881</v>
      </c>
      <c r="V171" s="54">
        <v>968010191</v>
      </c>
      <c r="W171" s="119" t="str">
        <f>IF(Table1[[#This Row],[Maintenance]]="yes",IF(OR(Table1[[#This Row],[Start Contract]]="",Table1[[#This Row],[Duration Month2]]=""),"",EDATE(Table1[[#This Row],[Start Contract]],Table1[[#This Row],[Duration Month2]])),"-")</f>
        <v>-</v>
      </c>
      <c r="X171" s="115" t="str">
        <f>IF(OR((W171=""),(W171="-")),"",YEAR(Table1[[#This Row],[End Contract]]))</f>
        <v/>
      </c>
      <c r="Y171" s="54" t="str">
        <f ca="1">IF(Table1[[#This Row],[Maintenance]]="yes",IF(Table1[[#This Row],[End Contract]]="","no",IF(TODAY()&lt;=Table1[[#This Row],[End Contract]],"yes","no")),"no")</f>
        <v>no</v>
      </c>
      <c r="Z171" s="54"/>
      <c r="AA171" s="54"/>
      <c r="AB171" s="54"/>
    </row>
    <row r="172" spans="1:28" x14ac:dyDescent="0.3">
      <c r="A172" s="58">
        <v>167</v>
      </c>
      <c r="B172" s="71" t="s">
        <v>882</v>
      </c>
      <c r="C172" s="72" t="s">
        <v>883</v>
      </c>
      <c r="D172" s="72">
        <v>505401169</v>
      </c>
      <c r="E172" s="113" t="s">
        <v>884</v>
      </c>
      <c r="F172" s="114" t="s">
        <v>9</v>
      </c>
      <c r="G172" s="114">
        <v>214</v>
      </c>
      <c r="H172" s="113">
        <v>123.1</v>
      </c>
      <c r="I172" s="113" t="s">
        <v>8</v>
      </c>
      <c r="J172" s="115" t="str">
        <f t="shared" si="0"/>
        <v>Cliente</v>
      </c>
      <c r="K172" s="113">
        <v>0</v>
      </c>
      <c r="L172" s="115">
        <f>Table1[[#This Row],[Duration]]*12</f>
        <v>0</v>
      </c>
      <c r="M172" s="116" t="s">
        <v>178</v>
      </c>
      <c r="N172" s="117" t="str">
        <f>IF(AND(Table1[[#This Row],[ Type of Contract]]="ESCO",Table1[[#This Row],[Status Detail]]="ACTIVE"),"yes","no")</f>
        <v>no</v>
      </c>
      <c r="O172" s="117" t="s">
        <v>53</v>
      </c>
      <c r="P172" s="117" t="s">
        <v>432</v>
      </c>
      <c r="Q172" s="118"/>
      <c r="R172" s="54" t="s">
        <v>7</v>
      </c>
      <c r="S172" s="54" t="s">
        <v>885</v>
      </c>
      <c r="T172" s="54"/>
      <c r="U172" s="54" t="s">
        <v>886</v>
      </c>
      <c r="V172" s="54" t="s">
        <v>887</v>
      </c>
      <c r="W172" s="119" t="str">
        <f>IF(Table1[[#This Row],[Maintenance]]="yes",IF(OR(Table1[[#This Row],[Start Contract]]="",Table1[[#This Row],[Duration Month2]]=""),"",EDATE(Table1[[#This Row],[Start Contract]],Table1[[#This Row],[Duration Month2]])),"-")</f>
        <v>-</v>
      </c>
      <c r="X172" s="115" t="str">
        <f>IF(OR((W172=""),(W172="-")),"",YEAR(Table1[[#This Row],[End Contract]]))</f>
        <v/>
      </c>
      <c r="Y172" s="54" t="str">
        <f ca="1">IF(Table1[[#This Row],[Maintenance]]="yes",IF(Table1[[#This Row],[End Contract]]="","no",IF(TODAY()&lt;=Table1[[#This Row],[End Contract]],"yes","no")),"no")</f>
        <v>no</v>
      </c>
      <c r="Z172" s="54"/>
      <c r="AA172" s="54"/>
      <c r="AB172" s="54"/>
    </row>
    <row r="173" spans="1:28" x14ac:dyDescent="0.3">
      <c r="A173" s="63">
        <v>168</v>
      </c>
      <c r="B173" s="71" t="s">
        <v>888</v>
      </c>
      <c r="C173" s="72" t="s">
        <v>888</v>
      </c>
      <c r="D173" s="72">
        <v>500874964</v>
      </c>
      <c r="E173" s="113" t="s">
        <v>889</v>
      </c>
      <c r="F173" s="114" t="s">
        <v>164</v>
      </c>
      <c r="G173" s="114">
        <v>108</v>
      </c>
      <c r="H173" s="113">
        <v>62.1</v>
      </c>
      <c r="I173" s="113" t="s">
        <v>8</v>
      </c>
      <c r="J173" s="115" t="str">
        <f t="shared" si="0"/>
        <v>Cliente</v>
      </c>
      <c r="K173" s="113">
        <v>0</v>
      </c>
      <c r="L173" s="115">
        <f>Table1[[#This Row],[Duration]]*12</f>
        <v>0</v>
      </c>
      <c r="M173" s="116" t="s">
        <v>178</v>
      </c>
      <c r="N173" s="117" t="str">
        <f>IF(AND(Table1[[#This Row],[ Type of Contract]]="ESCO",Table1[[#This Row],[Status Detail]]="ACTIVE"),"yes","no")</f>
        <v>no</v>
      </c>
      <c r="O173" s="117" t="s">
        <v>431</v>
      </c>
      <c r="P173" s="117" t="s">
        <v>432</v>
      </c>
      <c r="Q173" s="118"/>
      <c r="R173" s="54" t="s">
        <v>7</v>
      </c>
      <c r="S173" s="54"/>
      <c r="T173" s="54"/>
      <c r="U173" s="54" t="s">
        <v>890</v>
      </c>
      <c r="V173" s="54">
        <v>239502013</v>
      </c>
      <c r="W173" s="119" t="str">
        <f>IF(Table1[[#This Row],[Maintenance]]="yes",IF(OR(Table1[[#This Row],[Start Contract]]="",Table1[[#This Row],[Duration Month2]]=""),"",EDATE(Table1[[#This Row],[Start Contract]],Table1[[#This Row],[Duration Month2]])),"-")</f>
        <v>-</v>
      </c>
      <c r="X173" s="115" t="str">
        <f>IF(OR((W173=""),(W173="-")),"",YEAR(Table1[[#This Row],[End Contract]]))</f>
        <v/>
      </c>
      <c r="Y173" s="54" t="str">
        <f ca="1">IF(Table1[[#This Row],[Maintenance]]="yes",IF(Table1[[#This Row],[End Contract]]="","no",IF(TODAY()&lt;=Table1[[#This Row],[End Contract]],"yes","no")),"no")</f>
        <v>no</v>
      </c>
      <c r="Z173" s="54"/>
      <c r="AA173" s="54"/>
      <c r="AB173" s="54"/>
    </row>
    <row r="174" spans="1:28" x14ac:dyDescent="0.3">
      <c r="A174" s="58">
        <v>169</v>
      </c>
      <c r="B174" s="71" t="s">
        <v>891</v>
      </c>
      <c r="C174" s="72" t="s">
        <v>892</v>
      </c>
      <c r="D174" s="72">
        <v>501132880</v>
      </c>
      <c r="E174" s="113" t="s">
        <v>893</v>
      </c>
      <c r="F174" s="114" t="s">
        <v>21</v>
      </c>
      <c r="G174" s="114">
        <v>104</v>
      </c>
      <c r="H174" s="113">
        <v>59.8</v>
      </c>
      <c r="I174" s="113" t="s">
        <v>8</v>
      </c>
      <c r="J174" s="115" t="str">
        <f t="shared" si="0"/>
        <v>Cliente</v>
      </c>
      <c r="K174" s="113">
        <v>0</v>
      </c>
      <c r="L174" s="115">
        <f>Table1[[#This Row],[Duration]]*12</f>
        <v>0</v>
      </c>
      <c r="M174" s="116" t="s">
        <v>178</v>
      </c>
      <c r="N174" s="117" t="str">
        <f>IF(AND(Table1[[#This Row],[ Type of Contract]]="ESCO",Table1[[#This Row],[Status Detail]]="ACTIVE"),"yes","no")</f>
        <v>no</v>
      </c>
      <c r="O174" s="117" t="s">
        <v>94</v>
      </c>
      <c r="P174" s="117" t="s">
        <v>61</v>
      </c>
      <c r="Q174" s="118"/>
      <c r="R174" s="54" t="s">
        <v>7</v>
      </c>
      <c r="S174" s="54" t="s">
        <v>894</v>
      </c>
      <c r="T174" s="54"/>
      <c r="U174" s="132" t="s">
        <v>895</v>
      </c>
      <c r="V174" s="54">
        <v>962650050</v>
      </c>
      <c r="W174" s="119" t="str">
        <f>IF(Table1[[#This Row],[Maintenance]]="yes",IF(OR(Table1[[#This Row],[Start Contract]]="",Table1[[#This Row],[Duration Month2]]=""),"",EDATE(Table1[[#This Row],[Start Contract]],Table1[[#This Row],[Duration Month2]])),"-")</f>
        <v>-</v>
      </c>
      <c r="X174" s="115" t="str">
        <f>IF(OR((W174=""),(W174="-")),"",YEAR(Table1[[#This Row],[End Contract]]))</f>
        <v/>
      </c>
      <c r="Y174" s="54" t="str">
        <f ca="1">IF(Table1[[#This Row],[Maintenance]]="yes",IF(Table1[[#This Row],[End Contract]]="","no",IF(TODAY()&lt;=Table1[[#This Row],[End Contract]],"yes","no")),"no")</f>
        <v>no</v>
      </c>
      <c r="Z174" s="54"/>
      <c r="AA174" s="54"/>
      <c r="AB174" s="54"/>
    </row>
    <row r="175" spans="1:28" x14ac:dyDescent="0.3">
      <c r="A175" s="58">
        <v>170</v>
      </c>
      <c r="B175" s="71" t="s">
        <v>896</v>
      </c>
      <c r="C175" s="72"/>
      <c r="D175" s="72"/>
      <c r="E175" s="113" t="s">
        <v>897</v>
      </c>
      <c r="F175" s="114" t="s">
        <v>21</v>
      </c>
      <c r="G175" s="114">
        <v>15</v>
      </c>
      <c r="H175" s="113">
        <v>8.18</v>
      </c>
      <c r="I175" s="113" t="s">
        <v>8</v>
      </c>
      <c r="J175" s="115" t="str">
        <f t="shared" si="0"/>
        <v>Cliente</v>
      </c>
      <c r="K175" s="113">
        <v>0</v>
      </c>
      <c r="L175" s="115">
        <f>Table1[[#This Row],[Duration]]*12</f>
        <v>0</v>
      </c>
      <c r="M175" s="116" t="s">
        <v>178</v>
      </c>
      <c r="N175" s="117" t="str">
        <f>IF(AND(Table1[[#This Row],[ Type of Contract]]="ESCO",Table1[[#This Row],[Status Detail]]="ACTIVE"),"yes","no")</f>
        <v>no</v>
      </c>
      <c r="O175" s="117" t="s">
        <v>94</v>
      </c>
      <c r="P175" s="117" t="s">
        <v>61</v>
      </c>
      <c r="Q175" s="118"/>
      <c r="R175" s="54" t="s">
        <v>7</v>
      </c>
      <c r="S175" s="54" t="s">
        <v>894</v>
      </c>
      <c r="T175" s="54"/>
      <c r="U175" s="132" t="s">
        <v>895</v>
      </c>
      <c r="V175" s="54">
        <v>962650050</v>
      </c>
      <c r="W175" s="119" t="str">
        <f>IF(Table1[[#This Row],[Maintenance]]="yes",IF(OR(Table1[[#This Row],[Start Contract]]="",Table1[[#This Row],[Duration Month2]]=""),"",EDATE(Table1[[#This Row],[Start Contract]],Table1[[#This Row],[Duration Month2]])),"-")</f>
        <v>-</v>
      </c>
      <c r="X175" s="115" t="str">
        <f>IF(OR((W175=""),(W175="-")),"",YEAR(Table1[[#This Row],[End Contract]]))</f>
        <v/>
      </c>
      <c r="Y175" s="54" t="str">
        <f ca="1">IF(Table1[[#This Row],[Maintenance]]="yes",IF(Table1[[#This Row],[End Contract]]="","no",IF(TODAY()&lt;=Table1[[#This Row],[End Contract]],"yes","no")),"no")</f>
        <v>no</v>
      </c>
      <c r="Z175" s="54"/>
      <c r="AA175" s="54"/>
      <c r="AB175" s="54"/>
    </row>
    <row r="176" spans="1:28" x14ac:dyDescent="0.3">
      <c r="A176" s="58">
        <v>171</v>
      </c>
      <c r="B176" s="71" t="s">
        <v>898</v>
      </c>
      <c r="C176" s="72" t="s">
        <v>899</v>
      </c>
      <c r="D176" s="72">
        <v>500191689</v>
      </c>
      <c r="E176" s="113" t="s">
        <v>900</v>
      </c>
      <c r="F176" s="114" t="s">
        <v>9</v>
      </c>
      <c r="G176" s="114">
        <v>42</v>
      </c>
      <c r="H176" s="113">
        <v>24.15</v>
      </c>
      <c r="I176" s="113" t="s">
        <v>8</v>
      </c>
      <c r="J176" s="115" t="str">
        <f t="shared" si="0"/>
        <v>Cliente</v>
      </c>
      <c r="K176" s="113">
        <v>0</v>
      </c>
      <c r="L176" s="115">
        <f>Table1[[#This Row],[Duration]]*12</f>
        <v>0</v>
      </c>
      <c r="M176" s="120" t="s">
        <v>901</v>
      </c>
      <c r="N176" s="117" t="str">
        <f>IF(AND(Table1[[#This Row],[ Type of Contract]]="ESCO",Table1[[#This Row],[Status Detail]]="ACTIVE"),"yes","no")</f>
        <v>no</v>
      </c>
      <c r="O176" s="117" t="s">
        <v>596</v>
      </c>
      <c r="P176" s="117" t="s">
        <v>61</v>
      </c>
      <c r="Q176" s="118"/>
      <c r="R176" s="54" t="s">
        <v>7</v>
      </c>
      <c r="S176" s="54" t="s">
        <v>902</v>
      </c>
      <c r="T176" s="54"/>
      <c r="U176" s="132" t="s">
        <v>903</v>
      </c>
      <c r="V176" s="54" t="s">
        <v>904</v>
      </c>
      <c r="W176" s="119" t="str">
        <f>IF(Table1[[#This Row],[Maintenance]]="yes",IF(OR(Table1[[#This Row],[Start Contract]]="",Table1[[#This Row],[Duration Month2]]=""),"",EDATE(Table1[[#This Row],[Start Contract]],Table1[[#This Row],[Duration Month2]])),"-")</f>
        <v>-</v>
      </c>
      <c r="X176" s="115" t="str">
        <f>IF(OR((W176=""),(W176="-")),"",YEAR(Table1[[#This Row],[End Contract]]))</f>
        <v/>
      </c>
      <c r="Y176" s="54" t="str">
        <f ca="1">IF(Table1[[#This Row],[Maintenance]]="yes",IF(Table1[[#This Row],[End Contract]]="","no",IF(TODAY()&lt;=Table1[[#This Row],[End Contract]],"yes","no")),"no")</f>
        <v>no</v>
      </c>
      <c r="Z176" s="54"/>
      <c r="AA176" s="54"/>
      <c r="AB176" s="54"/>
    </row>
    <row r="177" spans="1:28" x14ac:dyDescent="0.3">
      <c r="A177" s="63">
        <v>172</v>
      </c>
      <c r="B177" s="71" t="s">
        <v>905</v>
      </c>
      <c r="C177" s="72" t="s">
        <v>906</v>
      </c>
      <c r="D177" s="72">
        <v>501449906</v>
      </c>
      <c r="E177" s="113" t="s">
        <v>907</v>
      </c>
      <c r="F177" s="114" t="s">
        <v>338</v>
      </c>
      <c r="G177" s="114">
        <v>56</v>
      </c>
      <c r="H177" s="113">
        <v>32.200000000000003</v>
      </c>
      <c r="I177" s="113" t="s">
        <v>8</v>
      </c>
      <c r="J177" s="115" t="str">
        <f t="shared" si="0"/>
        <v>Cliente</v>
      </c>
      <c r="K177" s="113">
        <v>0</v>
      </c>
      <c r="L177" s="115">
        <f>Table1[[#This Row],[Duration]]*12</f>
        <v>0</v>
      </c>
      <c r="M177" s="116" t="s">
        <v>178</v>
      </c>
      <c r="N177" s="117" t="str">
        <f>IF(AND(Table1[[#This Row],[ Type of Contract]]="ESCO",Table1[[#This Row],[Status Detail]]="ACTIVE"),"yes","no")</f>
        <v>no</v>
      </c>
      <c r="O177" s="117" t="s">
        <v>431</v>
      </c>
      <c r="P177" s="117" t="s">
        <v>61</v>
      </c>
      <c r="Q177" s="118"/>
      <c r="R177" s="54" t="s">
        <v>7</v>
      </c>
      <c r="S177" s="54"/>
      <c r="T177" s="54"/>
      <c r="U177" s="132" t="s">
        <v>908</v>
      </c>
      <c r="V177" s="54">
        <v>253531188</v>
      </c>
      <c r="W177" s="119" t="str">
        <f>IF(Table1[[#This Row],[Maintenance]]="yes",IF(OR(Table1[[#This Row],[Start Contract]]="",Table1[[#This Row],[Duration Month2]]=""),"",EDATE(Table1[[#This Row],[Start Contract]],Table1[[#This Row],[Duration Month2]])),"-")</f>
        <v>-</v>
      </c>
      <c r="X177" s="115" t="str">
        <f>IF(OR((W177=""),(W177="-")),"",YEAR(Table1[[#This Row],[End Contract]]))</f>
        <v/>
      </c>
      <c r="Y177" s="54" t="str">
        <f ca="1">IF(Table1[[#This Row],[Maintenance]]="yes",IF(Table1[[#This Row],[End Contract]]="","no",IF(TODAY()&lt;=Table1[[#This Row],[End Contract]],"yes","no")),"no")</f>
        <v>no</v>
      </c>
      <c r="Z177" s="54"/>
      <c r="AA177" s="54"/>
      <c r="AB177" s="54"/>
    </row>
    <row r="178" spans="1:28" x14ac:dyDescent="0.3">
      <c r="A178" s="58">
        <v>173</v>
      </c>
      <c r="B178" s="71" t="s">
        <v>909</v>
      </c>
      <c r="C178" s="72" t="s">
        <v>910</v>
      </c>
      <c r="D178" s="72">
        <v>501266127</v>
      </c>
      <c r="E178" s="113" t="s">
        <v>911</v>
      </c>
      <c r="F178" s="114" t="s">
        <v>17</v>
      </c>
      <c r="G178" s="114">
        <v>22</v>
      </c>
      <c r="H178" s="113">
        <v>12.1</v>
      </c>
      <c r="I178" s="113" t="s">
        <v>8</v>
      </c>
      <c r="J178" s="115" t="str">
        <f t="shared" si="0"/>
        <v>Cliente</v>
      </c>
      <c r="K178" s="113">
        <v>0</v>
      </c>
      <c r="L178" s="115">
        <f>Table1[[#This Row],[Duration]]*12</f>
        <v>0</v>
      </c>
      <c r="M178" s="116" t="s">
        <v>178</v>
      </c>
      <c r="N178" s="117" t="str">
        <f>IF(AND(Table1[[#This Row],[ Type of Contract]]="ESCO",Table1[[#This Row],[Status Detail]]="ACTIVE"),"yes","no")</f>
        <v>no</v>
      </c>
      <c r="O178" s="117" t="s">
        <v>53</v>
      </c>
      <c r="P178" s="117"/>
      <c r="Q178" s="118"/>
      <c r="R178" s="54" t="s">
        <v>7</v>
      </c>
      <c r="S178" s="54" t="s">
        <v>912</v>
      </c>
      <c r="T178" s="54"/>
      <c r="U178" s="54"/>
      <c r="V178" s="54">
        <v>918624670</v>
      </c>
      <c r="W178" s="119" t="str">
        <f>IF(Table1[[#This Row],[Maintenance]]="yes",IF(OR(Table1[[#This Row],[Start Contract]]="",Table1[[#This Row],[Duration Month2]]=""),"",EDATE(Table1[[#This Row],[Start Contract]],Table1[[#This Row],[Duration Month2]])),"-")</f>
        <v>-</v>
      </c>
      <c r="X178" s="115" t="str">
        <f>IF(OR((W178=""),(W178="-")),"",YEAR(Table1[[#This Row],[End Contract]]))</f>
        <v/>
      </c>
      <c r="Y178" s="54" t="str">
        <f ca="1">IF(Table1[[#This Row],[Maintenance]]="yes",IF(Table1[[#This Row],[End Contract]]="","no",IF(TODAY()&lt;=Table1[[#This Row],[End Contract]],"yes","no")),"no")</f>
        <v>no</v>
      </c>
      <c r="Z178" s="54"/>
      <c r="AA178" s="54"/>
      <c r="AB178" s="54"/>
    </row>
    <row r="179" spans="1:28" x14ac:dyDescent="0.3">
      <c r="A179" s="58">
        <v>174</v>
      </c>
      <c r="B179" s="71" t="s">
        <v>913</v>
      </c>
      <c r="C179" s="72" t="s">
        <v>910</v>
      </c>
      <c r="D179" s="72">
        <v>222276975</v>
      </c>
      <c r="E179" s="113" t="s">
        <v>914</v>
      </c>
      <c r="F179" s="114" t="s">
        <v>17</v>
      </c>
      <c r="G179" s="114">
        <v>12</v>
      </c>
      <c r="H179" s="113">
        <v>6.6</v>
      </c>
      <c r="I179" s="113" t="s">
        <v>8</v>
      </c>
      <c r="J179" s="115" t="str">
        <f t="shared" si="0"/>
        <v>Cliente</v>
      </c>
      <c r="K179" s="113">
        <v>0</v>
      </c>
      <c r="L179" s="115">
        <f>Table1[[#This Row],[Duration]]*12</f>
        <v>0</v>
      </c>
      <c r="M179" s="116" t="s">
        <v>178</v>
      </c>
      <c r="N179" s="117" t="str">
        <f>IF(AND(Table1[[#This Row],[ Type of Contract]]="ESCO",Table1[[#This Row],[Status Detail]]="ACTIVE"),"yes","no")</f>
        <v>no</v>
      </c>
      <c r="O179" s="117" t="s">
        <v>431</v>
      </c>
      <c r="P179" s="117"/>
      <c r="Q179" s="118"/>
      <c r="R179" s="54" t="s">
        <v>7</v>
      </c>
      <c r="S179" s="54" t="s">
        <v>915</v>
      </c>
      <c r="T179" s="54"/>
      <c r="U179" s="54"/>
      <c r="V179" s="54">
        <v>914398983</v>
      </c>
      <c r="W179" s="119" t="str">
        <f>IF(Table1[[#This Row],[Maintenance]]="yes",IF(OR(Table1[[#This Row],[Start Contract]]="",Table1[[#This Row],[Duration Month2]]=""),"",EDATE(Table1[[#This Row],[Start Contract]],Table1[[#This Row],[Duration Month2]])),"-")</f>
        <v>-</v>
      </c>
      <c r="X179" s="115" t="str">
        <f>IF(OR((W179=""),(W179="-")),"",YEAR(Table1[[#This Row],[End Contract]]))</f>
        <v/>
      </c>
      <c r="Y179" s="54" t="str">
        <f ca="1">IF(Table1[[#This Row],[Maintenance]]="yes",IF(Table1[[#This Row],[End Contract]]="","no",IF(TODAY()&lt;=Table1[[#This Row],[End Contract]],"yes","no")),"no")</f>
        <v>no</v>
      </c>
      <c r="Z179" s="54"/>
      <c r="AA179" s="54"/>
      <c r="AB179" s="54"/>
    </row>
    <row r="180" spans="1:28" x14ac:dyDescent="0.3">
      <c r="A180" s="63">
        <v>175</v>
      </c>
      <c r="B180" s="71" t="s">
        <v>916</v>
      </c>
      <c r="C180" s="72" t="s">
        <v>910</v>
      </c>
      <c r="D180" s="72">
        <v>501266127</v>
      </c>
      <c r="E180" s="113" t="s">
        <v>911</v>
      </c>
      <c r="F180" s="114" t="s">
        <v>17</v>
      </c>
      <c r="G180" s="114">
        <v>18</v>
      </c>
      <c r="H180" s="113">
        <v>9.81</v>
      </c>
      <c r="I180" s="113" t="s">
        <v>8</v>
      </c>
      <c r="J180" s="115" t="str">
        <f t="shared" si="0"/>
        <v>Cliente</v>
      </c>
      <c r="K180" s="113">
        <v>0</v>
      </c>
      <c r="L180" s="115">
        <f>Table1[[#This Row],[Duration]]*12</f>
        <v>0</v>
      </c>
      <c r="M180" s="116" t="s">
        <v>178</v>
      </c>
      <c r="N180" s="117" t="str">
        <f>IF(AND(Table1[[#This Row],[ Type of Contract]]="ESCO",Table1[[#This Row],[Status Detail]]="ACTIVE"),"yes","no")</f>
        <v>no</v>
      </c>
      <c r="O180" s="117" t="s">
        <v>431</v>
      </c>
      <c r="P180" s="117"/>
      <c r="Q180" s="118"/>
      <c r="R180" s="54" t="s">
        <v>7</v>
      </c>
      <c r="S180" s="54" t="s">
        <v>912</v>
      </c>
      <c r="T180" s="54"/>
      <c r="U180" s="54"/>
      <c r="V180" s="54">
        <v>918624670</v>
      </c>
      <c r="W180" s="119" t="str">
        <f>IF(Table1[[#This Row],[Maintenance]]="yes",IF(OR(Table1[[#This Row],[Start Contract]]="",Table1[[#This Row],[Duration Month2]]=""),"",EDATE(Table1[[#This Row],[Start Contract]],Table1[[#This Row],[Duration Month2]])),"-")</f>
        <v>-</v>
      </c>
      <c r="X180" s="115" t="str">
        <f>IF(OR((W180=""),(W180="-")),"",YEAR(Table1[[#This Row],[End Contract]]))</f>
        <v/>
      </c>
      <c r="Y180" s="54" t="str">
        <f ca="1">IF(Table1[[#This Row],[Maintenance]]="yes",IF(Table1[[#This Row],[End Contract]]="","no",IF(TODAY()&lt;=Table1[[#This Row],[End Contract]],"yes","no")),"no")</f>
        <v>no</v>
      </c>
      <c r="Z180" s="54"/>
      <c r="AA180" s="54"/>
      <c r="AB180" s="54"/>
    </row>
    <row r="181" spans="1:28" x14ac:dyDescent="0.3">
      <c r="A181" s="58">
        <v>176</v>
      </c>
      <c r="B181" s="71" t="s">
        <v>917</v>
      </c>
      <c r="C181" s="72" t="s">
        <v>917</v>
      </c>
      <c r="D181" s="133">
        <v>509657648</v>
      </c>
      <c r="E181" s="134" t="s">
        <v>918</v>
      </c>
      <c r="F181" s="114" t="s">
        <v>9</v>
      </c>
      <c r="G181" s="114">
        <v>20</v>
      </c>
      <c r="H181" s="113">
        <v>11.4</v>
      </c>
      <c r="I181" s="113" t="s">
        <v>8</v>
      </c>
      <c r="J181" s="115" t="str">
        <f t="shared" si="0"/>
        <v>Cliente</v>
      </c>
      <c r="K181" s="113">
        <v>0</v>
      </c>
      <c r="L181" s="115">
        <f>Table1[[#This Row],[Duration]]*12</f>
        <v>0</v>
      </c>
      <c r="M181" s="116" t="s">
        <v>178</v>
      </c>
      <c r="N181" s="117" t="str">
        <f>IF(AND(Table1[[#This Row],[ Type of Contract]]="ESCO",Table1[[#This Row],[Status Detail]]="ACTIVE"),"yes","no")</f>
        <v>no</v>
      </c>
      <c r="O181" s="117" t="s">
        <v>94</v>
      </c>
      <c r="P181" s="117" t="s">
        <v>61</v>
      </c>
      <c r="Q181" s="118"/>
      <c r="R181" s="54" t="s">
        <v>7</v>
      </c>
      <c r="S181" s="122" t="s">
        <v>919</v>
      </c>
      <c r="T181" s="54" t="s">
        <v>920</v>
      </c>
      <c r="U181" s="131" t="s">
        <v>921</v>
      </c>
      <c r="V181" s="122">
        <v>965054506</v>
      </c>
      <c r="W181" s="119" t="str">
        <f>IF(Table1[[#This Row],[Maintenance]]="yes",IF(OR(Table1[[#This Row],[Start Contract]]="",Table1[[#This Row],[Duration Month2]]=""),"",EDATE(Table1[[#This Row],[Start Contract]],Table1[[#This Row],[Duration Month2]])),"-")</f>
        <v>-</v>
      </c>
      <c r="X181" s="115" t="str">
        <f>IF(OR((W181=""),(W181="-")),"",YEAR(Table1[[#This Row],[End Contract]]))</f>
        <v/>
      </c>
      <c r="Y181" s="54" t="str">
        <f ca="1">IF(Table1[[#This Row],[Maintenance]]="yes",IF(Table1[[#This Row],[End Contract]]="","no",IF(TODAY()&lt;=Table1[[#This Row],[End Contract]],"yes","no")),"no")</f>
        <v>no</v>
      </c>
      <c r="Z181" s="54"/>
      <c r="AA181" s="54"/>
      <c r="AB181" s="54"/>
    </row>
    <row r="182" spans="1:28" x14ac:dyDescent="0.3">
      <c r="A182" s="58">
        <v>177</v>
      </c>
      <c r="B182" s="74" t="s">
        <v>922</v>
      </c>
      <c r="C182" s="72" t="s">
        <v>923</v>
      </c>
      <c r="D182" s="135">
        <v>212134700</v>
      </c>
      <c r="E182" s="134" t="s">
        <v>924</v>
      </c>
      <c r="F182" s="114" t="s">
        <v>9</v>
      </c>
      <c r="G182" s="114">
        <v>28</v>
      </c>
      <c r="H182" s="113">
        <v>15.96</v>
      </c>
      <c r="I182" s="113" t="s">
        <v>8</v>
      </c>
      <c r="J182" s="115" t="str">
        <f t="shared" si="0"/>
        <v>Cliente</v>
      </c>
      <c r="K182" s="113">
        <v>0</v>
      </c>
      <c r="L182" s="115">
        <f>Table1[[#This Row],[Duration]]*12</f>
        <v>0</v>
      </c>
      <c r="M182" s="116" t="s">
        <v>178</v>
      </c>
      <c r="N182" s="117" t="str">
        <f>IF(AND(Table1[[#This Row],[ Type of Contract]]="ESCO",Table1[[#This Row],[Status Detail]]="ACTIVE"),"yes","no")</f>
        <v>no</v>
      </c>
      <c r="O182" s="117" t="s">
        <v>53</v>
      </c>
      <c r="P182" s="117"/>
      <c r="Q182" s="118"/>
      <c r="R182" s="54" t="s">
        <v>7</v>
      </c>
      <c r="S182" s="54" t="s">
        <v>925</v>
      </c>
      <c r="T182" s="54"/>
      <c r="U182" s="54" t="s">
        <v>926</v>
      </c>
      <c r="V182" s="54">
        <v>932134700</v>
      </c>
      <c r="W182" s="119" t="str">
        <f>IF(Table1[[#This Row],[Maintenance]]="yes",IF(OR(Table1[[#This Row],[Start Contract]]="",Table1[[#This Row],[Duration Month2]]=""),"",EDATE(Table1[[#This Row],[Start Contract]],Table1[[#This Row],[Duration Month2]])),"-")</f>
        <v>-</v>
      </c>
      <c r="X182" s="115" t="str">
        <f>IF(OR((W182=""),(W182="-")),"",YEAR(Table1[[#This Row],[End Contract]]))</f>
        <v/>
      </c>
      <c r="Y182" s="54" t="str">
        <f ca="1">IF(Table1[[#This Row],[Maintenance]]="yes",IF(Table1[[#This Row],[End Contract]]="","no",IF(TODAY()&lt;=Table1[[#This Row],[End Contract]],"yes","no")),"no")</f>
        <v>no</v>
      </c>
      <c r="Z182" s="54"/>
      <c r="AA182" s="54"/>
      <c r="AB182" s="54"/>
    </row>
    <row r="183" spans="1:28" x14ac:dyDescent="0.3">
      <c r="A183" s="63">
        <v>178</v>
      </c>
      <c r="B183" s="74" t="s">
        <v>927</v>
      </c>
      <c r="C183" s="72" t="s">
        <v>928</v>
      </c>
      <c r="D183" s="136" t="s">
        <v>929</v>
      </c>
      <c r="E183" s="134" t="s">
        <v>930</v>
      </c>
      <c r="F183" s="114" t="s">
        <v>9</v>
      </c>
      <c r="G183" s="137">
        <v>22</v>
      </c>
      <c r="H183" s="138">
        <v>12.7</v>
      </c>
      <c r="I183" s="113" t="s">
        <v>8</v>
      </c>
      <c r="J183" s="115" t="str">
        <f t="shared" si="0"/>
        <v>Cliente</v>
      </c>
      <c r="K183" s="113">
        <v>0</v>
      </c>
      <c r="L183" s="115">
        <f>Table1[[#This Row],[Duration]]*12</f>
        <v>0</v>
      </c>
      <c r="M183" s="116" t="s">
        <v>178</v>
      </c>
      <c r="N183" s="117" t="str">
        <f>IF(AND(Table1[[#This Row],[ Type of Contract]]="ESCO",Table1[[#This Row],[Status Detail]]="ACTIVE"),"yes","no")</f>
        <v>no</v>
      </c>
      <c r="O183" s="117" t="s">
        <v>53</v>
      </c>
      <c r="P183" s="117" t="s">
        <v>61</v>
      </c>
      <c r="Q183" s="118"/>
      <c r="R183" s="54" t="s">
        <v>7</v>
      </c>
      <c r="S183" s="122" t="s">
        <v>931</v>
      </c>
      <c r="T183" s="54"/>
      <c r="U183" s="194" t="s">
        <v>932</v>
      </c>
      <c r="V183" s="122">
        <v>927714687</v>
      </c>
      <c r="W183" s="119" t="str">
        <f>IF(Table1[[#This Row],[Maintenance]]="yes",IF(OR(Table1[[#This Row],[Start Contract]]="",Table1[[#This Row],[Duration Month2]]=""),"",EDATE(Table1[[#This Row],[Start Contract]],Table1[[#This Row],[Duration Month2]])),"-")</f>
        <v>-</v>
      </c>
      <c r="X183" s="115" t="str">
        <f>IF(OR((W183=""),(W183="-")),"",YEAR(Table1[[#This Row],[End Contract]]))</f>
        <v/>
      </c>
      <c r="Y183" s="54" t="str">
        <f ca="1">IF(Table1[[#This Row],[Maintenance]]="yes",IF(Table1[[#This Row],[End Contract]]="","no",IF(TODAY()&lt;=Table1[[#This Row],[End Contract]],"yes","no")),"no")</f>
        <v>no</v>
      </c>
      <c r="Z183" s="54"/>
      <c r="AA183" s="54"/>
      <c r="AB183" s="54"/>
    </row>
    <row r="184" spans="1:28" ht="41.4" customHeight="1" x14ac:dyDescent="0.3">
      <c r="A184" s="58">
        <v>179</v>
      </c>
      <c r="B184" s="74" t="s">
        <v>933</v>
      </c>
      <c r="C184" s="72" t="s">
        <v>934</v>
      </c>
      <c r="D184" s="136">
        <v>501841865</v>
      </c>
      <c r="E184" s="134" t="s">
        <v>935</v>
      </c>
      <c r="F184" s="114" t="s">
        <v>21</v>
      </c>
      <c r="G184" s="137">
        <v>256</v>
      </c>
      <c r="H184" s="138">
        <v>153.6</v>
      </c>
      <c r="I184" s="113" t="s">
        <v>8</v>
      </c>
      <c r="J184" s="115" t="str">
        <f t="shared" si="0"/>
        <v>Cliente</v>
      </c>
      <c r="K184" s="113">
        <v>0</v>
      </c>
      <c r="L184" s="115">
        <f>Table1[[#This Row],[Duration]]*12</f>
        <v>0</v>
      </c>
      <c r="M184" s="116" t="s">
        <v>178</v>
      </c>
      <c r="N184" s="117" t="str">
        <f>IF(AND(Table1[[#This Row],[ Type of Contract]]="ESCO",Table1[[#This Row],[Status Detail]]="ACTIVE"),"yes","no")</f>
        <v>no</v>
      </c>
      <c r="O184" s="117" t="s">
        <v>207</v>
      </c>
      <c r="P184" s="117" t="s">
        <v>208</v>
      </c>
      <c r="Q184" s="118"/>
      <c r="R184" s="54" t="s">
        <v>7</v>
      </c>
      <c r="S184" s="73" t="s">
        <v>936</v>
      </c>
      <c r="T184" s="54"/>
      <c r="U184" s="54"/>
      <c r="V184" s="73" t="s">
        <v>937</v>
      </c>
      <c r="W184" s="119" t="str">
        <f>IF(Table1[[#This Row],[Maintenance]]="yes",IF(OR(Table1[[#This Row],[Start Contract]]="",Table1[[#This Row],[Duration Month2]]=""),"",EDATE(Table1[[#This Row],[Start Contract]],Table1[[#This Row],[Duration Month2]])),"-")</f>
        <v>-</v>
      </c>
      <c r="X184" s="115" t="str">
        <f>IF(OR((W184=""),(W184="-")),"",YEAR(Table1[[#This Row],[End Contract]]))</f>
        <v/>
      </c>
      <c r="Y184" s="54" t="str">
        <f ca="1">IF(Table1[[#This Row],[Maintenance]]="yes",IF(Table1[[#This Row],[End Contract]]="","no",IF(TODAY()&lt;=Table1[[#This Row],[End Contract]],"yes","no")),"no")</f>
        <v>no</v>
      </c>
      <c r="Z184" s="54"/>
      <c r="AA184" s="54"/>
      <c r="AB184" s="54"/>
    </row>
    <row r="185" spans="1:28" x14ac:dyDescent="0.3">
      <c r="A185" s="58">
        <v>180</v>
      </c>
      <c r="B185" s="185" t="s">
        <v>938</v>
      </c>
      <c r="C185" s="163" t="s">
        <v>938</v>
      </c>
      <c r="D185" s="186">
        <v>508776597</v>
      </c>
      <c r="E185" s="187" t="s">
        <v>939</v>
      </c>
      <c r="F185" s="181" t="s">
        <v>12</v>
      </c>
      <c r="G185" s="188">
        <v>96</v>
      </c>
      <c r="H185" s="189">
        <v>55.2</v>
      </c>
      <c r="I185" s="180" t="s">
        <v>11</v>
      </c>
      <c r="J185" s="182" t="str">
        <f t="shared" si="0"/>
        <v>Solcorelius</v>
      </c>
      <c r="K185" s="180">
        <v>10</v>
      </c>
      <c r="L185" s="182">
        <f>Table1[[#This Row],[Duration]]*12</f>
        <v>120</v>
      </c>
      <c r="M185" s="152">
        <v>45717</v>
      </c>
      <c r="N185" s="183" t="str">
        <f>IF(AND(Table1[[#This Row],[ Type of Contract]]="ESCO",Table1[[#This Row],[Status Detail]]="ACTIVE"),"yes","no")</f>
        <v>yes</v>
      </c>
      <c r="O185" s="183" t="s">
        <v>207</v>
      </c>
      <c r="P185" s="183" t="s">
        <v>61</v>
      </c>
      <c r="Q185" s="184"/>
      <c r="R185" s="143" t="s">
        <v>7</v>
      </c>
      <c r="S185" s="144" t="s">
        <v>811</v>
      </c>
      <c r="T185" s="143"/>
      <c r="U185" s="149" t="s">
        <v>812</v>
      </c>
      <c r="V185" s="141">
        <v>967870346</v>
      </c>
      <c r="W185" s="119">
        <f>IF(Table1[[#This Row],[Maintenance]]="yes",IF(OR(Table1[[#This Row],[Start Contract]]="",Table1[[#This Row],[Duration Month2]]=""),"",EDATE(Table1[[#This Row],[Start Contract]],Table1[[#This Row],[Duration Month2]])),"-")</f>
        <v>49369</v>
      </c>
      <c r="X185" s="115">
        <f>IF(OR((W185=""),(W185="-")),"",YEAR(Table1[[#This Row],[End Contract]]))</f>
        <v>2035</v>
      </c>
      <c r="Y185" s="54" t="str">
        <f ca="1">IF(Table1[[#This Row],[Maintenance]]="yes",IF(Table1[[#This Row],[End Contract]]="","no",IF(TODAY()&lt;=Table1[[#This Row],[End Contract]],"yes","no")),"no")</f>
        <v>yes</v>
      </c>
      <c r="Z185" s="54"/>
      <c r="AA185" s="277">
        <v>11520</v>
      </c>
      <c r="AB185" s="54" t="s">
        <v>1409</v>
      </c>
    </row>
    <row r="186" spans="1:28" x14ac:dyDescent="0.3">
      <c r="A186" s="63">
        <v>181</v>
      </c>
      <c r="B186" s="185" t="s">
        <v>940</v>
      </c>
      <c r="C186" s="163" t="s">
        <v>941</v>
      </c>
      <c r="D186" s="186">
        <v>508776597</v>
      </c>
      <c r="E186" s="187" t="s">
        <v>939</v>
      </c>
      <c r="F186" s="181" t="s">
        <v>12</v>
      </c>
      <c r="G186" s="188">
        <v>96</v>
      </c>
      <c r="H186" s="189">
        <v>55.2</v>
      </c>
      <c r="I186" s="180" t="s">
        <v>11</v>
      </c>
      <c r="J186" s="182" t="str">
        <f t="shared" si="0"/>
        <v>Solcorelius</v>
      </c>
      <c r="K186" s="180">
        <v>10</v>
      </c>
      <c r="L186" s="182">
        <f>Table1[[#This Row],[Duration]]*12</f>
        <v>120</v>
      </c>
      <c r="M186" s="152">
        <v>45717</v>
      </c>
      <c r="N186" s="183" t="str">
        <f>IF(AND(Table1[[#This Row],[ Type of Contract]]="ESCO",Table1[[#This Row],[Status Detail]]="ACTIVE"),"yes","no")</f>
        <v>yes</v>
      </c>
      <c r="O186" s="183" t="s">
        <v>207</v>
      </c>
      <c r="P186" s="183" t="s">
        <v>61</v>
      </c>
      <c r="Q186" s="184"/>
      <c r="R186" s="143" t="s">
        <v>7</v>
      </c>
      <c r="S186" s="144" t="s">
        <v>811</v>
      </c>
      <c r="T186" s="143"/>
      <c r="U186" s="149" t="s">
        <v>812</v>
      </c>
      <c r="V186" s="141">
        <v>967870346</v>
      </c>
      <c r="W186" s="119">
        <f>IF(Table1[[#This Row],[Maintenance]]="yes",IF(OR(Table1[[#This Row],[Start Contract]]="",Table1[[#This Row],[Duration Month2]]=""),"",EDATE(Table1[[#This Row],[Start Contract]],Table1[[#This Row],[Duration Month2]])),"-")</f>
        <v>49369</v>
      </c>
      <c r="X186" s="115">
        <f>IF(OR((W186=""),(W186="-")),"",YEAR(Table1[[#This Row],[End Contract]]))</f>
        <v>2035</v>
      </c>
      <c r="Y186" s="54" t="str">
        <f ca="1">IF(Table1[[#This Row],[Maintenance]]="yes",IF(Table1[[#This Row],[End Contract]]="","no",IF(TODAY()&lt;=Table1[[#This Row],[End Contract]],"yes","no")),"no")</f>
        <v>yes</v>
      </c>
      <c r="Z186" s="54"/>
      <c r="AA186" s="277">
        <v>14059.2</v>
      </c>
      <c r="AB186" s="54" t="s">
        <v>1409</v>
      </c>
    </row>
    <row r="187" spans="1:28" x14ac:dyDescent="0.3">
      <c r="A187" s="58">
        <v>182</v>
      </c>
      <c r="B187" s="185" t="s">
        <v>942</v>
      </c>
      <c r="C187" s="163" t="s">
        <v>943</v>
      </c>
      <c r="D187" s="186">
        <v>501358331</v>
      </c>
      <c r="E187" s="187" t="s">
        <v>944</v>
      </c>
      <c r="F187" s="181" t="s">
        <v>9</v>
      </c>
      <c r="G187" s="188">
        <v>61</v>
      </c>
      <c r="H187" s="189">
        <v>34.799999999999997</v>
      </c>
      <c r="I187" s="180" t="s">
        <v>11</v>
      </c>
      <c r="J187" s="182" t="str">
        <f t="shared" si="0"/>
        <v>Solcorelius</v>
      </c>
      <c r="K187" s="180">
        <v>10</v>
      </c>
      <c r="L187" s="182">
        <f>Table1[[#This Row],[Duration]]*12</f>
        <v>120</v>
      </c>
      <c r="M187" s="190">
        <v>45658</v>
      </c>
      <c r="N187" s="183" t="str">
        <f>IF(AND(Table1[[#This Row],[ Type of Contract]]="ESCO",Table1[[#This Row],[Status Detail]]="ACTIVE"),"yes","no")</f>
        <v>yes</v>
      </c>
      <c r="O187" s="183" t="s">
        <v>53</v>
      </c>
      <c r="P187" s="183" t="s">
        <v>61</v>
      </c>
      <c r="Q187" s="184"/>
      <c r="R187" s="143" t="s">
        <v>7</v>
      </c>
      <c r="S187" s="143" t="s">
        <v>945</v>
      </c>
      <c r="T187" s="143" t="s">
        <v>70</v>
      </c>
      <c r="U187" s="146" t="s">
        <v>946</v>
      </c>
      <c r="V187" s="143">
        <v>966198332</v>
      </c>
      <c r="W187" s="119">
        <f>IF(Table1[[#This Row],[Maintenance]]="yes",IF(OR(Table1[[#This Row],[Start Contract]]="",Table1[[#This Row],[Duration Month2]]=""),"",EDATE(Table1[[#This Row],[Start Contract]],Table1[[#This Row],[Duration Month2]])),"-")</f>
        <v>49310</v>
      </c>
      <c r="X187" s="115">
        <f>IF(OR((W187=""),(W187="-")),"",YEAR(Table1[[#This Row],[End Contract]]))</f>
        <v>2035</v>
      </c>
      <c r="Y187" s="54" t="str">
        <f ca="1">IF(Table1[[#This Row],[Maintenance]]="yes",IF(Table1[[#This Row],[End Contract]]="","no",IF(TODAY()&lt;=Table1[[#This Row],[End Contract]],"yes","no")),"no")</f>
        <v>yes</v>
      </c>
      <c r="Z187" s="54"/>
      <c r="AA187" s="277">
        <v>7259.88</v>
      </c>
      <c r="AB187" s="54" t="s">
        <v>1409</v>
      </c>
    </row>
    <row r="188" spans="1:28" x14ac:dyDescent="0.3">
      <c r="A188" s="58">
        <v>183</v>
      </c>
      <c r="B188" s="74" t="s">
        <v>947</v>
      </c>
      <c r="C188" s="72" t="s">
        <v>947</v>
      </c>
      <c r="D188" s="136">
        <v>503666653</v>
      </c>
      <c r="E188" s="134" t="s">
        <v>948</v>
      </c>
      <c r="F188" s="114" t="s">
        <v>19</v>
      </c>
      <c r="G188" s="137">
        <v>369</v>
      </c>
      <c r="H188" s="138">
        <v>213</v>
      </c>
      <c r="I188" s="81" t="s">
        <v>8</v>
      </c>
      <c r="J188" s="115" t="str">
        <f t="shared" si="0"/>
        <v>Cliente</v>
      </c>
      <c r="K188" s="113">
        <v>1</v>
      </c>
      <c r="L188" s="115">
        <f>Table1[[#This Row],[Duration]]*12</f>
        <v>12</v>
      </c>
      <c r="M188" s="116">
        <v>46022</v>
      </c>
      <c r="N188" s="173" t="s">
        <v>77</v>
      </c>
      <c r="O188" s="183" t="s">
        <v>53</v>
      </c>
      <c r="P188" s="183" t="s">
        <v>61</v>
      </c>
      <c r="Q188" s="118"/>
      <c r="R188" s="54" t="s">
        <v>7</v>
      </c>
      <c r="S188" s="54"/>
      <c r="T188" s="54"/>
      <c r="U188" s="54"/>
      <c r="V188" s="54"/>
      <c r="W188" s="119">
        <f>IF(Table1[[#This Row],[Maintenance]]="yes",IF(OR(Table1[[#This Row],[Start Contract]]="",Table1[[#This Row],[Duration Month2]]=""),"",EDATE(Table1[[#This Row],[Start Contract]],Table1[[#This Row],[Duration Month2]])),"-")</f>
        <v>46387</v>
      </c>
      <c r="X188" s="115">
        <f>IF(OR((W188=""),(W188="-")),"",YEAR(Table1[[#This Row],[End Contract]]))</f>
        <v>2026</v>
      </c>
      <c r="Y188" s="54" t="str">
        <f ca="1">IF(Table1[[#This Row],[Maintenance]]="yes",IF(Table1[[#This Row],[End Contract]]="","no",IF(TODAY()&lt;=Table1[[#This Row],[End Contract]],"yes","no")),"no")</f>
        <v>yes</v>
      </c>
      <c r="Z188" s="54"/>
      <c r="AA188" s="277">
        <v>1527.84</v>
      </c>
      <c r="AB188" s="54" t="s">
        <v>1408</v>
      </c>
    </row>
    <row r="189" spans="1:28" x14ac:dyDescent="0.3">
      <c r="A189" s="71">
        <v>184</v>
      </c>
      <c r="B189" s="127" t="s">
        <v>949</v>
      </c>
      <c r="C189" s="72" t="s">
        <v>950</v>
      </c>
      <c r="D189" s="136">
        <v>501087451</v>
      </c>
      <c r="E189" s="134" t="s">
        <v>951</v>
      </c>
      <c r="F189" s="89" t="s">
        <v>19</v>
      </c>
      <c r="G189" s="137">
        <v>132</v>
      </c>
      <c r="H189" s="138">
        <v>79.2</v>
      </c>
      <c r="I189" s="139" t="s">
        <v>8</v>
      </c>
      <c r="J189" s="115" t="str">
        <f t="shared" si="0"/>
        <v>Cliente</v>
      </c>
      <c r="K189" s="81">
        <v>0</v>
      </c>
      <c r="L189" s="115">
        <f>Table1[[#This Row],[Duration]]*12</f>
        <v>0</v>
      </c>
      <c r="M189" s="82" t="s">
        <v>178</v>
      </c>
      <c r="N189" s="106" t="str">
        <f>IF(AND(Table1[[#This Row],[ Type of Contract]]="ESCO",Table1[[#This Row],[Status Detail]]="ACTIVE"),"yes","no")</f>
        <v>no</v>
      </c>
      <c r="O189" s="106" t="s">
        <v>53</v>
      </c>
      <c r="P189" s="106"/>
      <c r="Q189" s="105"/>
      <c r="R189" s="54" t="s">
        <v>7</v>
      </c>
      <c r="S189" s="54" t="s">
        <v>531</v>
      </c>
      <c r="T189" s="54"/>
      <c r="U189" s="54"/>
      <c r="V189" s="122">
        <v>963653949</v>
      </c>
      <c r="W189" s="119" t="str">
        <f>IF(Table1[[#This Row],[Maintenance]]="yes",IF(OR(Table1[[#This Row],[Start Contract]]="",Table1[[#This Row],[Duration Month2]]=""),"",EDATE(Table1[[#This Row],[Start Contract]],Table1[[#This Row],[Duration Month2]])),"-")</f>
        <v>-</v>
      </c>
      <c r="X189" s="115" t="str">
        <f>IF(OR((W189=""),(W189="-")),"",YEAR(Table1[[#This Row],[End Contract]]))</f>
        <v/>
      </c>
      <c r="Y189" s="54" t="str">
        <f ca="1">IF(Table1[[#This Row],[Maintenance]]="yes",IF(Table1[[#This Row],[End Contract]]="","no",IF(TODAY()&lt;=Table1[[#This Row],[End Contract]],"yes","no")),"no")</f>
        <v>no</v>
      </c>
      <c r="Z189" s="54"/>
      <c r="AA189" s="54"/>
      <c r="AB189" s="54"/>
    </row>
    <row r="190" spans="1:28" x14ac:dyDescent="0.3">
      <c r="A190" s="71">
        <v>185</v>
      </c>
      <c r="B190" s="127" t="s">
        <v>952</v>
      </c>
      <c r="C190" s="72" t="s">
        <v>953</v>
      </c>
      <c r="D190" s="136">
        <v>504646834</v>
      </c>
      <c r="E190" s="134" t="s">
        <v>954</v>
      </c>
      <c r="F190" s="89" t="s">
        <v>21</v>
      </c>
      <c r="G190" s="137">
        <v>36</v>
      </c>
      <c r="H190" s="138">
        <v>20.52</v>
      </c>
      <c r="I190" s="139" t="s">
        <v>8</v>
      </c>
      <c r="J190" s="115" t="str">
        <f t="shared" si="0"/>
        <v>Cliente</v>
      </c>
      <c r="K190" s="81">
        <v>0</v>
      </c>
      <c r="L190" s="115">
        <f>Table1[[#This Row],[Duration]]*12</f>
        <v>0</v>
      </c>
      <c r="M190" s="82" t="s">
        <v>178</v>
      </c>
      <c r="N190" s="106" t="str">
        <f>IF(AND(Table1[[#This Row],[ Type of Contract]]="ESCO",Table1[[#This Row],[Status Detail]]="ACTIVE"),"yes","no")</f>
        <v>no</v>
      </c>
      <c r="O190" s="106" t="s">
        <v>431</v>
      </c>
      <c r="P190" s="106"/>
      <c r="Q190" s="105"/>
      <c r="R190" s="54" t="s">
        <v>7</v>
      </c>
      <c r="S190" s="54" t="s">
        <v>955</v>
      </c>
      <c r="T190" s="54"/>
      <c r="U190" s="54"/>
      <c r="V190" s="54">
        <v>912620256</v>
      </c>
      <c r="W190" s="119" t="str">
        <f>IF(Table1[[#This Row],[Maintenance]]="yes",IF(OR(Table1[[#This Row],[Start Contract]]="",Table1[[#This Row],[Duration Month2]]=""),"",EDATE(Table1[[#This Row],[Start Contract]],Table1[[#This Row],[Duration Month2]])),"-")</f>
        <v>-</v>
      </c>
      <c r="X190" s="115" t="str">
        <f>IF(OR((W190=""),(W190="-")),"",YEAR(Table1[[#This Row],[End Contract]]))</f>
        <v/>
      </c>
      <c r="Y190" s="54" t="str">
        <f ca="1">IF(Table1[[#This Row],[Maintenance]]="yes",IF(Table1[[#This Row],[End Contract]]="","no",IF(TODAY()&lt;=Table1[[#This Row],[End Contract]],"yes","no")),"no")</f>
        <v>no</v>
      </c>
      <c r="Z190" s="54"/>
      <c r="AA190" s="54"/>
      <c r="AB190" s="54"/>
    </row>
    <row r="191" spans="1:28" x14ac:dyDescent="0.3">
      <c r="A191" s="71">
        <v>186</v>
      </c>
      <c r="B191" s="127" t="s">
        <v>956</v>
      </c>
      <c r="C191" s="72" t="s">
        <v>957</v>
      </c>
      <c r="D191" s="136">
        <v>503326119</v>
      </c>
      <c r="E191" s="134" t="s">
        <v>958</v>
      </c>
      <c r="F191" s="89" t="s">
        <v>12</v>
      </c>
      <c r="G191" s="137">
        <v>128</v>
      </c>
      <c r="H191" s="138">
        <v>73</v>
      </c>
      <c r="I191" s="139" t="s">
        <v>8</v>
      </c>
      <c r="J191" s="115" t="str">
        <f t="shared" si="0"/>
        <v>Cliente</v>
      </c>
      <c r="K191" s="81">
        <v>0</v>
      </c>
      <c r="L191" s="115">
        <f>Table1[[#This Row],[Duration]]*12</f>
        <v>0</v>
      </c>
      <c r="M191" s="82" t="s">
        <v>178</v>
      </c>
      <c r="N191" s="106" t="str">
        <f>IF(AND(Table1[[#This Row],[ Type of Contract]]="ESCO",Table1[[#This Row],[Status Detail]]="ACTIVE"),"yes","no")</f>
        <v>no</v>
      </c>
      <c r="O191" s="106" t="s">
        <v>596</v>
      </c>
      <c r="P191" s="106"/>
      <c r="Q191" s="105"/>
      <c r="R191" s="54" t="s">
        <v>7</v>
      </c>
      <c r="S191" s="54" t="s">
        <v>959</v>
      </c>
      <c r="T191" s="54"/>
      <c r="U191" s="131" t="s">
        <v>960</v>
      </c>
      <c r="V191" s="122">
        <v>917242010</v>
      </c>
      <c r="W191" s="119" t="str">
        <f>IF(Table1[[#This Row],[Maintenance]]="yes",IF(OR(Table1[[#This Row],[Start Contract]]="",Table1[[#This Row],[Duration Month2]]=""),"",EDATE(Table1[[#This Row],[Start Contract]],Table1[[#This Row],[Duration Month2]])),"-")</f>
        <v>-</v>
      </c>
      <c r="X191" s="115" t="str">
        <f>IF(OR((W191=""),(W191="-")),"",YEAR(Table1[[#This Row],[End Contract]]))</f>
        <v/>
      </c>
      <c r="Y191" s="54" t="str">
        <f ca="1">IF(Table1[[#This Row],[Maintenance]]="yes",IF(Table1[[#This Row],[End Contract]]="","no",IF(TODAY()&lt;=Table1[[#This Row],[End Contract]],"yes","no")),"no")</f>
        <v>no</v>
      </c>
      <c r="Z191" s="54"/>
      <c r="AA191" s="54"/>
      <c r="AB191" s="54"/>
    </row>
    <row r="192" spans="1:28" x14ac:dyDescent="0.3">
      <c r="A192" s="71">
        <v>187</v>
      </c>
      <c r="B192" s="127" t="s">
        <v>961</v>
      </c>
      <c r="C192" s="72" t="s">
        <v>962</v>
      </c>
      <c r="D192" s="64">
        <v>50085227</v>
      </c>
      <c r="E192" s="81" t="s">
        <v>963</v>
      </c>
      <c r="F192" s="89" t="s">
        <v>9</v>
      </c>
      <c r="G192" s="89">
        <v>140</v>
      </c>
      <c r="H192" s="81">
        <v>80.5</v>
      </c>
      <c r="I192" s="139" t="s">
        <v>8</v>
      </c>
      <c r="J192" s="115" t="str">
        <f t="shared" ref="J192:J223" si="1">IF(I192="ESCO", "Solcorelius", IF(I192="EPC", "Cliente", ""))</f>
        <v>Cliente</v>
      </c>
      <c r="K192" s="81">
        <v>0</v>
      </c>
      <c r="L192" s="115">
        <f>Table1[[#This Row],[Duration]]*12</f>
        <v>0</v>
      </c>
      <c r="M192" s="82" t="s">
        <v>178</v>
      </c>
      <c r="N192" s="46" t="str">
        <f>IF(AND(Table1[[#This Row],[ Type of Contract]]="ESCO",Table1[[#This Row],[Status Detail]]="ACTIVE"),"yes","no")</f>
        <v>no</v>
      </c>
      <c r="O192" s="106" t="s">
        <v>207</v>
      </c>
      <c r="P192" s="106"/>
      <c r="Q192" s="105"/>
      <c r="R192" s="54" t="s">
        <v>7</v>
      </c>
      <c r="S192" s="54"/>
      <c r="T192" s="54"/>
      <c r="U192" s="54"/>
      <c r="V192" s="54"/>
      <c r="W192" s="119" t="str">
        <f>IF(Table1[[#This Row],[Maintenance]]="yes",IF(OR(Table1[[#This Row],[Start Contract]]="",Table1[[#This Row],[Duration Month2]]=""),"",EDATE(Table1[[#This Row],[Start Contract]],Table1[[#This Row],[Duration Month2]])),"-")</f>
        <v>-</v>
      </c>
      <c r="X192" s="115" t="str">
        <f>IF(OR((W192=""),(W192="-")),"",YEAR(Table1[[#This Row],[End Contract]]))</f>
        <v/>
      </c>
      <c r="Y192" s="54" t="str">
        <f ca="1">IF(Table1[[#This Row],[Maintenance]]="yes",IF(Table1[[#This Row],[End Contract]]="","no",IF(TODAY()&lt;=Table1[[#This Row],[End Contract]],"yes","no")),"no")</f>
        <v>no</v>
      </c>
      <c r="Z192" s="54"/>
      <c r="AA192" s="54"/>
      <c r="AB192" s="54"/>
    </row>
    <row r="193" spans="1:28" x14ac:dyDescent="0.3">
      <c r="A193" s="71">
        <v>188</v>
      </c>
      <c r="B193" s="127" t="s">
        <v>964</v>
      </c>
      <c r="C193" s="72" t="s">
        <v>965</v>
      </c>
      <c r="D193" s="136">
        <v>502051663</v>
      </c>
      <c r="E193" s="134" t="s">
        <v>966</v>
      </c>
      <c r="F193" s="89" t="s">
        <v>21</v>
      </c>
      <c r="G193" s="137">
        <v>112</v>
      </c>
      <c r="H193" s="138">
        <v>50.92</v>
      </c>
      <c r="I193" s="139" t="s">
        <v>8</v>
      </c>
      <c r="J193" s="115" t="str">
        <f t="shared" si="1"/>
        <v>Cliente</v>
      </c>
      <c r="K193" s="81">
        <v>0</v>
      </c>
      <c r="L193" s="115">
        <f>Table1[[#This Row],[Duration]]*12</f>
        <v>0</v>
      </c>
      <c r="M193" s="82" t="s">
        <v>178</v>
      </c>
      <c r="N193" s="106" t="str">
        <f>IF(AND(Table1[[#This Row],[ Type of Contract]]="ESCO",Table1[[#This Row],[Status Detail]]="ACTIVE"),"yes","no")</f>
        <v>no</v>
      </c>
      <c r="O193" s="106" t="s">
        <v>53</v>
      </c>
      <c r="P193" s="106"/>
      <c r="Q193" s="105"/>
      <c r="R193" s="54" t="s">
        <v>7</v>
      </c>
      <c r="S193" s="54" t="s">
        <v>967</v>
      </c>
      <c r="T193" s="54"/>
      <c r="U193" s="54"/>
      <c r="V193" s="54">
        <v>966123699</v>
      </c>
      <c r="W193" s="119" t="str">
        <f>IF(Table1[[#This Row],[Maintenance]]="yes",IF(OR(Table1[[#This Row],[Start Contract]]="",Table1[[#This Row],[Duration Month2]]=""),"",EDATE(Table1[[#This Row],[Start Contract]],Table1[[#This Row],[Duration Month2]])),"-")</f>
        <v>-</v>
      </c>
      <c r="X193" s="115" t="str">
        <f>IF(OR((W193=""),(W193="-")),"",YEAR(Table1[[#This Row],[End Contract]]))</f>
        <v/>
      </c>
      <c r="Y193" s="54" t="str">
        <f ca="1">IF(Table1[[#This Row],[Maintenance]]="yes",IF(Table1[[#This Row],[End Contract]]="","no",IF(TODAY()&lt;=Table1[[#This Row],[End Contract]],"yes","no")),"no")</f>
        <v>no</v>
      </c>
      <c r="Z193" s="54"/>
      <c r="AA193" s="54"/>
      <c r="AB193" s="54"/>
    </row>
    <row r="194" spans="1:28" ht="27.6" customHeight="1" x14ac:dyDescent="0.3">
      <c r="A194" s="71">
        <v>189</v>
      </c>
      <c r="B194" s="127" t="s">
        <v>968</v>
      </c>
      <c r="C194" s="72" t="s">
        <v>969</v>
      </c>
      <c r="D194" s="136" t="s">
        <v>970</v>
      </c>
      <c r="E194" s="134" t="s">
        <v>971</v>
      </c>
      <c r="F194" s="89" t="s">
        <v>19</v>
      </c>
      <c r="G194" s="137">
        <v>28</v>
      </c>
      <c r="H194" s="138">
        <v>15.96</v>
      </c>
      <c r="I194" s="139" t="s">
        <v>8</v>
      </c>
      <c r="J194" s="115" t="str">
        <f t="shared" si="1"/>
        <v>Cliente</v>
      </c>
      <c r="K194" s="81">
        <v>0</v>
      </c>
      <c r="L194" s="115">
        <f>Table1[[#This Row],[Duration]]*12</f>
        <v>0</v>
      </c>
      <c r="M194" s="82" t="s">
        <v>178</v>
      </c>
      <c r="N194" s="106" t="str">
        <f>IF(AND(Table1[[#This Row],[ Type of Contract]]="ESCO",Table1[[#This Row],[Status Detail]]="ACTIVE"),"yes","no")</f>
        <v>no</v>
      </c>
      <c r="O194" s="106" t="s">
        <v>207</v>
      </c>
      <c r="P194" s="106"/>
      <c r="Q194" s="105"/>
      <c r="R194" s="54" t="s">
        <v>7</v>
      </c>
      <c r="S194" s="73" t="s">
        <v>972</v>
      </c>
      <c r="T194" s="54"/>
      <c r="U194" s="54"/>
      <c r="V194" s="73" t="s">
        <v>973</v>
      </c>
      <c r="W194" s="119" t="str">
        <f>IF(Table1[[#This Row],[Maintenance]]="yes",IF(OR(Table1[[#This Row],[Start Contract]]="",Table1[[#This Row],[Duration Month2]]=""),"",EDATE(Table1[[#This Row],[Start Contract]],Table1[[#This Row],[Duration Month2]])),"-")</f>
        <v>-</v>
      </c>
      <c r="X194" s="115" t="str">
        <f>IF(OR((W194=""),(W194="-")),"",YEAR(Table1[[#This Row],[End Contract]]))</f>
        <v/>
      </c>
      <c r="Y194" s="54" t="str">
        <f ca="1">IF(Table1[[#This Row],[Maintenance]]="yes",IF(Table1[[#This Row],[End Contract]]="","no",IF(TODAY()&lt;=Table1[[#This Row],[End Contract]],"yes","no")),"no")</f>
        <v>no</v>
      </c>
      <c r="Z194" s="54"/>
      <c r="AA194" s="54"/>
      <c r="AB194" s="54"/>
    </row>
    <row r="195" spans="1:28" x14ac:dyDescent="0.3">
      <c r="A195" s="71">
        <v>190</v>
      </c>
      <c r="B195" s="127" t="s">
        <v>974</v>
      </c>
      <c r="C195" s="72" t="s">
        <v>975</v>
      </c>
      <c r="D195" s="136" t="s">
        <v>976</v>
      </c>
      <c r="E195" s="134" t="s">
        <v>977</v>
      </c>
      <c r="F195" s="89" t="s">
        <v>978</v>
      </c>
      <c r="G195" s="137">
        <v>28</v>
      </c>
      <c r="H195" s="138">
        <v>15.96</v>
      </c>
      <c r="I195" s="139" t="s">
        <v>8</v>
      </c>
      <c r="J195" s="115" t="str">
        <f t="shared" si="1"/>
        <v>Cliente</v>
      </c>
      <c r="K195" s="81">
        <v>0</v>
      </c>
      <c r="L195" s="115">
        <f>Table1[[#This Row],[Duration]]*12</f>
        <v>0</v>
      </c>
      <c r="M195" s="82" t="s">
        <v>178</v>
      </c>
      <c r="N195" s="106" t="str">
        <f>IF(AND(Table1[[#This Row],[ Type of Contract]]="ESCO",Table1[[#This Row],[Status Detail]]="ACTIVE"),"yes","no")</f>
        <v>no</v>
      </c>
      <c r="O195" s="106" t="s">
        <v>207</v>
      </c>
      <c r="P195" s="46" t="s">
        <v>61</v>
      </c>
      <c r="Q195" s="105"/>
      <c r="R195" s="54" t="s">
        <v>7</v>
      </c>
      <c r="S195" s="54" t="s">
        <v>525</v>
      </c>
      <c r="T195" s="54" t="s">
        <v>70</v>
      </c>
      <c r="U195" s="54"/>
      <c r="V195" s="54">
        <v>930588028</v>
      </c>
      <c r="W195" s="119" t="str">
        <f>IF(Table1[[#This Row],[Maintenance]]="yes",IF(OR(Table1[[#This Row],[Start Contract]]="",Table1[[#This Row],[Duration Month2]]=""),"",EDATE(Table1[[#This Row],[Start Contract]],Table1[[#This Row],[Duration Month2]])),"-")</f>
        <v>-</v>
      </c>
      <c r="X195" s="115" t="str">
        <f>IF(OR((W195=""),(W195="-")),"",YEAR(Table1[[#This Row],[End Contract]]))</f>
        <v/>
      </c>
      <c r="Y195" s="54" t="str">
        <f ca="1">IF(Table1[[#This Row],[Maintenance]]="yes",IF(Table1[[#This Row],[End Contract]]="","no",IF(TODAY()&lt;=Table1[[#This Row],[End Contract]],"yes","no")),"no")</f>
        <v>no</v>
      </c>
      <c r="Z195" s="54"/>
      <c r="AA195" s="54"/>
      <c r="AB195" s="54"/>
    </row>
    <row r="196" spans="1:28" x14ac:dyDescent="0.3">
      <c r="A196" s="71">
        <v>191</v>
      </c>
      <c r="B196" s="127" t="s">
        <v>979</v>
      </c>
      <c r="C196" s="72"/>
      <c r="D196" s="136" t="s">
        <v>980</v>
      </c>
      <c r="E196" s="134" t="s">
        <v>981</v>
      </c>
      <c r="F196" s="89" t="s">
        <v>978</v>
      </c>
      <c r="G196" s="137">
        <v>38</v>
      </c>
      <c r="H196" s="138">
        <v>21.7</v>
      </c>
      <c r="I196" s="139" t="s">
        <v>8</v>
      </c>
      <c r="J196" s="115" t="str">
        <f t="shared" si="1"/>
        <v>Cliente</v>
      </c>
      <c r="K196" s="81">
        <v>0</v>
      </c>
      <c r="L196" s="115">
        <f>Table1[[#This Row],[Duration]]*12</f>
        <v>0</v>
      </c>
      <c r="M196" s="82" t="s">
        <v>178</v>
      </c>
      <c r="N196" s="106" t="str">
        <f>IF(AND(Table1[[#This Row],[ Type of Contract]]="ESCO",Table1[[#This Row],[Status Detail]]="ACTIVE"),"yes","no")</f>
        <v>no</v>
      </c>
      <c r="O196" s="106" t="s">
        <v>982</v>
      </c>
      <c r="P196" s="106"/>
      <c r="Q196" s="105"/>
      <c r="R196" s="54" t="s">
        <v>7</v>
      </c>
      <c r="S196" s="54" t="s">
        <v>525</v>
      </c>
      <c r="T196" s="54" t="s">
        <v>70</v>
      </c>
      <c r="U196" s="54"/>
      <c r="V196" s="54">
        <v>930588028</v>
      </c>
      <c r="W196" s="119" t="str">
        <f>IF(Table1[[#This Row],[Maintenance]]="yes",IF(OR(Table1[[#This Row],[Start Contract]]="",Table1[[#This Row],[Duration Month2]]=""),"",EDATE(Table1[[#This Row],[Start Contract]],Table1[[#This Row],[Duration Month2]])),"-")</f>
        <v>-</v>
      </c>
      <c r="X196" s="115" t="str">
        <f>IF(OR((W196=""),(W196="-")),"",YEAR(Table1[[#This Row],[End Contract]]))</f>
        <v/>
      </c>
      <c r="Y196" s="54" t="str">
        <f ca="1">IF(Table1[[#This Row],[Maintenance]]="yes",IF(Table1[[#This Row],[End Contract]]="","no",IF(TODAY()&lt;=Table1[[#This Row],[End Contract]],"yes","no")),"no")</f>
        <v>no</v>
      </c>
      <c r="Z196" s="54"/>
      <c r="AA196" s="54"/>
      <c r="AB196" s="54"/>
    </row>
    <row r="197" spans="1:28" x14ac:dyDescent="0.3">
      <c r="A197" s="71">
        <v>192</v>
      </c>
      <c r="B197" s="127" t="s">
        <v>983</v>
      </c>
      <c r="C197" s="72" t="s">
        <v>984</v>
      </c>
      <c r="D197" s="64">
        <v>500883106</v>
      </c>
      <c r="E197" s="81" t="s">
        <v>985</v>
      </c>
      <c r="F197" s="89" t="s">
        <v>9</v>
      </c>
      <c r="G197" s="89">
        <v>32</v>
      </c>
      <c r="H197" s="81">
        <v>18.2</v>
      </c>
      <c r="I197" s="139" t="s">
        <v>8</v>
      </c>
      <c r="J197" s="115" t="str">
        <f t="shared" si="1"/>
        <v>Cliente</v>
      </c>
      <c r="K197" s="81">
        <v>0</v>
      </c>
      <c r="L197" s="115">
        <f>Table1[[#This Row],[Duration]]*12</f>
        <v>0</v>
      </c>
      <c r="M197" s="82" t="s">
        <v>178</v>
      </c>
      <c r="N197" s="46" t="str">
        <f>IF(AND(Table1[[#This Row],[ Type of Contract]]="ESCO",Table1[[#This Row],[Status Detail]]="ACTIVE"),"yes","no")</f>
        <v>no</v>
      </c>
      <c r="O197" s="106"/>
      <c r="P197" s="106"/>
      <c r="Q197" s="105"/>
      <c r="R197" s="54" t="s">
        <v>7</v>
      </c>
      <c r="S197" s="54"/>
      <c r="T197" s="54"/>
      <c r="U197" s="54"/>
      <c r="V197" s="54"/>
      <c r="W197" s="119" t="str">
        <f>IF(Table1[[#This Row],[Maintenance]]="yes",IF(OR(Table1[[#This Row],[Start Contract]]="",Table1[[#This Row],[Duration Month2]]=""),"",EDATE(Table1[[#This Row],[Start Contract]],Table1[[#This Row],[Duration Month2]])),"-")</f>
        <v>-</v>
      </c>
      <c r="X197" s="115" t="str">
        <f>IF(OR((W197=""),(W197="-")),"",YEAR(Table1[[#This Row],[End Contract]]))</f>
        <v/>
      </c>
      <c r="Y197" s="54" t="str">
        <f ca="1">IF(Table1[[#This Row],[Maintenance]]="yes",IF(Table1[[#This Row],[End Contract]]="","no",IF(TODAY()&lt;=Table1[[#This Row],[End Contract]],"yes","no")),"no")</f>
        <v>no</v>
      </c>
      <c r="Z197" s="54"/>
      <c r="AA197" s="54"/>
      <c r="AB197" s="54"/>
    </row>
    <row r="198" spans="1:28" ht="27.6" customHeight="1" x14ac:dyDescent="0.3">
      <c r="A198" s="71">
        <v>193</v>
      </c>
      <c r="B198" s="127" t="s">
        <v>986</v>
      </c>
      <c r="C198" s="72" t="s">
        <v>987</v>
      </c>
      <c r="D198" s="136">
        <v>501263870</v>
      </c>
      <c r="E198" s="134" t="s">
        <v>988</v>
      </c>
      <c r="F198" s="89" t="s">
        <v>989</v>
      </c>
      <c r="G198" s="137">
        <v>90</v>
      </c>
      <c r="H198" s="138" t="s">
        <v>990</v>
      </c>
      <c r="I198" s="139" t="s">
        <v>8</v>
      </c>
      <c r="J198" s="115" t="str">
        <f t="shared" si="1"/>
        <v>Cliente</v>
      </c>
      <c r="K198" s="81">
        <v>0</v>
      </c>
      <c r="L198" s="115">
        <f>Table1[[#This Row],[Duration]]*12</f>
        <v>0</v>
      </c>
      <c r="M198" s="82" t="s">
        <v>178</v>
      </c>
      <c r="N198" s="106" t="str">
        <f>IF(AND(Table1[[#This Row],[ Type of Contract]]="ESCO",Table1[[#This Row],[Status Detail]]="ACTIVE"),"yes","no")</f>
        <v>no</v>
      </c>
      <c r="O198" s="106" t="s">
        <v>991</v>
      </c>
      <c r="P198" s="106"/>
      <c r="Q198" s="105"/>
      <c r="R198" s="54" t="s">
        <v>7</v>
      </c>
      <c r="S198" s="54" t="s">
        <v>992</v>
      </c>
      <c r="T198" s="54"/>
      <c r="U198" s="54"/>
      <c r="V198" s="73" t="s">
        <v>993</v>
      </c>
      <c r="W198" s="119" t="str">
        <f>IF(Table1[[#This Row],[Maintenance]]="yes",IF(OR(Table1[[#This Row],[Start Contract]]="",Table1[[#This Row],[Duration Month2]]=""),"",EDATE(Table1[[#This Row],[Start Contract]],Table1[[#This Row],[Duration Month2]])),"-")</f>
        <v>-</v>
      </c>
      <c r="X198" s="115" t="str">
        <f>IF(OR((W198=""),(W198="-")),"",YEAR(Table1[[#This Row],[End Contract]]))</f>
        <v/>
      </c>
      <c r="Y198" s="54" t="str">
        <f ca="1">IF(Table1[[#This Row],[Maintenance]]="yes",IF(Table1[[#This Row],[End Contract]]="","no",IF(TODAY()&lt;=Table1[[#This Row],[End Contract]],"yes","no")),"no")</f>
        <v>no</v>
      </c>
      <c r="Z198" s="54"/>
      <c r="AA198" s="54"/>
      <c r="AB198" s="54"/>
    </row>
    <row r="199" spans="1:28" x14ac:dyDescent="0.3">
      <c r="A199" s="71">
        <v>194</v>
      </c>
      <c r="B199" s="127" t="s">
        <v>994</v>
      </c>
      <c r="C199" s="72" t="s">
        <v>995</v>
      </c>
      <c r="D199" s="64">
        <v>500827540</v>
      </c>
      <c r="E199" s="81" t="s">
        <v>996</v>
      </c>
      <c r="F199" s="89" t="s">
        <v>9</v>
      </c>
      <c r="G199" s="89">
        <v>420</v>
      </c>
      <c r="H199" s="81">
        <v>241.5</v>
      </c>
      <c r="I199" s="139" t="s">
        <v>8</v>
      </c>
      <c r="J199" s="115" t="str">
        <f t="shared" si="1"/>
        <v>Cliente</v>
      </c>
      <c r="K199" s="81">
        <v>0</v>
      </c>
      <c r="L199" s="115">
        <f>Table1[[#This Row],[Duration]]*12</f>
        <v>0</v>
      </c>
      <c r="M199" s="82"/>
      <c r="N199" s="46" t="str">
        <f>IF(AND(Table1[[#This Row],[ Type of Contract]]="ESCO",Table1[[#This Row],[Status Detail]]="ACTIVE"),"yes","no")</f>
        <v>no</v>
      </c>
      <c r="O199" s="106"/>
      <c r="P199" s="106"/>
      <c r="Q199" s="105"/>
      <c r="R199" s="54" t="s">
        <v>7</v>
      </c>
      <c r="S199" s="54" t="s">
        <v>997</v>
      </c>
      <c r="T199" s="54" t="s">
        <v>70</v>
      </c>
      <c r="U199" s="54" t="s">
        <v>998</v>
      </c>
      <c r="V199" s="54">
        <v>969026695</v>
      </c>
      <c r="W199" s="119" t="str">
        <f>IF(Table1[[#This Row],[Maintenance]]="yes",IF(OR(Table1[[#This Row],[Start Contract]]="",Table1[[#This Row],[Duration Month2]]=""),"",EDATE(Table1[[#This Row],[Start Contract]],Table1[[#This Row],[Duration Month2]])),"-")</f>
        <v>-</v>
      </c>
      <c r="X199" s="115" t="str">
        <f>IF(OR((W199=""),(W199="-")),"",YEAR(Table1[[#This Row],[End Contract]]))</f>
        <v/>
      </c>
      <c r="Y199" s="54" t="str">
        <f ca="1">IF(Table1[[#This Row],[Maintenance]]="yes",IF(Table1[[#This Row],[End Contract]]="","no",IF(TODAY()&lt;=Table1[[#This Row],[End Contract]],"yes","no")),"no")</f>
        <v>no</v>
      </c>
      <c r="Z199" s="54"/>
      <c r="AA199" s="54"/>
      <c r="AB199" s="54"/>
    </row>
    <row r="200" spans="1:28" x14ac:dyDescent="0.3">
      <c r="A200" s="71">
        <v>195</v>
      </c>
      <c r="B200" s="146" t="s">
        <v>999</v>
      </c>
      <c r="C200" s="163" t="s">
        <v>1000</v>
      </c>
      <c r="D200" s="186" t="s">
        <v>1001</v>
      </c>
      <c r="E200" s="187" t="s">
        <v>1002</v>
      </c>
      <c r="F200" s="171" t="s">
        <v>17</v>
      </c>
      <c r="G200" s="188">
        <v>244</v>
      </c>
      <c r="H200" s="189">
        <v>310.10000000000002</v>
      </c>
      <c r="I200" s="191" t="s">
        <v>8</v>
      </c>
      <c r="J200" s="182" t="str">
        <f t="shared" si="1"/>
        <v>Cliente</v>
      </c>
      <c r="K200" s="155">
        <v>3</v>
      </c>
      <c r="L200" s="182">
        <f>Table1[[#This Row],[Duration]]*12</f>
        <v>36</v>
      </c>
      <c r="M200" s="156">
        <v>45809</v>
      </c>
      <c r="N200" s="173" t="s">
        <v>77</v>
      </c>
      <c r="O200" s="173" t="s">
        <v>53</v>
      </c>
      <c r="P200" s="173"/>
      <c r="Q200" s="172" t="s">
        <v>1003</v>
      </c>
      <c r="R200" s="143" t="s">
        <v>7</v>
      </c>
      <c r="S200" s="144" t="s">
        <v>1004</v>
      </c>
      <c r="T200" s="143" t="s">
        <v>1005</v>
      </c>
      <c r="U200" s="149" t="s">
        <v>1006</v>
      </c>
      <c r="V200" s="144">
        <v>931789655</v>
      </c>
      <c r="W200" s="119">
        <f>IF(Table1[[#This Row],[Maintenance]]="yes",IF(OR(Table1[[#This Row],[Start Contract]]="",Table1[[#This Row],[Duration Month2]]=""),"",EDATE(Table1[[#This Row],[Start Contract]],Table1[[#This Row],[Duration Month2]])),"-")</f>
        <v>46905</v>
      </c>
      <c r="X200" s="115">
        <f>IF(OR((W200=""),(W200="-")),"",YEAR(Table1[[#This Row],[End Contract]]))</f>
        <v>2028</v>
      </c>
      <c r="Y200" s="54" t="str">
        <f ca="1">IF(Table1[[#This Row],[Maintenance]]="yes",IF(Table1[[#This Row],[End Contract]]="","no",IF(TODAY()&lt;=Table1[[#This Row],[End Contract]],"yes","no")),"no")</f>
        <v>yes</v>
      </c>
      <c r="Z200" s="54" t="e">
        <v>#VALUE!</v>
      </c>
      <c r="AA200" s="277" t="s">
        <v>178</v>
      </c>
      <c r="AB200" s="276" t="s">
        <v>1405</v>
      </c>
    </row>
    <row r="201" spans="1:28" x14ac:dyDescent="0.3">
      <c r="A201" s="71">
        <v>196</v>
      </c>
      <c r="B201" s="127" t="s">
        <v>1007</v>
      </c>
      <c r="C201" s="72" t="s">
        <v>1008</v>
      </c>
      <c r="D201" s="136">
        <v>500851875</v>
      </c>
      <c r="E201" s="134" t="s">
        <v>1009</v>
      </c>
      <c r="F201" s="89" t="s">
        <v>9</v>
      </c>
      <c r="G201" s="137">
        <v>58</v>
      </c>
      <c r="H201" s="138" t="s">
        <v>1010</v>
      </c>
      <c r="I201" s="139" t="s">
        <v>8</v>
      </c>
      <c r="J201" s="115" t="str">
        <f t="shared" si="1"/>
        <v>Cliente</v>
      </c>
      <c r="K201" s="81">
        <v>0</v>
      </c>
      <c r="L201" s="115">
        <f>Table1[[#This Row],[Duration]]*12</f>
        <v>0</v>
      </c>
      <c r="M201" s="82" t="s">
        <v>178</v>
      </c>
      <c r="N201" s="106" t="str">
        <f>IF(AND(Table1[[#This Row],[ Type of Contract]]="ESCO",Table1[[#This Row],[Status Detail]]="ACTIVE"),"yes","no")</f>
        <v>no</v>
      </c>
      <c r="O201" s="106" t="s">
        <v>517</v>
      </c>
      <c r="P201" s="106"/>
      <c r="Q201" s="105"/>
      <c r="R201" s="54" t="s">
        <v>7</v>
      </c>
      <c r="S201" s="122" t="s">
        <v>1011</v>
      </c>
      <c r="T201" s="54"/>
      <c r="U201" s="131" t="s">
        <v>1012</v>
      </c>
      <c r="V201" s="122">
        <v>966026086</v>
      </c>
      <c r="W201" s="119" t="str">
        <f>IF(Table1[[#This Row],[Maintenance]]="yes",IF(OR(Table1[[#This Row],[Start Contract]]="",Table1[[#This Row],[Duration Month2]]=""),"",EDATE(Table1[[#This Row],[Start Contract]],Table1[[#This Row],[Duration Month2]])),"-")</f>
        <v>-</v>
      </c>
      <c r="X201" s="115" t="str">
        <f>IF(OR((W201=""),(W201="-")),"",YEAR(Table1[[#This Row],[End Contract]]))</f>
        <v/>
      </c>
      <c r="Y201" s="54" t="str">
        <f ca="1">IF(Table1[[#This Row],[Maintenance]]="yes",IF(Table1[[#This Row],[End Contract]]="","no",IF(TODAY()&lt;=Table1[[#This Row],[End Contract]],"yes","no")),"no")</f>
        <v>no</v>
      </c>
      <c r="Z201" s="54"/>
      <c r="AA201" s="54"/>
      <c r="AB201" s="54"/>
    </row>
    <row r="202" spans="1:28" x14ac:dyDescent="0.3">
      <c r="A202" s="71">
        <v>197</v>
      </c>
      <c r="B202" s="127" t="s">
        <v>1013</v>
      </c>
      <c r="C202" s="72" t="s">
        <v>1014</v>
      </c>
      <c r="D202" s="136" t="s">
        <v>1015</v>
      </c>
      <c r="E202" s="134" t="s">
        <v>1016</v>
      </c>
      <c r="F202" s="89" t="s">
        <v>18</v>
      </c>
      <c r="G202" s="137">
        <v>140</v>
      </c>
      <c r="H202" s="138">
        <v>80.5</v>
      </c>
      <c r="I202" s="139" t="s">
        <v>8</v>
      </c>
      <c r="J202" s="115" t="str">
        <f t="shared" si="1"/>
        <v>Cliente</v>
      </c>
      <c r="K202" s="81">
        <v>0</v>
      </c>
      <c r="L202" s="115">
        <f>Table1[[#This Row],[Duration]]*12</f>
        <v>0</v>
      </c>
      <c r="M202" s="82" t="s">
        <v>178</v>
      </c>
      <c r="N202" s="106" t="str">
        <f>IF(AND(Table1[[#This Row],[ Type of Contract]]="ESCO",Table1[[#This Row],[Status Detail]]="ACTIVE"),"yes","no")</f>
        <v>no</v>
      </c>
      <c r="O202" s="106" t="s">
        <v>991</v>
      </c>
      <c r="P202" s="106"/>
      <c r="Q202" s="105"/>
      <c r="R202" s="54" t="s">
        <v>7</v>
      </c>
      <c r="S202" s="54" t="s">
        <v>1017</v>
      </c>
      <c r="T202" s="54"/>
      <c r="U202" s="132" t="s">
        <v>1018</v>
      </c>
      <c r="V202" s="54">
        <v>910240215</v>
      </c>
      <c r="W202" s="119" t="str">
        <f>IF(Table1[[#This Row],[Maintenance]]="yes",IF(OR(Table1[[#This Row],[Start Contract]]="",Table1[[#This Row],[Duration Month2]]=""),"",EDATE(Table1[[#This Row],[Start Contract]],Table1[[#This Row],[Duration Month2]])),"-")</f>
        <v>-</v>
      </c>
      <c r="X202" s="115" t="str">
        <f>IF(OR((W202=""),(W202="-")),"",YEAR(Table1[[#This Row],[End Contract]]))</f>
        <v/>
      </c>
      <c r="Y202" s="54" t="str">
        <f ca="1">IF(Table1[[#This Row],[Maintenance]]="yes",IF(Table1[[#This Row],[End Contract]]="","no",IF(TODAY()&lt;=Table1[[#This Row],[End Contract]],"yes","no")),"no")</f>
        <v>no</v>
      </c>
      <c r="Z202" s="54"/>
      <c r="AA202" s="54"/>
      <c r="AB202" s="54"/>
    </row>
    <row r="203" spans="1:28" x14ac:dyDescent="0.3">
      <c r="A203" s="71">
        <v>198</v>
      </c>
      <c r="B203" s="127" t="s">
        <v>1019</v>
      </c>
      <c r="C203" s="72" t="s">
        <v>1020</v>
      </c>
      <c r="D203" s="64">
        <v>504198599</v>
      </c>
      <c r="E203" s="134" t="s">
        <v>1021</v>
      </c>
      <c r="F203" s="89" t="s">
        <v>20</v>
      </c>
      <c r="G203" s="137">
        <v>60</v>
      </c>
      <c r="H203" s="138">
        <v>36</v>
      </c>
      <c r="I203" s="139" t="s">
        <v>8</v>
      </c>
      <c r="J203" s="115" t="str">
        <f t="shared" si="1"/>
        <v>Cliente</v>
      </c>
      <c r="K203" s="81">
        <v>0</v>
      </c>
      <c r="L203" s="115">
        <f>Table1[[#This Row],[Duration]]*12</f>
        <v>0</v>
      </c>
      <c r="M203" s="82" t="s">
        <v>178</v>
      </c>
      <c r="N203" s="106" t="str">
        <f>IF(AND(Table1[[#This Row],[ Type of Contract]]="ESCO",Table1[[#This Row],[Status Detail]]="ACTIVE"),"yes","no")</f>
        <v>no</v>
      </c>
      <c r="O203" s="106" t="s">
        <v>53</v>
      </c>
      <c r="P203" s="106"/>
      <c r="Q203" s="105"/>
      <c r="R203" s="54" t="s">
        <v>7</v>
      </c>
      <c r="S203" s="122" t="s">
        <v>1022</v>
      </c>
      <c r="T203" s="54" t="s">
        <v>1005</v>
      </c>
      <c r="U203" s="131" t="s">
        <v>1023</v>
      </c>
      <c r="V203" s="122">
        <v>937827105</v>
      </c>
      <c r="W203" s="119" t="str">
        <f>IF(Table1[[#This Row],[Maintenance]]="yes",IF(OR(Table1[[#This Row],[Start Contract]]="",Table1[[#This Row],[Duration Month2]]=""),"",EDATE(Table1[[#This Row],[Start Contract]],Table1[[#This Row],[Duration Month2]])),"-")</f>
        <v>-</v>
      </c>
      <c r="X203" s="115" t="str">
        <f>IF(OR((W203=""),(W203="-")),"",YEAR(Table1[[#This Row],[End Contract]]))</f>
        <v/>
      </c>
      <c r="Y203" s="54" t="str">
        <f ca="1">IF(Table1[[#This Row],[Maintenance]]="yes",IF(Table1[[#This Row],[End Contract]]="","no",IF(TODAY()&lt;=Table1[[#This Row],[End Contract]],"yes","no")),"no")</f>
        <v>no</v>
      </c>
      <c r="Z203" s="54"/>
      <c r="AA203" s="54"/>
      <c r="AB203" s="54"/>
    </row>
    <row r="204" spans="1:28" x14ac:dyDescent="0.3">
      <c r="A204" s="71">
        <v>199</v>
      </c>
      <c r="B204" s="127" t="s">
        <v>1420</v>
      </c>
      <c r="C204" s="72" t="s">
        <v>1025</v>
      </c>
      <c r="D204" s="136">
        <v>501665269</v>
      </c>
      <c r="E204" s="134" t="s">
        <v>1026</v>
      </c>
      <c r="F204" s="89" t="s">
        <v>20</v>
      </c>
      <c r="G204" s="137">
        <v>76</v>
      </c>
      <c r="H204" s="138">
        <v>44.84</v>
      </c>
      <c r="I204" s="139" t="s">
        <v>8</v>
      </c>
      <c r="J204" s="115" t="str">
        <f t="shared" si="1"/>
        <v>Cliente</v>
      </c>
      <c r="K204" s="81">
        <v>0</v>
      </c>
      <c r="L204" s="115">
        <f>Table1[[#This Row],[Duration]]*12</f>
        <v>0</v>
      </c>
      <c r="M204" s="82" t="s">
        <v>178</v>
      </c>
      <c r="N204" s="106" t="str">
        <f>IF(AND(Table1[[#This Row],[ Type of Contract]]="ESCO",Table1[[#This Row],[Status Detail]]="ACTIVE"),"yes","no")</f>
        <v>no</v>
      </c>
      <c r="O204" s="106" t="s">
        <v>207</v>
      </c>
      <c r="P204" s="106"/>
      <c r="Q204" s="105"/>
      <c r="R204" s="54" t="s">
        <v>7</v>
      </c>
      <c r="S204" s="54" t="s">
        <v>1027</v>
      </c>
      <c r="T204" s="54"/>
      <c r="U204" s="127" t="s">
        <v>1028</v>
      </c>
      <c r="V204" s="54" t="s">
        <v>1029</v>
      </c>
      <c r="W204" s="119" t="str">
        <f>IF(Table1[[#This Row],[Maintenance]]="yes",IF(OR(Table1[[#This Row],[Start Contract]]="",Table1[[#This Row],[Duration Month2]]=""),"",EDATE(Table1[[#This Row],[Start Contract]],Table1[[#This Row],[Duration Month2]])),"-")</f>
        <v>-</v>
      </c>
      <c r="X204" s="115" t="str">
        <f>IF(OR((W204=""),(W204="-")),"",YEAR(Table1[[#This Row],[End Contract]]))</f>
        <v/>
      </c>
      <c r="Y204" s="54" t="str">
        <f ca="1">IF(Table1[[#This Row],[Maintenance]]="yes",IF(Table1[[#This Row],[End Contract]]="","no",IF(TODAY()&lt;=Table1[[#This Row],[End Contract]],"yes","no")),"no")</f>
        <v>no</v>
      </c>
      <c r="Z204" s="54"/>
      <c r="AA204" s="54"/>
      <c r="AB204" s="54"/>
    </row>
    <row r="205" spans="1:28" x14ac:dyDescent="0.3">
      <c r="A205" s="71">
        <v>200</v>
      </c>
      <c r="B205" s="127" t="s">
        <v>1030</v>
      </c>
      <c r="C205" s="72" t="s">
        <v>1025</v>
      </c>
      <c r="D205" s="136">
        <v>501665269</v>
      </c>
      <c r="E205" s="134" t="s">
        <v>1031</v>
      </c>
      <c r="F205" s="89" t="s">
        <v>20</v>
      </c>
      <c r="G205" s="137">
        <v>34</v>
      </c>
      <c r="H205" s="138">
        <v>20.100000000000001</v>
      </c>
      <c r="I205" s="139" t="s">
        <v>8</v>
      </c>
      <c r="J205" s="115" t="str">
        <f t="shared" si="1"/>
        <v>Cliente</v>
      </c>
      <c r="K205" s="81">
        <v>0</v>
      </c>
      <c r="L205" s="115">
        <f>Table1[[#This Row],[Duration]]*12</f>
        <v>0</v>
      </c>
      <c r="M205" s="82" t="s">
        <v>178</v>
      </c>
      <c r="N205" s="106" t="str">
        <f>IF(AND(Table1[[#This Row],[ Type of Contract]]="ESCO",Table1[[#This Row],[Status Detail]]="ACTIVE"),"yes","no")</f>
        <v>no</v>
      </c>
      <c r="O205" s="106" t="s">
        <v>1032</v>
      </c>
      <c r="P205" s="106"/>
      <c r="Q205" s="105"/>
      <c r="R205" s="54" t="s">
        <v>7</v>
      </c>
      <c r="S205" s="54" t="s">
        <v>1027</v>
      </c>
      <c r="T205" s="54"/>
      <c r="U205" s="127" t="s">
        <v>1028</v>
      </c>
      <c r="V205" s="54" t="s">
        <v>1033</v>
      </c>
      <c r="W205" s="119" t="str">
        <f>IF(Table1[[#This Row],[Maintenance]]="yes",IF(OR(Table1[[#This Row],[Start Contract]]="",Table1[[#This Row],[Duration Month2]]=""),"",EDATE(Table1[[#This Row],[Start Contract]],Table1[[#This Row],[Duration Month2]])),"-")</f>
        <v>-</v>
      </c>
      <c r="X205" s="115" t="str">
        <f>IF(OR((W205=""),(W205="-")),"",YEAR(Table1[[#This Row],[End Contract]]))</f>
        <v/>
      </c>
      <c r="Y205" s="54" t="str">
        <f ca="1">IF(Table1[[#This Row],[Maintenance]]="yes",IF(Table1[[#This Row],[End Contract]]="","no",IF(TODAY()&lt;=Table1[[#This Row],[End Contract]],"yes","no")),"no")</f>
        <v>no</v>
      </c>
      <c r="Z205" s="54"/>
      <c r="AA205" s="54"/>
      <c r="AB205" s="54"/>
    </row>
    <row r="206" spans="1:28" x14ac:dyDescent="0.3">
      <c r="A206" s="71">
        <v>201</v>
      </c>
      <c r="B206" s="127" t="s">
        <v>1034</v>
      </c>
      <c r="C206" s="72" t="s">
        <v>1035</v>
      </c>
      <c r="D206" s="136" t="s">
        <v>1036</v>
      </c>
      <c r="E206" s="134" t="s">
        <v>1037</v>
      </c>
      <c r="F206" s="134" t="s">
        <v>12</v>
      </c>
      <c r="G206" s="137">
        <f>32*4</f>
        <v>128</v>
      </c>
      <c r="H206" s="138">
        <v>75.52</v>
      </c>
      <c r="I206" s="139" t="s">
        <v>8</v>
      </c>
      <c r="J206" s="115" t="str">
        <f t="shared" si="1"/>
        <v>Cliente</v>
      </c>
      <c r="K206" s="81">
        <v>0</v>
      </c>
      <c r="L206" s="115">
        <f>Table1[[#This Row],[Duration]]*12</f>
        <v>0</v>
      </c>
      <c r="M206" s="82" t="s">
        <v>178</v>
      </c>
      <c r="N206" s="106" t="str">
        <f>IF(AND(Table1[[#This Row],[ Type of Contract]]="ESCO",Table1[[#This Row],[Status Detail]]="ACTIVE"),"yes","no")</f>
        <v>no</v>
      </c>
      <c r="O206" s="106" t="s">
        <v>207</v>
      </c>
      <c r="P206" s="106"/>
      <c r="Q206" s="105"/>
      <c r="R206" s="54" t="s">
        <v>7</v>
      </c>
      <c r="S206" s="54" t="s">
        <v>902</v>
      </c>
      <c r="T206" s="54"/>
      <c r="U206" s="132" t="s">
        <v>1038</v>
      </c>
      <c r="V206" s="54">
        <v>919700084</v>
      </c>
      <c r="W206" s="119" t="str">
        <f>IF(Table1[[#This Row],[Maintenance]]="yes",IF(OR(Table1[[#This Row],[Start Contract]]="",Table1[[#This Row],[Duration Month2]]=""),"",EDATE(Table1[[#This Row],[Start Contract]],Table1[[#This Row],[Duration Month2]])),"-")</f>
        <v>-</v>
      </c>
      <c r="X206" s="115" t="str">
        <f>IF(OR((W206=""),(W206="-")),"",YEAR(Table1[[#This Row],[End Contract]]))</f>
        <v/>
      </c>
      <c r="Y206" s="54" t="str">
        <f ca="1">IF(Table1[[#This Row],[Maintenance]]="yes",IF(Table1[[#This Row],[End Contract]]="","no",IF(TODAY()&lt;=Table1[[#This Row],[End Contract]],"yes","no")),"no")</f>
        <v>no</v>
      </c>
      <c r="Z206" s="54"/>
      <c r="AA206" s="54"/>
      <c r="AB206" s="54"/>
    </row>
    <row r="207" spans="1:28" x14ac:dyDescent="0.3">
      <c r="A207" s="71">
        <v>202</v>
      </c>
      <c r="B207" s="127" t="s">
        <v>1039</v>
      </c>
      <c r="C207" s="72" t="s">
        <v>1040</v>
      </c>
      <c r="D207" s="136">
        <v>501241230</v>
      </c>
      <c r="E207" s="134" t="s">
        <v>1041</v>
      </c>
      <c r="F207" s="134" t="s">
        <v>9</v>
      </c>
      <c r="G207" s="137">
        <v>40</v>
      </c>
      <c r="H207" s="138" t="s">
        <v>1042</v>
      </c>
      <c r="I207" s="139" t="str">
        <f>IF(ISNUMBER(SEARCH("(EPC)",H207)),"EPC","ESCO")</f>
        <v>ESCO</v>
      </c>
      <c r="J207" s="115" t="str">
        <f t="shared" si="1"/>
        <v>Solcorelius</v>
      </c>
      <c r="K207" s="81">
        <v>10</v>
      </c>
      <c r="L207" s="115">
        <f>Table1[[#This Row],[Duration]]*12</f>
        <v>120</v>
      </c>
      <c r="M207" s="190">
        <v>46024</v>
      </c>
      <c r="N207" s="46" t="str">
        <f>IF(AND(Table1[[#This Row],[ Type of Contract]]="ESCO",Table1[[#This Row],[Status Detail]]="ACTIVE"),"yes","no")</f>
        <v>yes</v>
      </c>
      <c r="O207" s="106" t="s">
        <v>53</v>
      </c>
      <c r="P207" s="106"/>
      <c r="Q207" s="105"/>
      <c r="R207" s="54" t="s">
        <v>7</v>
      </c>
      <c r="S207" s="54"/>
      <c r="T207" s="54"/>
      <c r="U207" s="54" t="s">
        <v>1043</v>
      </c>
      <c r="V207" s="54"/>
      <c r="W207" s="119">
        <f>IF(Table1[[#This Row],[Maintenance]]="yes",IF(OR(Table1[[#This Row],[Start Contract]]="",Table1[[#This Row],[Duration Month2]]=""),"",EDATE(Table1[[#This Row],[Start Contract]],Table1[[#This Row],[Duration Month2]])),"-")</f>
        <v>49676</v>
      </c>
      <c r="X207" s="115">
        <f>IF(OR((W207=""),(W207="-")),"",YEAR(Table1[[#This Row],[End Contract]]))</f>
        <v>2036</v>
      </c>
      <c r="Y207" s="54" t="str">
        <f ca="1">IF(Table1[[#This Row],[Maintenance]]="yes",IF(Table1[[#This Row],[End Contract]]="","no",IF(TODAY()&lt;=Table1[[#This Row],[End Contract]],"yes","no")),"no")</f>
        <v>yes</v>
      </c>
      <c r="Z207" s="54"/>
      <c r="AA207" s="277">
        <v>7752</v>
      </c>
      <c r="AB207" s="54" t="s">
        <v>1409</v>
      </c>
    </row>
    <row r="208" spans="1:28" x14ac:dyDescent="0.3">
      <c r="A208" s="71">
        <v>203</v>
      </c>
      <c r="B208" s="127" t="s">
        <v>1044</v>
      </c>
      <c r="C208" s="61" t="s">
        <v>1045</v>
      </c>
      <c r="D208" s="64">
        <v>503078212</v>
      </c>
      <c r="E208" s="72" t="s">
        <v>1046</v>
      </c>
      <c r="F208" s="89" t="s">
        <v>16</v>
      </c>
      <c r="G208" s="89"/>
      <c r="H208" s="81"/>
      <c r="I208" s="139" t="s">
        <v>8</v>
      </c>
      <c r="J208" s="115" t="str">
        <f t="shared" si="1"/>
        <v>Cliente</v>
      </c>
      <c r="K208" s="81">
        <v>0</v>
      </c>
      <c r="L208" s="115">
        <f>Table1[[#This Row],[Duration]]*12</f>
        <v>0</v>
      </c>
      <c r="M208" s="82"/>
      <c r="N208" s="46" t="str">
        <f>IF(AND(Table1[[#This Row],[ Type of Contract]]="ESCO",Table1[[#This Row],[Status Detail]]="ACTIVE"),"yes","no")</f>
        <v>no</v>
      </c>
      <c r="O208" s="106"/>
      <c r="P208" s="106"/>
      <c r="Q208" s="105"/>
      <c r="R208" s="54" t="s">
        <v>10</v>
      </c>
      <c r="S208" s="54"/>
      <c r="T208" s="54"/>
      <c r="U208" s="54"/>
      <c r="V208" s="54"/>
      <c r="W208" s="119" t="str">
        <f>IF(Table1[[#This Row],[Maintenance]]="yes",IF(OR(Table1[[#This Row],[Start Contract]]="",Table1[[#This Row],[Duration Month2]]=""),"",EDATE(Table1[[#This Row],[Start Contract]],Table1[[#This Row],[Duration Month2]])),"-")</f>
        <v>-</v>
      </c>
      <c r="X208" s="115" t="str">
        <f>IF(OR((W208=""),(W208="-")),"",YEAR(Table1[[#This Row],[End Contract]]))</f>
        <v/>
      </c>
      <c r="Y208" s="54" t="str">
        <f ca="1">IF(Table1[[#This Row],[Maintenance]]="yes",IF(Table1[[#This Row],[End Contract]]="","no",IF(TODAY()&lt;=Table1[[#This Row],[End Contract]],"yes","no")),"no")</f>
        <v>no</v>
      </c>
      <c r="Z208" s="54"/>
      <c r="AA208" s="54"/>
      <c r="AB208" s="54"/>
    </row>
    <row r="209" spans="1:28" x14ac:dyDescent="0.3">
      <c r="A209" s="71">
        <v>204</v>
      </c>
      <c r="B209" s="127" t="s">
        <v>1417</v>
      </c>
      <c r="C209" s="72" t="s">
        <v>1048</v>
      </c>
      <c r="D209" s="135">
        <v>262588317</v>
      </c>
      <c r="E209" s="134" t="s">
        <v>1049</v>
      </c>
      <c r="F209" s="134" t="s">
        <v>16</v>
      </c>
      <c r="G209" s="137">
        <v>383</v>
      </c>
      <c r="H209" s="138">
        <v>226</v>
      </c>
      <c r="I209" s="139" t="s">
        <v>8</v>
      </c>
      <c r="J209" s="115" t="str">
        <f t="shared" si="1"/>
        <v>Cliente</v>
      </c>
      <c r="K209" s="81">
        <v>0</v>
      </c>
      <c r="L209" s="115">
        <f>Table1[[#This Row],[Duration]]*12</f>
        <v>0</v>
      </c>
      <c r="M209" s="82"/>
      <c r="N209" s="106" t="str">
        <f>IF(AND(Table1[[#This Row],[ Type of Contract]]="ESCO",Table1[[#This Row],[Status Detail]]="ACTIVE"),"yes","no")</f>
        <v>no</v>
      </c>
      <c r="O209" s="106" t="s">
        <v>53</v>
      </c>
      <c r="P209" s="106"/>
      <c r="Q209" s="105"/>
      <c r="R209" s="54" t="s">
        <v>7</v>
      </c>
      <c r="S209" s="54" t="s">
        <v>1050</v>
      </c>
      <c r="T209" s="54" t="s">
        <v>1051</v>
      </c>
      <c r="U209" s="132" t="s">
        <v>1052</v>
      </c>
      <c r="V209" s="127" t="s">
        <v>1053</v>
      </c>
      <c r="W209" s="119" t="str">
        <f>IF(Table1[[#This Row],[Maintenance]]="yes",IF(OR(Table1[[#This Row],[Start Contract]]="",Table1[[#This Row],[Duration Month2]]=""),"",EDATE(Table1[[#This Row],[Start Contract]],Table1[[#This Row],[Duration Month2]])),"-")</f>
        <v>-</v>
      </c>
      <c r="X209" s="115" t="str">
        <f>IF(OR((W209=""),(W209="-")),"",YEAR(Table1[[#This Row],[End Contract]]))</f>
        <v/>
      </c>
      <c r="Y209" s="54" t="str">
        <f ca="1">IF(Table1[[#This Row],[Maintenance]]="yes",IF(Table1[[#This Row],[End Contract]]="","no",IF(TODAY()&lt;=Table1[[#This Row],[End Contract]],"yes","no")),"no")</f>
        <v>no</v>
      </c>
      <c r="Z209" s="54"/>
      <c r="AA209" s="54"/>
      <c r="AB209" s="54"/>
    </row>
    <row r="210" spans="1:28" ht="27.6" customHeight="1" x14ac:dyDescent="0.3">
      <c r="A210" s="71">
        <v>205</v>
      </c>
      <c r="B210" s="146" t="s">
        <v>1054</v>
      </c>
      <c r="C210" s="163" t="s">
        <v>1055</v>
      </c>
      <c r="D210" s="186">
        <v>501237089</v>
      </c>
      <c r="E210" s="187" t="s">
        <v>1056</v>
      </c>
      <c r="F210" s="187" t="s">
        <v>19</v>
      </c>
      <c r="G210" s="188">
        <v>49</v>
      </c>
      <c r="H210" s="189" t="s">
        <v>1057</v>
      </c>
      <c r="I210" s="191" t="str">
        <f>IF(ISNUMBER(SEARCH("(EPC)",H210)),"EPC","ESCO")</f>
        <v>ESCO</v>
      </c>
      <c r="J210" s="182" t="str">
        <f t="shared" si="1"/>
        <v>Solcorelius</v>
      </c>
      <c r="K210" s="180">
        <v>10</v>
      </c>
      <c r="L210" s="182">
        <f>Table1[[#This Row],[Duration]]*12</f>
        <v>120</v>
      </c>
      <c r="M210" s="156">
        <v>45661</v>
      </c>
      <c r="N210" s="173" t="str">
        <f>IF(AND(Table1[[#This Row],[ Type of Contract]]="ESCO",Table1[[#This Row],[Status Detail]]="ACTIVE"),"yes","no")</f>
        <v>yes</v>
      </c>
      <c r="O210" s="173" t="s">
        <v>94</v>
      </c>
      <c r="P210" s="173"/>
      <c r="Q210" s="172"/>
      <c r="R210" s="173" t="s">
        <v>7</v>
      </c>
      <c r="S210" s="143" t="s">
        <v>1058</v>
      </c>
      <c r="T210" s="143" t="s">
        <v>1059</v>
      </c>
      <c r="U210" s="146" t="s">
        <v>1060</v>
      </c>
      <c r="V210" s="143">
        <v>919236838</v>
      </c>
      <c r="W210" s="119">
        <f>IF(Table1[[#This Row],[Maintenance]]="yes",IF(OR(Table1[[#This Row],[Start Contract]]="",Table1[[#This Row],[Duration Month2]]=""),"",EDATE(Table1[[#This Row],[Start Contract]],Table1[[#This Row],[Duration Month2]])),"-")</f>
        <v>49313</v>
      </c>
      <c r="X210" s="115">
        <f>IF(OR((W210=""),(W210="-")),"",YEAR(Table1[[#This Row],[End Contract]]))</f>
        <v>2035</v>
      </c>
      <c r="Y210" s="54" t="str">
        <f ca="1">IF(Table1[[#This Row],[Maintenance]]="yes",IF(Table1[[#This Row],[End Contract]]="","no",IF(TODAY()&lt;=Table1[[#This Row],[End Contract]],"yes","no")),"no")</f>
        <v>yes</v>
      </c>
      <c r="Z210" s="209" t="s">
        <v>1061</v>
      </c>
      <c r="AA210" s="277">
        <v>4428</v>
      </c>
      <c r="AB210" s="54" t="s">
        <v>1409</v>
      </c>
    </row>
    <row r="211" spans="1:28" x14ac:dyDescent="0.3">
      <c r="A211" s="71">
        <v>206</v>
      </c>
      <c r="B211" s="146" t="s">
        <v>1062</v>
      </c>
      <c r="C211" s="163" t="s">
        <v>1063</v>
      </c>
      <c r="D211" s="186">
        <v>501133267</v>
      </c>
      <c r="E211" s="187" t="s">
        <v>1064</v>
      </c>
      <c r="F211" s="187" t="s">
        <v>18</v>
      </c>
      <c r="G211" s="188">
        <v>72</v>
      </c>
      <c r="H211" s="189" t="s">
        <v>1065</v>
      </c>
      <c r="I211" s="191" t="s">
        <v>8</v>
      </c>
      <c r="J211" s="182" t="str">
        <f t="shared" si="1"/>
        <v>Cliente</v>
      </c>
      <c r="K211" s="155">
        <v>4</v>
      </c>
      <c r="L211" s="182">
        <f>Table1[[#This Row],[Duration]]*12</f>
        <v>48</v>
      </c>
      <c r="M211" s="156">
        <v>45719</v>
      </c>
      <c r="N211" s="173" t="s">
        <v>77</v>
      </c>
      <c r="O211" s="173" t="s">
        <v>53</v>
      </c>
      <c r="P211" s="173" t="s">
        <v>1386</v>
      </c>
      <c r="Q211" s="172" t="s">
        <v>1066</v>
      </c>
      <c r="R211" s="106" t="s">
        <v>7</v>
      </c>
      <c r="S211" s="143" t="s">
        <v>1067</v>
      </c>
      <c r="T211" s="143" t="s">
        <v>1068</v>
      </c>
      <c r="U211" s="147" t="s">
        <v>1069</v>
      </c>
      <c r="V211" s="144">
        <v>968252355</v>
      </c>
      <c r="W211" s="119">
        <f>IF(Table1[[#This Row],[Maintenance]]="yes",IF(OR(Table1[[#This Row],[Start Contract]]="",Table1[[#This Row],[Duration Month2]]=""),"",EDATE(Table1[[#This Row],[Start Contract]],Table1[[#This Row],[Duration Month2]])),"-")</f>
        <v>47180</v>
      </c>
      <c r="X211" s="115">
        <f>IF(OR((W211=""),(W211="-")),"",YEAR(Table1[[#This Row],[End Contract]]))</f>
        <v>2029</v>
      </c>
      <c r="Y211" s="54" t="str">
        <f ca="1">IF(Table1[[#This Row],[Maintenance]]="yes",IF(Table1[[#This Row],[End Contract]]="","no",IF(TODAY()&lt;=Table1[[#This Row],[End Contract]],"yes","no")),"no")</f>
        <v>yes</v>
      </c>
      <c r="Z211" s="54"/>
      <c r="AA211" s="277" t="s">
        <v>178</v>
      </c>
      <c r="AB211" s="276" t="s">
        <v>1405</v>
      </c>
    </row>
    <row r="212" spans="1:28" ht="27.6" customHeight="1" x14ac:dyDescent="0.3">
      <c r="A212" s="71">
        <v>207</v>
      </c>
      <c r="B212" s="127" t="s">
        <v>1433</v>
      </c>
      <c r="C212" s="127" t="s">
        <v>1071</v>
      </c>
      <c r="D212" s="127">
        <v>502377380</v>
      </c>
      <c r="E212" s="72" t="s">
        <v>1072</v>
      </c>
      <c r="F212" s="89" t="s">
        <v>12</v>
      </c>
      <c r="G212" s="89">
        <v>108</v>
      </c>
      <c r="H212" s="81">
        <v>63.7</v>
      </c>
      <c r="I212" s="139" t="str">
        <f>IF(ISNUMBER(SEARCH("(EPC)",H212)),"EPC","ESCO")</f>
        <v>ESCO</v>
      </c>
      <c r="J212" s="115" t="str">
        <f t="shared" si="1"/>
        <v>Solcorelius</v>
      </c>
      <c r="K212" s="81">
        <v>10</v>
      </c>
      <c r="L212" s="115">
        <f>Table1[[#This Row],[Duration]]*12</f>
        <v>120</v>
      </c>
      <c r="M212" s="177">
        <v>45778</v>
      </c>
      <c r="N212" s="106" t="str">
        <f>IF(AND(Table1[[#This Row],[ Type of Contract]]="ESCO",Table1[[#This Row],[Status Detail]]="ACTIVE"),"yes","no")</f>
        <v>yes</v>
      </c>
      <c r="O212" s="106" t="s">
        <v>94</v>
      </c>
      <c r="P212" s="106"/>
      <c r="Q212" s="105"/>
      <c r="R212" s="173" t="s">
        <v>7</v>
      </c>
      <c r="S212" s="54" t="s">
        <v>1073</v>
      </c>
      <c r="T212" s="54"/>
      <c r="U212" s="47" t="s">
        <v>1074</v>
      </c>
      <c r="V212" s="73" t="s">
        <v>1075</v>
      </c>
      <c r="W212" s="119">
        <f>IF(Table1[[#This Row],[Maintenance]]="yes",IF(OR(Table1[[#This Row],[Start Contract]]="",Table1[[#This Row],[Duration Month2]]=""),"",EDATE(Table1[[#This Row],[Start Contract]],Table1[[#This Row],[Duration Month2]])),"-")</f>
        <v>49430</v>
      </c>
      <c r="X212" s="115">
        <f>IF(OR((W212=""),(W212="-")),"",YEAR(Table1[[#This Row],[End Contract]]))</f>
        <v>2035</v>
      </c>
      <c r="Y212" s="54" t="str">
        <f ca="1">IF(Table1[[#This Row],[Maintenance]]="yes",IF(Table1[[#This Row],[End Contract]]="","no",IF(TODAY()&lt;=Table1[[#This Row],[End Contract]],"yes","no")),"no")</f>
        <v>yes</v>
      </c>
      <c r="Z212" s="54"/>
      <c r="AA212" s="277" t="s">
        <v>178</v>
      </c>
      <c r="AB212" s="276" t="s">
        <v>1406</v>
      </c>
    </row>
    <row r="213" spans="1:28" x14ac:dyDescent="0.3">
      <c r="A213" s="71">
        <v>208</v>
      </c>
      <c r="B213" s="127" t="s">
        <v>1076</v>
      </c>
      <c r="C213" s="61" t="s">
        <v>1077</v>
      </c>
      <c r="D213" s="64">
        <v>503894303</v>
      </c>
      <c r="E213" s="61" t="s">
        <v>1078</v>
      </c>
      <c r="F213" s="89" t="s">
        <v>16</v>
      </c>
      <c r="G213" s="89">
        <v>36</v>
      </c>
      <c r="H213" s="81">
        <v>21.2</v>
      </c>
      <c r="I213" s="139" t="s">
        <v>8</v>
      </c>
      <c r="J213" s="115" t="str">
        <f t="shared" si="1"/>
        <v>Cliente</v>
      </c>
      <c r="K213" s="81">
        <v>0</v>
      </c>
      <c r="L213" s="115">
        <f>Table1[[#This Row],[Duration]]*12</f>
        <v>0</v>
      </c>
      <c r="M213" s="82"/>
      <c r="N213" s="106" t="str">
        <f>IF(AND(Table1[[#This Row],[ Type of Contract]]="ESCO",Table1[[#This Row],[Status Detail]]="ACTIVE"),"yes","no")</f>
        <v>no</v>
      </c>
      <c r="O213" s="106" t="s">
        <v>53</v>
      </c>
      <c r="P213" s="106"/>
      <c r="Q213" s="105"/>
      <c r="R213" s="106" t="s">
        <v>7</v>
      </c>
      <c r="S213" s="54" t="s">
        <v>1079</v>
      </c>
      <c r="T213" s="54" t="s">
        <v>70</v>
      </c>
      <c r="U213" s="47" t="s">
        <v>1080</v>
      </c>
      <c r="V213" s="54">
        <v>917253231</v>
      </c>
      <c r="W213" s="119" t="str">
        <f>IF(Table1[[#This Row],[Maintenance]]="yes",IF(OR(Table1[[#This Row],[Start Contract]]="",Table1[[#This Row],[Duration Month2]]=""),"",EDATE(Table1[[#This Row],[Start Contract]],Table1[[#This Row],[Duration Month2]])),"-")</f>
        <v>-</v>
      </c>
      <c r="X213" s="115" t="str">
        <f>IF(OR((W213=""),(W213="-")),"",YEAR(Table1[[#This Row],[End Contract]]))</f>
        <v/>
      </c>
      <c r="Y213" s="54" t="str">
        <f ca="1">IF(Table1[[#This Row],[Maintenance]]="yes",IF(Table1[[#This Row],[End Contract]]="","no",IF(TODAY()&lt;=Table1[[#This Row],[End Contract]],"yes","no")),"no")</f>
        <v>no</v>
      </c>
      <c r="Z213" s="54"/>
      <c r="AA213" s="54"/>
      <c r="AB213" s="54"/>
    </row>
    <row r="214" spans="1:28" x14ac:dyDescent="0.3">
      <c r="A214" s="71">
        <v>209</v>
      </c>
      <c r="B214" s="127" t="s">
        <v>1081</v>
      </c>
      <c r="C214" s="127" t="s">
        <v>1082</v>
      </c>
      <c r="D214" s="127">
        <v>503756075</v>
      </c>
      <c r="E214" s="127" t="s">
        <v>1083</v>
      </c>
      <c r="F214" s="89" t="s">
        <v>18</v>
      </c>
      <c r="G214" s="89">
        <v>240</v>
      </c>
      <c r="H214" s="81">
        <v>141.6</v>
      </c>
      <c r="I214" s="139" t="s">
        <v>8</v>
      </c>
      <c r="J214" s="115" t="str">
        <f t="shared" si="1"/>
        <v>Cliente</v>
      </c>
      <c r="K214" s="81">
        <v>0</v>
      </c>
      <c r="L214" s="115">
        <f>Table1[[#This Row],[Duration]]*12</f>
        <v>0</v>
      </c>
      <c r="M214" s="82"/>
      <c r="N214" s="106" t="str">
        <f>IF(AND(Table1[[#This Row],[ Type of Contract]]="ESCO",Table1[[#This Row],[Status Detail]]="ACTIVE"),"yes","no")</f>
        <v>no</v>
      </c>
      <c r="O214" s="106" t="s">
        <v>690</v>
      </c>
      <c r="P214" s="106"/>
      <c r="Q214" s="105"/>
      <c r="R214" s="173" t="s">
        <v>7</v>
      </c>
      <c r="S214" s="73" t="s">
        <v>1084</v>
      </c>
      <c r="T214" s="54"/>
      <c r="U214" s="132" t="s">
        <v>1085</v>
      </c>
      <c r="V214" s="54">
        <v>961897396</v>
      </c>
      <c r="W214" s="119" t="str">
        <f>IF(Table1[[#This Row],[Maintenance]]="yes",IF(OR(Table1[[#This Row],[Start Contract]]="",Table1[[#This Row],[Duration Month2]]=""),"",EDATE(Table1[[#This Row],[Start Contract]],Table1[[#This Row],[Duration Month2]])),"-")</f>
        <v>-</v>
      </c>
      <c r="X214" s="115" t="str">
        <f>IF(OR((W214=""),(W214="-")),"",YEAR(Table1[[#This Row],[End Contract]]))</f>
        <v/>
      </c>
      <c r="Y214" s="54" t="str">
        <f ca="1">IF(Table1[[#This Row],[Maintenance]]="yes",IF(Table1[[#This Row],[End Contract]]="","no",IF(TODAY()&lt;=Table1[[#This Row],[End Contract]],"yes","no")),"no")</f>
        <v>no</v>
      </c>
      <c r="Z214" s="54"/>
      <c r="AA214" s="54"/>
      <c r="AB214" s="54"/>
    </row>
    <row r="215" spans="1:28" x14ac:dyDescent="0.3">
      <c r="A215" s="71">
        <v>210</v>
      </c>
      <c r="B215" s="127" t="s">
        <v>1086</v>
      </c>
      <c r="C215" s="61" t="s">
        <v>1087</v>
      </c>
      <c r="D215" s="64">
        <v>516376560</v>
      </c>
      <c r="E215" s="81" t="s">
        <v>1088</v>
      </c>
      <c r="F215" s="89" t="s">
        <v>17</v>
      </c>
      <c r="G215" s="89">
        <v>192</v>
      </c>
      <c r="H215" s="81">
        <v>113.3</v>
      </c>
      <c r="I215" s="139" t="s">
        <v>8</v>
      </c>
      <c r="J215" s="115" t="str">
        <f t="shared" si="1"/>
        <v>Cliente</v>
      </c>
      <c r="K215" s="81">
        <v>0</v>
      </c>
      <c r="L215" s="115">
        <f>Table1[[#This Row],[Duration]]*12</f>
        <v>0</v>
      </c>
      <c r="M215" s="82"/>
      <c r="N215" s="46" t="str">
        <f>IF(AND(Table1[[#This Row],[ Type of Contract]]="ESCO",Table1[[#This Row],[Status Detail]]="ACTIVE"),"yes","no")</f>
        <v>no</v>
      </c>
      <c r="O215" s="106" t="s">
        <v>53</v>
      </c>
      <c r="P215" s="106"/>
      <c r="Q215" s="105"/>
      <c r="R215" s="106" t="s">
        <v>7</v>
      </c>
      <c r="S215" s="54" t="s">
        <v>1089</v>
      </c>
      <c r="T215" s="54" t="s">
        <v>70</v>
      </c>
      <c r="U215" s="47" t="s">
        <v>1090</v>
      </c>
      <c r="V215" s="54" t="s">
        <v>1091</v>
      </c>
      <c r="W215" s="119" t="str">
        <f>IF(Table1[[#This Row],[Maintenance]]="yes",IF(OR(Table1[[#This Row],[Start Contract]]="",Table1[[#This Row],[Duration Month2]]=""),"",EDATE(Table1[[#This Row],[Start Contract]],Table1[[#This Row],[Duration Month2]])),"-")</f>
        <v>-</v>
      </c>
      <c r="X215" s="115" t="str">
        <f>IF(OR((W215=""),(W215="-")),"",YEAR(Table1[[#This Row],[End Contract]]))</f>
        <v/>
      </c>
      <c r="Y215" s="54" t="str">
        <f ca="1">IF(Table1[[#This Row],[Maintenance]]="yes",IF(Table1[[#This Row],[End Contract]]="","no",IF(TODAY()&lt;=Table1[[#This Row],[End Contract]],"yes","no")),"no")</f>
        <v>no</v>
      </c>
      <c r="Z215" s="54"/>
      <c r="AA215" s="54"/>
      <c r="AB215" s="54"/>
    </row>
    <row r="216" spans="1:28" x14ac:dyDescent="0.3">
      <c r="A216" s="71">
        <v>211</v>
      </c>
      <c r="B216" s="127" t="s">
        <v>1092</v>
      </c>
      <c r="C216" s="61" t="s">
        <v>1093</v>
      </c>
      <c r="D216" s="57">
        <v>501951334</v>
      </c>
      <c r="E216" s="113" t="s">
        <v>1094</v>
      </c>
      <c r="F216" s="114" t="s">
        <v>19</v>
      </c>
      <c r="G216" s="114">
        <v>72</v>
      </c>
      <c r="H216" s="113">
        <v>42.5</v>
      </c>
      <c r="I216" s="139" t="s">
        <v>8</v>
      </c>
      <c r="J216" s="115" t="str">
        <f t="shared" si="1"/>
        <v>Cliente</v>
      </c>
      <c r="K216" s="113">
        <v>0</v>
      </c>
      <c r="L216" s="115">
        <f>Table1[[#This Row],[Duration]]*12</f>
        <v>0</v>
      </c>
      <c r="M216" s="116"/>
      <c r="N216" s="117" t="str">
        <f>IF(AND(Table1[[#This Row],[ Type of Contract]]="ESCO",Table1[[#This Row],[Status Detail]]="ACTIVE"),"yes","no")</f>
        <v>no</v>
      </c>
      <c r="O216" s="117" t="s">
        <v>207</v>
      </c>
      <c r="P216" s="117"/>
      <c r="Q216" s="118"/>
      <c r="R216" s="173" t="s">
        <v>7</v>
      </c>
      <c r="S216" s="54" t="s">
        <v>1095</v>
      </c>
      <c r="T216" s="54" t="s">
        <v>70</v>
      </c>
      <c r="U216" s="140" t="s">
        <v>1096</v>
      </c>
      <c r="V216" s="122">
        <v>933906607</v>
      </c>
      <c r="W216" s="119" t="str">
        <f>IF(Table1[[#This Row],[Maintenance]]="yes",IF(OR(Table1[[#This Row],[Start Contract]]="",Table1[[#This Row],[Duration Month2]]=""),"",EDATE(Table1[[#This Row],[Start Contract]],Table1[[#This Row],[Duration Month2]])),"-")</f>
        <v>-</v>
      </c>
      <c r="X216" s="115" t="str">
        <f>IF(OR((W216=""),(W216="-")),"",YEAR(Table1[[#This Row],[End Contract]]))</f>
        <v/>
      </c>
      <c r="Y216" s="54" t="str">
        <f ca="1">IF(Table1[[#This Row],[Maintenance]]="yes",IF(Table1[[#This Row],[End Contract]]="","no",IF(TODAY()&lt;=Table1[[#This Row],[End Contract]],"yes","no")),"no")</f>
        <v>no</v>
      </c>
      <c r="Z216" s="54"/>
      <c r="AA216" s="54"/>
      <c r="AB216" s="54"/>
    </row>
    <row r="217" spans="1:28" x14ac:dyDescent="0.3">
      <c r="A217" s="71">
        <v>212</v>
      </c>
      <c r="B217" s="71" t="s">
        <v>1097</v>
      </c>
      <c r="C217" s="127" t="s">
        <v>1098</v>
      </c>
      <c r="D217" s="127" t="s">
        <v>1099</v>
      </c>
      <c r="E217" s="127" t="s">
        <v>1100</v>
      </c>
      <c r="F217" s="114" t="s">
        <v>19</v>
      </c>
      <c r="G217" s="114">
        <v>60</v>
      </c>
      <c r="H217" s="113">
        <v>35.4</v>
      </c>
      <c r="I217" s="113" t="s">
        <v>11</v>
      </c>
      <c r="J217" s="115" t="str">
        <f t="shared" si="1"/>
        <v>Solcorelius</v>
      </c>
      <c r="K217" s="113">
        <v>10</v>
      </c>
      <c r="L217" s="115">
        <f>Table1[[#This Row],[Duration]]*12</f>
        <v>120</v>
      </c>
      <c r="M217" s="116"/>
      <c r="N217" s="117" t="str">
        <f>IF(AND(Table1[[#This Row],[ Type of Contract]]="ESCO",Table1[[#This Row],[Status Detail]]="ACTIVE"),"yes","no")</f>
        <v>no</v>
      </c>
      <c r="O217" s="46" t="s">
        <v>320</v>
      </c>
      <c r="P217" s="117"/>
      <c r="Q217" s="118"/>
      <c r="R217" s="106" t="s">
        <v>14</v>
      </c>
      <c r="S217" s="54" t="s">
        <v>1101</v>
      </c>
      <c r="T217" s="54" t="s">
        <v>70</v>
      </c>
      <c r="U217" s="54" t="s">
        <v>1102</v>
      </c>
      <c r="V217" s="54">
        <v>926031844</v>
      </c>
      <c r="W217" s="119" t="str">
        <f>IF(Table1[[#This Row],[Maintenance]]="yes",IF(OR(Table1[[#This Row],[Start Contract]]="",Table1[[#This Row],[Duration Month2]]=""),"",EDATE(Table1[[#This Row],[Start Contract]],Table1[[#This Row],[Duration Month2]])),"-")</f>
        <v>-</v>
      </c>
      <c r="X217" s="115" t="str">
        <f>IF(OR((W217=""),(W217="-")),"",YEAR(Table1[[#This Row],[End Contract]]))</f>
        <v/>
      </c>
      <c r="Y217" s="54" t="str">
        <f ca="1">IF(Table1[[#This Row],[Maintenance]]="yes",IF(Table1[[#This Row],[End Contract]]="","no",IF(TODAY()&lt;=Table1[[#This Row],[End Contract]],"yes","no")),"no")</f>
        <v>no</v>
      </c>
      <c r="Z217" s="54"/>
      <c r="AA217" s="54"/>
      <c r="AB217" s="54"/>
    </row>
    <row r="218" spans="1:28" x14ac:dyDescent="0.3">
      <c r="A218" s="71">
        <v>213</v>
      </c>
      <c r="B218" s="71" t="s">
        <v>1103</v>
      </c>
      <c r="C218" s="72" t="s">
        <v>1104</v>
      </c>
      <c r="D218" s="72">
        <v>503843814</v>
      </c>
      <c r="E218" s="113" t="s">
        <v>1105</v>
      </c>
      <c r="F218" s="114" t="s">
        <v>9</v>
      </c>
      <c r="G218" s="114">
        <v>281</v>
      </c>
      <c r="H218" s="113">
        <v>164</v>
      </c>
      <c r="I218" s="113" t="s">
        <v>8</v>
      </c>
      <c r="J218" s="115" t="str">
        <f t="shared" si="1"/>
        <v>Cliente</v>
      </c>
      <c r="K218" s="113">
        <v>0</v>
      </c>
      <c r="L218" s="115">
        <f>Table1[[#This Row],[Duration]]*12</f>
        <v>0</v>
      </c>
      <c r="M218" s="116"/>
      <c r="N218" s="46" t="str">
        <f>IF(AND(Table1[[#This Row],[ Type of Contract]]="ESCO",Table1[[#This Row],[Status Detail]]="ACTIVE"),"yes","no")</f>
        <v>no</v>
      </c>
      <c r="O218" s="117" t="s">
        <v>53</v>
      </c>
      <c r="P218" s="117"/>
      <c r="Q218" s="118"/>
      <c r="R218" s="173" t="s">
        <v>7</v>
      </c>
      <c r="S218" s="54" t="s">
        <v>1106</v>
      </c>
      <c r="T218" s="54" t="s">
        <v>70</v>
      </c>
      <c r="U218" s="54" t="s">
        <v>1107</v>
      </c>
      <c r="V218" s="54">
        <v>936718412</v>
      </c>
      <c r="W218" s="119" t="str">
        <f>IF(Table1[[#This Row],[Maintenance]]="yes",IF(OR(Table1[[#This Row],[Start Contract]]="",Table1[[#This Row],[Duration Month2]]=""),"",EDATE(Table1[[#This Row],[Start Contract]],Table1[[#This Row],[Duration Month2]])),"-")</f>
        <v>-</v>
      </c>
      <c r="X218" s="115" t="str">
        <f>IF(OR((W218=""),(W218="-")),"",YEAR(Table1[[#This Row],[End Contract]]))</f>
        <v/>
      </c>
      <c r="Y218" s="54" t="str">
        <f ca="1">IF(Table1[[#This Row],[Maintenance]]="yes",IF(Table1[[#This Row],[End Contract]]="","no",IF(TODAY()&lt;=Table1[[#This Row],[End Contract]],"yes","no")),"no")</f>
        <v>no</v>
      </c>
      <c r="Z218" s="54"/>
      <c r="AA218" s="54"/>
      <c r="AB218" s="54"/>
    </row>
    <row r="219" spans="1:28" x14ac:dyDescent="0.3">
      <c r="A219" s="71">
        <v>214</v>
      </c>
      <c r="B219" s="71" t="s">
        <v>1108</v>
      </c>
      <c r="C219" s="127" t="s">
        <v>1109</v>
      </c>
      <c r="D219" s="133">
        <v>502786639</v>
      </c>
      <c r="E219" s="127" t="s">
        <v>1110</v>
      </c>
      <c r="F219" s="114" t="s">
        <v>9</v>
      </c>
      <c r="G219" s="114">
        <v>730</v>
      </c>
      <c r="H219" s="113">
        <v>441.65</v>
      </c>
      <c r="I219" s="113" t="s">
        <v>8</v>
      </c>
      <c r="J219" s="115" t="str">
        <f t="shared" si="1"/>
        <v>Cliente</v>
      </c>
      <c r="K219" s="113">
        <v>0</v>
      </c>
      <c r="L219" s="115">
        <f>Table1[[#This Row],[Duration]]*12</f>
        <v>0</v>
      </c>
      <c r="M219" s="116"/>
      <c r="N219" s="46" t="str">
        <f>IF(AND(Table1[[#This Row],[ Type of Contract]]="ESCO",Table1[[#This Row],[Status Detail]]="ACTIVE"),"yes","no")</f>
        <v>no</v>
      </c>
      <c r="O219" s="117" t="s">
        <v>53</v>
      </c>
      <c r="P219" s="117"/>
      <c r="Q219" s="118"/>
      <c r="R219" s="106" t="s">
        <v>7</v>
      </c>
      <c r="S219" s="54"/>
      <c r="T219" s="54"/>
      <c r="U219" s="54"/>
      <c r="V219" s="54"/>
      <c r="W219" s="119" t="str">
        <f>IF(Table1[[#This Row],[Maintenance]]="yes",IF(OR(Table1[[#This Row],[Start Contract]]="",Table1[[#This Row],[Duration Month2]]=""),"",EDATE(Table1[[#This Row],[Start Contract]],Table1[[#This Row],[Duration Month2]])),"-")</f>
        <v>-</v>
      </c>
      <c r="X219" s="115" t="str">
        <f>IF(OR((W219=""),(W219="-")),"",YEAR(Table1[[#This Row],[End Contract]]))</f>
        <v/>
      </c>
      <c r="Y219" s="54" t="str">
        <f ca="1">IF(Table1[[#This Row],[Maintenance]]="yes",IF(Table1[[#This Row],[End Contract]]="","no",IF(TODAY()&lt;=Table1[[#This Row],[End Contract]],"yes","no")),"no")</f>
        <v>no</v>
      </c>
      <c r="Z219" s="54"/>
      <c r="AA219" s="54"/>
      <c r="AB219" s="54"/>
    </row>
    <row r="220" spans="1:28" x14ac:dyDescent="0.3">
      <c r="A220" s="71">
        <v>215</v>
      </c>
      <c r="B220" s="179" t="s">
        <v>1111</v>
      </c>
      <c r="C220" s="163" t="s">
        <v>1112</v>
      </c>
      <c r="D220" s="146">
        <v>514851317</v>
      </c>
      <c r="E220" s="187" t="s">
        <v>1113</v>
      </c>
      <c r="F220" s="181" t="s">
        <v>338</v>
      </c>
      <c r="G220" s="181">
        <v>28</v>
      </c>
      <c r="H220" s="180">
        <v>15</v>
      </c>
      <c r="I220" s="180" t="s">
        <v>8</v>
      </c>
      <c r="J220" s="182" t="str">
        <f t="shared" si="1"/>
        <v>Cliente</v>
      </c>
      <c r="K220" s="180">
        <v>1</v>
      </c>
      <c r="L220" s="182">
        <f>Table1[[#This Row],[Duration]]*12</f>
        <v>12</v>
      </c>
      <c r="M220" s="177">
        <v>46083</v>
      </c>
      <c r="N220" s="183" t="s">
        <v>77</v>
      </c>
      <c r="O220" s="183" t="s">
        <v>53</v>
      </c>
      <c r="P220" s="183" t="s">
        <v>1114</v>
      </c>
      <c r="Q220" s="184" t="s">
        <v>1115</v>
      </c>
      <c r="R220" s="173" t="s">
        <v>7</v>
      </c>
      <c r="S220" s="143" t="s">
        <v>1116</v>
      </c>
      <c r="T220" s="143" t="s">
        <v>1117</v>
      </c>
      <c r="U220" s="150" t="s">
        <v>1118</v>
      </c>
      <c r="V220" s="143">
        <v>938637661</v>
      </c>
      <c r="W220" s="119">
        <f>IF(Table1[[#This Row],[Maintenance]]="yes",IF(OR(Table1[[#This Row],[Start Contract]]="",Table1[[#This Row],[Duration Month2]]=""),"",EDATE(Table1[[#This Row],[Start Contract]],Table1[[#This Row],[Duration Month2]])),"-")</f>
        <v>46448</v>
      </c>
      <c r="X220" s="115">
        <f>IF(OR((W220=""),(W220="-")),"",YEAR(Table1[[#This Row],[End Contract]]))</f>
        <v>2027</v>
      </c>
      <c r="Y220" s="54" t="str">
        <f ca="1">IF(Table1[[#This Row],[Maintenance]]="yes",IF(Table1[[#This Row],[End Contract]]="","no",IF(TODAY()&lt;=Table1[[#This Row],[End Contract]],"yes","no")),"no")</f>
        <v>yes</v>
      </c>
      <c r="Z220" s="54" t="s">
        <v>1119</v>
      </c>
      <c r="AA220" s="277" t="s">
        <v>178</v>
      </c>
      <c r="AB220" s="276" t="s">
        <v>1405</v>
      </c>
    </row>
    <row r="221" spans="1:28" x14ac:dyDescent="0.3">
      <c r="A221" s="71">
        <v>216</v>
      </c>
      <c r="B221" s="71" t="s">
        <v>1120</v>
      </c>
      <c r="C221" s="127" t="s">
        <v>1121</v>
      </c>
      <c r="D221" s="127">
        <v>500342660</v>
      </c>
      <c r="E221" s="121" t="s">
        <v>1122</v>
      </c>
      <c r="F221" s="114" t="s">
        <v>20</v>
      </c>
      <c r="G221" s="114"/>
      <c r="H221" s="113"/>
      <c r="I221" s="113" t="s">
        <v>8</v>
      </c>
      <c r="J221" s="115" t="str">
        <f t="shared" si="1"/>
        <v>Cliente</v>
      </c>
      <c r="K221" s="113">
        <v>0</v>
      </c>
      <c r="L221" s="115">
        <f>Table1[[#This Row],[Duration]]*12</f>
        <v>0</v>
      </c>
      <c r="M221" s="116"/>
      <c r="N221" s="46" t="str">
        <f>IF(AND(Table1[[#This Row],[ Type of Contract]]="ESCO",Table1[[#This Row],[Status Detail]]="ACTIVE"),"yes","no")</f>
        <v>no</v>
      </c>
      <c r="O221" s="117" t="s">
        <v>1123</v>
      </c>
      <c r="P221" s="117"/>
      <c r="Q221" s="118"/>
      <c r="R221" s="106" t="s">
        <v>7</v>
      </c>
      <c r="S221" s="54" t="s">
        <v>1124</v>
      </c>
      <c r="T221" s="54"/>
      <c r="U221" s="47" t="s">
        <v>1125</v>
      </c>
      <c r="V221" s="54"/>
      <c r="W221" s="119" t="str">
        <f>IF(Table1[[#This Row],[Maintenance]]="yes",IF(OR(Table1[[#This Row],[Start Contract]]="",Table1[[#This Row],[Duration Month2]]=""),"",EDATE(Table1[[#This Row],[Start Contract]],Table1[[#This Row],[Duration Month2]])),"-")</f>
        <v>-</v>
      </c>
      <c r="X221" s="115" t="str">
        <f>IF(OR((W221=""),(W221="-")),"",YEAR(Table1[[#This Row],[End Contract]]))</f>
        <v/>
      </c>
      <c r="Y221" s="54" t="str">
        <f ca="1">IF(Table1[[#This Row],[Maintenance]]="yes",IF(Table1[[#This Row],[End Contract]]="","no",IF(TODAY()&lt;=Table1[[#This Row],[End Contract]],"yes","no")),"no")</f>
        <v>no</v>
      </c>
      <c r="Z221" s="54"/>
      <c r="AA221" s="54"/>
      <c r="AB221" s="54"/>
    </row>
    <row r="222" spans="1:28" x14ac:dyDescent="0.3">
      <c r="A222" s="71">
        <v>217</v>
      </c>
      <c r="B222" s="71" t="s">
        <v>1126</v>
      </c>
      <c r="C222" s="72" t="s">
        <v>1127</v>
      </c>
      <c r="D222" s="72">
        <v>501066314</v>
      </c>
      <c r="E222" s="113" t="s">
        <v>1128</v>
      </c>
      <c r="F222" s="114" t="s">
        <v>16</v>
      </c>
      <c r="G222" s="114">
        <v>51</v>
      </c>
      <c r="H222" s="113">
        <v>29.8</v>
      </c>
      <c r="I222" s="113" t="s">
        <v>8</v>
      </c>
      <c r="J222" s="115" t="str">
        <f t="shared" si="1"/>
        <v>Cliente</v>
      </c>
      <c r="K222" s="113">
        <v>0</v>
      </c>
      <c r="L222" s="115">
        <f>Table1[[#This Row],[Duration]]*12</f>
        <v>0</v>
      </c>
      <c r="M222" s="116"/>
      <c r="N222" s="46" t="str">
        <f>IF(AND(Table1[[#This Row],[ Type of Contract]]="ESCO",Table1[[#This Row],[Status Detail]]="ACTIVE"),"yes","no")</f>
        <v>no</v>
      </c>
      <c r="O222" s="117" t="s">
        <v>53</v>
      </c>
      <c r="P222" s="117" t="s">
        <v>61</v>
      </c>
      <c r="Q222" s="118"/>
      <c r="R222" s="173" t="s">
        <v>7</v>
      </c>
      <c r="S222" s="54" t="s">
        <v>1129</v>
      </c>
      <c r="T222" s="54"/>
      <c r="U222" s="47" t="s">
        <v>1130</v>
      </c>
      <c r="V222" s="54">
        <v>965184560</v>
      </c>
      <c r="W222" s="119" t="str">
        <f>IF(Table1[[#This Row],[Maintenance]]="yes",IF(OR(Table1[[#This Row],[Start Contract]]="",Table1[[#This Row],[Duration Month2]]=""),"",EDATE(Table1[[#This Row],[Start Contract]],Table1[[#This Row],[Duration Month2]])),"-")</f>
        <v>-</v>
      </c>
      <c r="X222" s="115" t="str">
        <f>IF(OR((W222=""),(W222="-")),"",YEAR(Table1[[#This Row],[End Contract]]))</f>
        <v/>
      </c>
      <c r="Y222" s="54" t="str">
        <f ca="1">IF(Table1[[#This Row],[Maintenance]]="yes",IF(Table1[[#This Row],[End Contract]]="","no",IF(TODAY()&lt;=Table1[[#This Row],[End Contract]],"yes","no")),"no")</f>
        <v>no</v>
      </c>
      <c r="Z222" s="54"/>
      <c r="AA222" s="54"/>
      <c r="AB222" s="54"/>
    </row>
    <row r="223" spans="1:28" x14ac:dyDescent="0.3">
      <c r="A223" s="71">
        <v>218</v>
      </c>
      <c r="B223" s="71" t="s">
        <v>1131</v>
      </c>
      <c r="C223" s="72" t="s">
        <v>1132</v>
      </c>
      <c r="D223" s="72">
        <v>506282201</v>
      </c>
      <c r="E223" s="113" t="s">
        <v>1133</v>
      </c>
      <c r="F223" s="114" t="s">
        <v>20</v>
      </c>
      <c r="G223" s="114">
        <v>1044</v>
      </c>
      <c r="H223" s="113">
        <v>642.05999999999995</v>
      </c>
      <c r="I223" s="113" t="s">
        <v>8</v>
      </c>
      <c r="J223" s="115" t="str">
        <f t="shared" si="1"/>
        <v>Cliente</v>
      </c>
      <c r="K223" s="113">
        <v>1</v>
      </c>
      <c r="L223" s="115">
        <f>Table1[[#This Row],[Duration]]*12</f>
        <v>12</v>
      </c>
      <c r="M223" s="116">
        <v>45910</v>
      </c>
      <c r="N223" s="46" t="s">
        <v>77</v>
      </c>
      <c r="O223" s="117" t="s">
        <v>431</v>
      </c>
      <c r="P223" s="117" t="s">
        <v>1114</v>
      </c>
      <c r="Q223" s="118" t="s">
        <v>1134</v>
      </c>
      <c r="R223" s="106" t="s">
        <v>7</v>
      </c>
      <c r="S223" s="54" t="s">
        <v>1135</v>
      </c>
      <c r="T223" s="54" t="s">
        <v>1136</v>
      </c>
      <c r="U223" s="47" t="s">
        <v>1137</v>
      </c>
      <c r="V223" s="202" t="s">
        <v>1138</v>
      </c>
      <c r="W223" s="119">
        <f>IF(Table1[[#This Row],[Maintenance]]="yes",IF(OR(Table1[[#This Row],[Start Contract]]="",Table1[[#This Row],[Duration Month2]]=""),"",EDATE(Table1[[#This Row],[Start Contract]],Table1[[#This Row],[Duration Month2]])),"-")</f>
        <v>46275</v>
      </c>
      <c r="X223" s="115">
        <f>IF(OR((W223=""),(W223="-")),"",YEAR(Table1[[#This Row],[End Contract]]))</f>
        <v>2026</v>
      </c>
      <c r="Y223" s="54" t="str">
        <f ca="1">IF(Table1[[#This Row],[Maintenance]]="yes",IF(Table1[[#This Row],[End Contract]]="","no",IF(TODAY()&lt;=Table1[[#This Row],[End Contract]],"yes","no")),"no")</f>
        <v>yes</v>
      </c>
      <c r="Z223" s="54"/>
      <c r="AA223" s="277">
        <v>1200</v>
      </c>
      <c r="AB223" s="54" t="s">
        <v>1409</v>
      </c>
    </row>
    <row r="224" spans="1:28" x14ac:dyDescent="0.3">
      <c r="A224" s="71">
        <v>219</v>
      </c>
      <c r="B224" s="67" t="s">
        <v>1424</v>
      </c>
      <c r="C224" s="61" t="s">
        <v>1424</v>
      </c>
      <c r="D224" s="61">
        <v>507399870</v>
      </c>
      <c r="E224" s="81" t="s">
        <v>1140</v>
      </c>
      <c r="F224" s="89" t="s">
        <v>51</v>
      </c>
      <c r="G224" s="89">
        <v>34</v>
      </c>
      <c r="H224" s="81">
        <v>20.100000000000001</v>
      </c>
      <c r="I224" s="81" t="s">
        <v>8</v>
      </c>
      <c r="J224" s="115" t="str">
        <f t="shared" ref="J224:J252" si="2">IF(I224="ESCO", "Solcorelius", IF(I224="EPC", "Cliente", ""))</f>
        <v>Cliente</v>
      </c>
      <c r="K224" s="81">
        <v>0</v>
      </c>
      <c r="L224" s="115">
        <f>Table1[[#This Row],[Duration]]*12</f>
        <v>0</v>
      </c>
      <c r="M224" s="82"/>
      <c r="N224" s="106" t="str">
        <f>IF(AND(Table1[[#This Row],[ Type of Contract]]="ESCO",Table1[[#This Row],[Status Detail]]="ACTIVE"),"yes","no")</f>
        <v>no</v>
      </c>
      <c r="O224" s="106" t="s">
        <v>53</v>
      </c>
      <c r="P224" s="106"/>
      <c r="Q224" s="105"/>
      <c r="R224" s="173" t="s">
        <v>7</v>
      </c>
      <c r="S224" s="195" t="s">
        <v>1141</v>
      </c>
      <c r="T224" s="54"/>
      <c r="U224" s="198" t="s">
        <v>1142</v>
      </c>
      <c r="V224" s="54">
        <v>914290808</v>
      </c>
      <c r="W224" s="119" t="str">
        <f>IF(Table1[[#This Row],[Maintenance]]="yes",IF(OR(Table1[[#This Row],[Start Contract]]="",Table1[[#This Row],[Duration Month2]]=""),"",EDATE(Table1[[#This Row],[Start Contract]],Table1[[#This Row],[Duration Month2]])),"-")</f>
        <v>-</v>
      </c>
      <c r="X224" s="115" t="str">
        <f>IF(OR((W224=""),(W224="-")),"",YEAR(Table1[[#This Row],[End Contract]]))</f>
        <v/>
      </c>
      <c r="Y224" s="54" t="str">
        <f ca="1">IF(Table1[[#This Row],[Maintenance]]="yes",IF(Table1[[#This Row],[End Contract]]="","no",IF(TODAY()&lt;=Table1[[#This Row],[End Contract]],"yes","no")),"no")</f>
        <v>no</v>
      </c>
      <c r="Z224" s="54"/>
      <c r="AA224" s="54"/>
      <c r="AB224" s="54"/>
    </row>
    <row r="225" spans="1:28" x14ac:dyDescent="0.3">
      <c r="A225" s="71">
        <v>220</v>
      </c>
      <c r="B225" s="67" t="s">
        <v>1143</v>
      </c>
      <c r="C225" s="61" t="s">
        <v>1144</v>
      </c>
      <c r="D225" s="61">
        <v>515353094</v>
      </c>
      <c r="E225" s="81" t="s">
        <v>1145</v>
      </c>
      <c r="F225" s="89" t="s">
        <v>338</v>
      </c>
      <c r="G225" s="89">
        <v>103</v>
      </c>
      <c r="H225" s="81">
        <v>60.25</v>
      </c>
      <c r="I225" s="81" t="s">
        <v>8</v>
      </c>
      <c r="J225" s="115" t="str">
        <f t="shared" si="2"/>
        <v>Cliente</v>
      </c>
      <c r="K225" s="81">
        <v>0</v>
      </c>
      <c r="L225" s="115">
        <f>Table1[[#This Row],[Duration]]*12</f>
        <v>0</v>
      </c>
      <c r="M225" s="82"/>
      <c r="N225" s="106"/>
      <c r="O225" s="106" t="s">
        <v>53</v>
      </c>
      <c r="P225" s="106" t="s">
        <v>61</v>
      </c>
      <c r="Q225" s="105"/>
      <c r="R225" s="106" t="s">
        <v>7</v>
      </c>
      <c r="S225" s="54" t="s">
        <v>1146</v>
      </c>
      <c r="T225" s="54"/>
      <c r="U225" s="47" t="s">
        <v>1147</v>
      </c>
      <c r="V225" s="54">
        <v>911748832</v>
      </c>
      <c r="W225" s="119" t="str">
        <f>IF(Table1[[#This Row],[Maintenance]]="yes",IF(OR(Table1[[#This Row],[Start Contract]]="",Table1[[#This Row],[Duration Month2]]=""),"",EDATE(Table1[[#This Row],[Start Contract]],Table1[[#This Row],[Duration Month2]])),"-")</f>
        <v>-</v>
      </c>
      <c r="X225" s="115" t="str">
        <f>IF(OR((W225=""),(W225="-")),"",YEAR(Table1[[#This Row],[End Contract]]))</f>
        <v/>
      </c>
      <c r="Y225" s="54" t="str">
        <f ca="1">IF(Table1[[#This Row],[Maintenance]]="yes",IF(Table1[[#This Row],[End Contract]]="","no",IF(TODAY()&lt;=Table1[[#This Row],[End Contract]],"yes","no")),"no")</f>
        <v>no</v>
      </c>
      <c r="Z225" s="54"/>
      <c r="AA225" s="54"/>
      <c r="AB225" s="54"/>
    </row>
    <row r="226" spans="1:28" x14ac:dyDescent="0.3">
      <c r="A226" s="71">
        <v>221</v>
      </c>
      <c r="B226" s="67" t="s">
        <v>1148</v>
      </c>
      <c r="C226" s="61" t="s">
        <v>1149</v>
      </c>
      <c r="D226" s="61">
        <v>513298037</v>
      </c>
      <c r="E226" s="81" t="s">
        <v>1150</v>
      </c>
      <c r="F226" s="89" t="s">
        <v>21</v>
      </c>
      <c r="G226" s="89">
        <v>36</v>
      </c>
      <c r="H226" s="81">
        <v>21.2</v>
      </c>
      <c r="I226" s="81" t="s">
        <v>8</v>
      </c>
      <c r="J226" s="115" t="str">
        <f t="shared" si="2"/>
        <v>Cliente</v>
      </c>
      <c r="K226" s="81">
        <v>0</v>
      </c>
      <c r="L226" s="115">
        <f>Table1[[#This Row],[Duration]]*12</f>
        <v>0</v>
      </c>
      <c r="M226" s="82"/>
      <c r="N226" s="106" t="str">
        <f>IF(AND(Table1[[#This Row],[ Type of Contract]]="ESCO",Table1[[#This Row],[Status Detail]]="ACTIVE"),"yes","no")</f>
        <v>no</v>
      </c>
      <c r="O226" s="106"/>
      <c r="P226" s="106"/>
      <c r="Q226" s="105"/>
      <c r="R226" s="173" t="s">
        <v>7</v>
      </c>
      <c r="S226" s="54" t="s">
        <v>1151</v>
      </c>
      <c r="T226" s="54"/>
      <c r="U226" s="54" t="s">
        <v>1152</v>
      </c>
      <c r="V226" s="147">
        <v>927424914</v>
      </c>
      <c r="W226" s="119" t="str">
        <f>IF(Table1[[#This Row],[Maintenance]]="yes",IF(OR(Table1[[#This Row],[Start Contract]]="",Table1[[#This Row],[Duration Month2]]=""),"",EDATE(Table1[[#This Row],[Start Contract]],Table1[[#This Row],[Duration Month2]])),"-")</f>
        <v>-</v>
      </c>
      <c r="X226" s="115" t="str">
        <f>IF(OR((W226=""),(W226="-")),"",YEAR(Table1[[#This Row],[End Contract]]))</f>
        <v/>
      </c>
      <c r="Y226" s="54" t="str">
        <f ca="1">IF(Table1[[#This Row],[Maintenance]]="yes",IF(Table1[[#This Row],[End Contract]]="","no",IF(TODAY()&lt;=Table1[[#This Row],[End Contract]],"yes","no")),"no")</f>
        <v>no</v>
      </c>
      <c r="Z226" s="54"/>
      <c r="AA226" s="54"/>
      <c r="AB226" s="54"/>
    </row>
    <row r="227" spans="1:28" x14ac:dyDescent="0.3">
      <c r="A227" s="71">
        <v>222</v>
      </c>
      <c r="B227" s="67" t="s">
        <v>1153</v>
      </c>
      <c r="C227" s="61"/>
      <c r="D227" s="61"/>
      <c r="E227" s="81"/>
      <c r="F227" s="89"/>
      <c r="G227" s="89"/>
      <c r="H227" s="81"/>
      <c r="I227" s="81" t="s">
        <v>8</v>
      </c>
      <c r="J227" s="115" t="str">
        <f t="shared" si="2"/>
        <v>Cliente</v>
      </c>
      <c r="K227" s="81"/>
      <c r="L227" s="115">
        <f>Table1[[#This Row],[Duration]]*12</f>
        <v>0</v>
      </c>
      <c r="M227" s="82"/>
      <c r="N227" s="106" t="str">
        <f>IF(AND(Table1[[#This Row],[ Type of Contract]]="ESCO",Table1[[#This Row],[Status Detail]]="ACTIVE"),"yes","no")</f>
        <v>no</v>
      </c>
      <c r="O227" s="106"/>
      <c r="P227" s="106"/>
      <c r="Q227" s="105"/>
      <c r="R227" s="106" t="s">
        <v>10</v>
      </c>
      <c r="S227" s="54"/>
      <c r="T227" s="54"/>
      <c r="U227" s="54"/>
      <c r="V227" s="54"/>
      <c r="W227" s="119" t="str">
        <f>IF(Table1[[#This Row],[Maintenance]]="yes",IF(OR(Table1[[#This Row],[Start Contract]]="",Table1[[#This Row],[Duration Month2]]=""),"",EDATE(Table1[[#This Row],[Start Contract]],Table1[[#This Row],[Duration Month2]])),"-")</f>
        <v>-</v>
      </c>
      <c r="X227" s="115" t="str">
        <f>IF(OR((W227=""),(W227="-")),"",YEAR(Table1[[#This Row],[End Contract]]))</f>
        <v/>
      </c>
      <c r="Y227" s="54" t="str">
        <f ca="1">IF(Table1[[#This Row],[Maintenance]]="yes",IF(Table1[[#This Row],[End Contract]]="","no",IF(TODAY()&lt;=Table1[[#This Row],[End Contract]],"yes","no")),"no")</f>
        <v>no</v>
      </c>
      <c r="Z227" s="54"/>
      <c r="AA227" s="54"/>
      <c r="AB227" s="54"/>
    </row>
    <row r="228" spans="1:28" x14ac:dyDescent="0.3">
      <c r="A228" s="71">
        <v>223</v>
      </c>
      <c r="B228" s="67" t="s">
        <v>1154</v>
      </c>
      <c r="C228" s="61"/>
      <c r="D228" s="61"/>
      <c r="E228" s="81"/>
      <c r="F228" s="89"/>
      <c r="G228" s="89"/>
      <c r="H228" s="81"/>
      <c r="I228" s="81" t="s">
        <v>8</v>
      </c>
      <c r="J228" s="115" t="str">
        <f t="shared" si="2"/>
        <v>Cliente</v>
      </c>
      <c r="K228" s="81"/>
      <c r="L228" s="115">
        <f>Table1[[#This Row],[Duration]]*12</f>
        <v>0</v>
      </c>
      <c r="M228" s="82"/>
      <c r="N228" s="106" t="str">
        <f>IF(AND(Table1[[#This Row],[ Type of Contract]]="ESCO",Table1[[#This Row],[Status Detail]]="ACTIVE"),"yes","no")</f>
        <v>no</v>
      </c>
      <c r="O228" s="106"/>
      <c r="P228" s="106"/>
      <c r="Q228" s="105"/>
      <c r="R228" s="173" t="s">
        <v>10</v>
      </c>
      <c r="S228" s="54"/>
      <c r="T228" s="54"/>
      <c r="U228" s="54"/>
      <c r="V228" s="54"/>
      <c r="W228" s="119" t="str">
        <f>IF(Table1[[#This Row],[Maintenance]]="yes",IF(OR(Table1[[#This Row],[Start Contract]]="",Table1[[#This Row],[Duration Month2]]=""),"",EDATE(Table1[[#This Row],[Start Contract]],Table1[[#This Row],[Duration Month2]])),"-")</f>
        <v>-</v>
      </c>
      <c r="X228" s="115" t="str">
        <f>IF(OR((W228=""),(W228="-")),"",YEAR(Table1[[#This Row],[End Contract]]))</f>
        <v/>
      </c>
      <c r="Y228" s="54" t="str">
        <f ca="1">IF(Table1[[#This Row],[Maintenance]]="yes",IF(Table1[[#This Row],[End Contract]]="","no",IF(TODAY()&lt;=Table1[[#This Row],[End Contract]],"yes","no")),"no")</f>
        <v>no</v>
      </c>
      <c r="Z228" s="54"/>
      <c r="AA228" s="54"/>
      <c r="AB228" s="54"/>
    </row>
    <row r="229" spans="1:28" x14ac:dyDescent="0.3">
      <c r="A229" s="71">
        <v>224</v>
      </c>
      <c r="B229" s="67" t="s">
        <v>1155</v>
      </c>
      <c r="C229" s="81" t="s">
        <v>1156</v>
      </c>
      <c r="D229" s="61">
        <v>504223054</v>
      </c>
      <c r="E229" s="81" t="s">
        <v>1157</v>
      </c>
      <c r="F229" s="89" t="s">
        <v>18</v>
      </c>
      <c r="G229" s="89"/>
      <c r="H229" s="81">
        <v>56.2</v>
      </c>
      <c r="I229" s="81" t="s">
        <v>8</v>
      </c>
      <c r="J229" s="115" t="str">
        <f t="shared" si="2"/>
        <v>Cliente</v>
      </c>
      <c r="K229" s="81">
        <v>0</v>
      </c>
      <c r="L229" s="115">
        <f>Table1[[#This Row],[Duration]]*12</f>
        <v>0</v>
      </c>
      <c r="M229" s="82"/>
      <c r="N229" s="106" t="str">
        <f>IF(AND(Table1[[#This Row],[ Type of Contract]]="ESCO",Table1[[#This Row],[Status Detail]]="ACTIVE"),"yes","no")</f>
        <v>no</v>
      </c>
      <c r="O229" s="106" t="s">
        <v>207</v>
      </c>
      <c r="P229" s="106" t="s">
        <v>208</v>
      </c>
      <c r="Q229" s="105"/>
      <c r="R229" s="106" t="s">
        <v>7</v>
      </c>
      <c r="S229" s="54" t="s">
        <v>1158</v>
      </c>
      <c r="T229" s="54"/>
      <c r="U229" s="54" t="s">
        <v>1159</v>
      </c>
      <c r="V229" s="54" t="s">
        <v>1160</v>
      </c>
      <c r="W229" s="119" t="str">
        <f>IF(Table1[[#This Row],[Maintenance]]="yes",IF(OR(Table1[[#This Row],[Start Contract]]="",Table1[[#This Row],[Duration Month2]]=""),"",EDATE(Table1[[#This Row],[Start Contract]],Table1[[#This Row],[Duration Month2]])),"-")</f>
        <v>-</v>
      </c>
      <c r="X229" s="115" t="str">
        <f>IF(OR((W229=""),(W229="-")),"",YEAR(Table1[[#This Row],[End Contract]]))</f>
        <v/>
      </c>
      <c r="Y229" s="54" t="str">
        <f ca="1">IF(Table1[[#This Row],[Maintenance]]="yes",IF(Table1[[#This Row],[End Contract]]="","no",IF(TODAY()&lt;=Table1[[#This Row],[End Contract]],"yes","no")),"no")</f>
        <v>no</v>
      </c>
      <c r="Z229" s="54"/>
      <c r="AA229" s="54"/>
      <c r="AB229" s="54"/>
    </row>
    <row r="230" spans="1:28" x14ac:dyDescent="0.3">
      <c r="A230" s="71">
        <v>225</v>
      </c>
      <c r="B230" s="67" t="s">
        <v>1161</v>
      </c>
      <c r="C230" s="61" t="s">
        <v>1162</v>
      </c>
      <c r="D230" s="61">
        <v>510510507</v>
      </c>
      <c r="E230" s="81" t="s">
        <v>1163</v>
      </c>
      <c r="F230" s="89" t="s">
        <v>9</v>
      </c>
      <c r="G230" s="89">
        <v>44</v>
      </c>
      <c r="H230" s="81">
        <v>25.7</v>
      </c>
      <c r="I230" s="81" t="s">
        <v>8</v>
      </c>
      <c r="J230" s="115" t="str">
        <f t="shared" si="2"/>
        <v>Cliente</v>
      </c>
      <c r="K230" s="81">
        <v>0</v>
      </c>
      <c r="L230" s="115">
        <f>Table1[[#This Row],[Duration]]*12</f>
        <v>0</v>
      </c>
      <c r="M230" s="82"/>
      <c r="N230" s="106" t="str">
        <f>IF(AND(Table1[[#This Row],[ Type of Contract]]="ESCO",Table1[[#This Row],[Status Detail]]="ACTIVE"),"yes","no")</f>
        <v>no</v>
      </c>
      <c r="O230" s="106" t="s">
        <v>53</v>
      </c>
      <c r="P230" s="106" t="s">
        <v>61</v>
      </c>
      <c r="Q230" s="105"/>
      <c r="R230" s="173" t="s">
        <v>7</v>
      </c>
      <c r="S230" s="54" t="s">
        <v>1164</v>
      </c>
      <c r="T230" s="54"/>
      <c r="U230" s="47" t="s">
        <v>1165</v>
      </c>
      <c r="V230" s="54">
        <v>917769900</v>
      </c>
      <c r="W230" s="119" t="str">
        <f>IF(Table1[[#This Row],[Maintenance]]="yes",IF(OR(Table1[[#This Row],[Start Contract]]="",Table1[[#This Row],[Duration Month2]]=""),"",EDATE(Table1[[#This Row],[Start Contract]],Table1[[#This Row],[Duration Month2]])),"-")</f>
        <v>-</v>
      </c>
      <c r="X230" s="115" t="str">
        <f>IF(OR((W230=""),(W230="-")),"",YEAR(Table1[[#This Row],[End Contract]]))</f>
        <v/>
      </c>
      <c r="Y230" s="54" t="str">
        <f ca="1">IF(Table1[[#This Row],[Maintenance]]="yes",IF(Table1[[#This Row],[End Contract]]="","no",IF(TODAY()&lt;=Table1[[#This Row],[End Contract]],"yes","no")),"no")</f>
        <v>no</v>
      </c>
      <c r="Z230" s="54"/>
      <c r="AA230" s="54"/>
      <c r="AB230" s="54"/>
    </row>
    <row r="231" spans="1:28" ht="15.6" customHeight="1" x14ac:dyDescent="0.3">
      <c r="A231" s="71">
        <v>226</v>
      </c>
      <c r="B231" s="67" t="s">
        <v>1166</v>
      </c>
      <c r="C231" s="61" t="s">
        <v>1167</v>
      </c>
      <c r="D231" s="61">
        <v>501936270</v>
      </c>
      <c r="E231" s="81" t="s">
        <v>1168</v>
      </c>
      <c r="F231" s="89" t="s">
        <v>68</v>
      </c>
      <c r="G231" s="89"/>
      <c r="H231" s="81">
        <v>23.6</v>
      </c>
      <c r="I231" s="81" t="s">
        <v>8</v>
      </c>
      <c r="J231" s="115" t="str">
        <f t="shared" si="2"/>
        <v>Cliente</v>
      </c>
      <c r="K231" s="81">
        <v>0</v>
      </c>
      <c r="L231" s="115">
        <f>Table1[[#This Row],[Duration]]*12</f>
        <v>0</v>
      </c>
      <c r="M231" s="82"/>
      <c r="N231" s="106" t="str">
        <f>IF(AND(Table1[[#This Row],[ Type of Contract]]="ESCO",Table1[[#This Row],[Status Detail]]="ACTIVE"),"yes","no")</f>
        <v>no</v>
      </c>
      <c r="O231" s="106"/>
      <c r="P231" s="106"/>
      <c r="Q231" s="105"/>
      <c r="R231" s="106" t="s">
        <v>7</v>
      </c>
      <c r="S231" s="54" t="s">
        <v>1169</v>
      </c>
      <c r="T231" s="54"/>
      <c r="U231" s="54" t="s">
        <v>1170</v>
      </c>
      <c r="V231" s="196" t="s">
        <v>1171</v>
      </c>
      <c r="W231" s="119" t="str">
        <f>IF(Table1[[#This Row],[Maintenance]]="yes",IF(OR(Table1[[#This Row],[Start Contract]]="",Table1[[#This Row],[Duration Month2]]=""),"",EDATE(Table1[[#This Row],[Start Contract]],Table1[[#This Row],[Duration Month2]])),"-")</f>
        <v>-</v>
      </c>
      <c r="X231" s="115" t="str">
        <f>IF(OR((W231=""),(W231="-")),"",YEAR(Table1[[#This Row],[End Contract]]))</f>
        <v/>
      </c>
      <c r="Y231" s="54" t="str">
        <f ca="1">IF(Table1[[#This Row],[Maintenance]]="yes",IF(Table1[[#This Row],[End Contract]]="","no",IF(TODAY()&lt;=Table1[[#This Row],[End Contract]],"yes","no")),"no")</f>
        <v>no</v>
      </c>
      <c r="Z231" s="54"/>
      <c r="AA231" s="54"/>
      <c r="AB231" s="54"/>
    </row>
    <row r="232" spans="1:28" x14ac:dyDescent="0.3">
      <c r="A232" s="71">
        <v>227</v>
      </c>
      <c r="B232" s="67" t="s">
        <v>1172</v>
      </c>
      <c r="C232" s="67" t="s">
        <v>1173</v>
      </c>
      <c r="D232" s="61" t="s">
        <v>1174</v>
      </c>
      <c r="E232" s="81" t="s">
        <v>1175</v>
      </c>
      <c r="F232" s="89" t="s">
        <v>12</v>
      </c>
      <c r="G232" s="89">
        <v>125</v>
      </c>
      <c r="H232" s="81">
        <v>71.98</v>
      </c>
      <c r="I232" s="81" t="s">
        <v>8</v>
      </c>
      <c r="J232" s="115" t="str">
        <f t="shared" si="2"/>
        <v>Cliente</v>
      </c>
      <c r="K232" s="81">
        <v>0</v>
      </c>
      <c r="L232" s="115">
        <f>Table1[[#This Row],[Duration]]*12</f>
        <v>0</v>
      </c>
      <c r="M232" s="82"/>
      <c r="N232" s="106" t="str">
        <f>IF(AND(Table1[[#This Row],[ Type of Contract]]="ESCO",Table1[[#This Row],[Status Detail]]="ACTIVE"),"yes","no")</f>
        <v>no</v>
      </c>
      <c r="O232" s="106" t="s">
        <v>94</v>
      </c>
      <c r="P232" s="106" t="s">
        <v>61</v>
      </c>
      <c r="Q232" s="105"/>
      <c r="R232" s="173" t="s">
        <v>7</v>
      </c>
      <c r="S232" s="54" t="s">
        <v>1176</v>
      </c>
      <c r="T232" s="54" t="s">
        <v>310</v>
      </c>
      <c r="U232" s="198" t="s">
        <v>1177</v>
      </c>
      <c r="V232" s="54">
        <v>968033371</v>
      </c>
      <c r="W232" s="119" t="str">
        <f>IF(Table1[[#This Row],[Maintenance]]="yes",IF(OR(Table1[[#This Row],[Start Contract]]="",Table1[[#This Row],[Duration Month2]]=""),"",EDATE(Table1[[#This Row],[Start Contract]],Table1[[#This Row],[Duration Month2]])),"-")</f>
        <v>-</v>
      </c>
      <c r="X232" s="115" t="str">
        <f>IF(OR((W232=""),(W232="-")),"",YEAR(Table1[[#This Row],[End Contract]]))</f>
        <v/>
      </c>
      <c r="Y232" s="54" t="str">
        <f ca="1">IF(Table1[[#This Row],[Maintenance]]="yes",IF(Table1[[#This Row],[End Contract]]="","no",IF(TODAY()&lt;=Table1[[#This Row],[End Contract]],"yes","no")),"no")</f>
        <v>no</v>
      </c>
      <c r="Z232" s="54"/>
      <c r="AA232" s="54"/>
      <c r="AB232" s="54"/>
    </row>
    <row r="233" spans="1:28" x14ac:dyDescent="0.3">
      <c r="A233" s="71">
        <v>228</v>
      </c>
      <c r="B233" s="67" t="s">
        <v>1178</v>
      </c>
      <c r="C233" s="67" t="s">
        <v>1178</v>
      </c>
      <c r="D233">
        <v>262544636</v>
      </c>
      <c r="E233" s="81" t="s">
        <v>1179</v>
      </c>
      <c r="F233" s="89" t="s">
        <v>16</v>
      </c>
      <c r="G233" s="89">
        <v>128</v>
      </c>
      <c r="H233" s="81">
        <v>76.8</v>
      </c>
      <c r="I233" s="81" t="s">
        <v>8</v>
      </c>
      <c r="J233" s="115" t="str">
        <f t="shared" si="2"/>
        <v>Cliente</v>
      </c>
      <c r="K233" s="81">
        <v>0</v>
      </c>
      <c r="L233" s="115">
        <f>Table1[[#This Row],[Duration]]*12</f>
        <v>0</v>
      </c>
      <c r="M233" s="82"/>
      <c r="N233" s="106" t="str">
        <f>IF(AND(Table1[[#This Row],[ Type of Contract]]="ESCO",Table1[[#This Row],[Status Detail]]="ACTIVE"),"yes","no")</f>
        <v>no</v>
      </c>
      <c r="O233" s="106" t="s">
        <v>207</v>
      </c>
      <c r="P233" s="106" t="s">
        <v>1180</v>
      </c>
      <c r="Q233" s="105"/>
      <c r="R233" s="106" t="s">
        <v>7</v>
      </c>
      <c r="S233" s="54" t="s">
        <v>847</v>
      </c>
      <c r="T233" s="54"/>
      <c r="U233" s="54" t="s">
        <v>1181</v>
      </c>
      <c r="V233" s="54">
        <v>913529673</v>
      </c>
      <c r="W233" s="119" t="str">
        <f>IF(Table1[[#This Row],[Maintenance]]="yes",IF(OR(Table1[[#This Row],[Start Contract]]="",Table1[[#This Row],[Duration Month2]]=""),"",EDATE(Table1[[#This Row],[Start Contract]],Table1[[#This Row],[Duration Month2]])),"-")</f>
        <v>-</v>
      </c>
      <c r="X233" s="115" t="str">
        <f>IF(OR((W233=""),(W233="-")),"",YEAR(Table1[[#This Row],[End Contract]]))</f>
        <v/>
      </c>
      <c r="Y233" s="54" t="str">
        <f ca="1">IF(Table1[[#This Row],[Maintenance]]="yes",IF(Table1[[#This Row],[End Contract]]="","no",IF(TODAY()&lt;=Table1[[#This Row],[End Contract]],"yes","no")),"no")</f>
        <v>no</v>
      </c>
      <c r="Z233" s="54"/>
      <c r="AA233" s="54"/>
      <c r="AB233" s="54"/>
    </row>
    <row r="234" spans="1:28" x14ac:dyDescent="0.3">
      <c r="A234" s="71">
        <v>229</v>
      </c>
      <c r="B234" s="67" t="s">
        <v>1182</v>
      </c>
      <c r="C234" s="61"/>
      <c r="D234" s="61"/>
      <c r="E234" s="81"/>
      <c r="F234" s="89"/>
      <c r="G234" s="89"/>
      <c r="H234" s="81"/>
      <c r="I234" s="81"/>
      <c r="J234" s="115" t="str">
        <f t="shared" si="2"/>
        <v/>
      </c>
      <c r="K234" s="81"/>
      <c r="L234" s="115">
        <f>Table1[[#This Row],[Duration]]*12</f>
        <v>0</v>
      </c>
      <c r="M234" s="82"/>
      <c r="N234" s="106" t="str">
        <f>IF(AND(Table1[[#This Row],[ Type of Contract]]="ESCO",Table1[[#This Row],[Status Detail]]="ACTIVE"),"yes","no")</f>
        <v>no</v>
      </c>
      <c r="O234" s="106"/>
      <c r="P234" s="106"/>
      <c r="Q234" s="105"/>
      <c r="R234" s="173" t="s">
        <v>10</v>
      </c>
      <c r="S234" s="54"/>
      <c r="T234" s="54"/>
      <c r="U234" s="54"/>
      <c r="V234" s="54"/>
      <c r="W234" s="119" t="str">
        <f>IF(Table1[[#This Row],[Maintenance]]="yes",IF(OR(Table1[[#This Row],[Start Contract]]="",Table1[[#This Row],[Duration Month2]]=""),"",EDATE(Table1[[#This Row],[Start Contract]],Table1[[#This Row],[Duration Month2]])),"-")</f>
        <v>-</v>
      </c>
      <c r="X234" s="115" t="str">
        <f>IF(OR((W234=""),(W234="-")),"",YEAR(Table1[[#This Row],[End Contract]]))</f>
        <v/>
      </c>
      <c r="Y234" s="54" t="str">
        <f ca="1">IF(Table1[[#This Row],[Maintenance]]="yes",IF(Table1[[#This Row],[End Contract]]="","no",IF(TODAY()&lt;=Table1[[#This Row],[End Contract]],"yes","no")),"no")</f>
        <v>no</v>
      </c>
      <c r="Z234" s="54"/>
      <c r="AA234" s="54"/>
      <c r="AB234" s="54"/>
    </row>
    <row r="235" spans="1:28" x14ac:dyDescent="0.3">
      <c r="A235" s="71">
        <v>230</v>
      </c>
      <c r="B235" s="67" t="s">
        <v>1183</v>
      </c>
      <c r="C235" s="61"/>
      <c r="D235" s="61"/>
      <c r="E235" s="81"/>
      <c r="F235" s="89"/>
      <c r="G235" s="89"/>
      <c r="H235" s="81"/>
      <c r="I235" s="81"/>
      <c r="J235" s="115" t="str">
        <f t="shared" si="2"/>
        <v/>
      </c>
      <c r="K235" s="81"/>
      <c r="L235" s="115">
        <f>Table1[[#This Row],[Duration]]*12</f>
        <v>0</v>
      </c>
      <c r="M235" s="82"/>
      <c r="N235" s="106" t="str">
        <f>IF(AND(Table1[[#This Row],[ Type of Contract]]="ESCO",Table1[[#This Row],[Status Detail]]="ACTIVE"),"yes","no")</f>
        <v>no</v>
      </c>
      <c r="O235" s="106"/>
      <c r="P235" s="106"/>
      <c r="Q235" s="105"/>
      <c r="R235" s="106" t="s">
        <v>10</v>
      </c>
      <c r="S235" s="54"/>
      <c r="T235" s="54"/>
      <c r="U235" s="54"/>
      <c r="V235" s="54"/>
      <c r="W235" s="119" t="str">
        <f>IF(Table1[[#This Row],[Maintenance]]="yes",IF(OR(Table1[[#This Row],[Start Contract]]="",Table1[[#This Row],[Duration Month2]]=""),"",EDATE(Table1[[#This Row],[Start Contract]],Table1[[#This Row],[Duration Month2]])),"-")</f>
        <v>-</v>
      </c>
      <c r="X235" s="115" t="str">
        <f>IF(OR((W235=""),(W235="-")),"",YEAR(Table1[[#This Row],[End Contract]]))</f>
        <v/>
      </c>
      <c r="Y235" s="54" t="str">
        <f ca="1">IF(Table1[[#This Row],[Maintenance]]="yes",IF(Table1[[#This Row],[End Contract]]="","no",IF(TODAY()&lt;=Table1[[#This Row],[End Contract]],"yes","no")),"no")</f>
        <v>no</v>
      </c>
      <c r="Z235" s="54"/>
      <c r="AA235" s="54"/>
      <c r="AB235" s="54"/>
    </row>
    <row r="236" spans="1:28" x14ac:dyDescent="0.3">
      <c r="A236" s="71">
        <v>231</v>
      </c>
      <c r="B236" s="67" t="s">
        <v>1184</v>
      </c>
      <c r="C236" s="61"/>
      <c r="D236" s="61">
        <v>501428674</v>
      </c>
      <c r="E236" s="81" t="s">
        <v>1185</v>
      </c>
      <c r="F236" s="89" t="s">
        <v>17</v>
      </c>
      <c r="G236" s="89">
        <v>74</v>
      </c>
      <c r="H236" s="81">
        <v>42.5</v>
      </c>
      <c r="I236" s="81" t="s">
        <v>8</v>
      </c>
      <c r="J236" s="115" t="str">
        <f t="shared" si="2"/>
        <v>Cliente</v>
      </c>
      <c r="K236" s="81">
        <v>0</v>
      </c>
      <c r="L236" s="115">
        <f>Table1[[#This Row],[Duration]]*12</f>
        <v>0</v>
      </c>
      <c r="M236" s="82"/>
      <c r="N236" s="106" t="str">
        <f>IF(AND(Table1[[#This Row],[ Type of Contract]]="ESCO",Table1[[#This Row],[Status Detail]]="ACTIVE"),"yes","no")</f>
        <v>no</v>
      </c>
      <c r="O236" s="106" t="s">
        <v>53</v>
      </c>
      <c r="P236" s="106" t="s">
        <v>61</v>
      </c>
      <c r="Q236" s="105"/>
      <c r="R236" s="173" t="s">
        <v>7</v>
      </c>
      <c r="S236" s="54" t="s">
        <v>1186</v>
      </c>
      <c r="T236" s="54" t="s">
        <v>1187</v>
      </c>
      <c r="U236" s="54" t="s">
        <v>1188</v>
      </c>
      <c r="V236" s="54" t="s">
        <v>1189</v>
      </c>
      <c r="W236" s="119" t="str">
        <f>IF(Table1[[#This Row],[Maintenance]]="yes",IF(OR(Table1[[#This Row],[Start Contract]]="",Table1[[#This Row],[Duration Month2]]=""),"",EDATE(Table1[[#This Row],[Start Contract]],Table1[[#This Row],[Duration Month2]])),"-")</f>
        <v>-</v>
      </c>
      <c r="X236" s="115" t="str">
        <f>IF(OR((W236=""),(W236="-")),"",YEAR(Table1[[#This Row],[End Contract]]))</f>
        <v/>
      </c>
      <c r="Y236" s="54" t="str">
        <f ca="1">IF(Table1[[#This Row],[Maintenance]]="yes",IF(Table1[[#This Row],[End Contract]]="","no",IF(TODAY()&lt;=Table1[[#This Row],[End Contract]],"yes","no")),"no")</f>
        <v>no</v>
      </c>
      <c r="Z236" s="54"/>
      <c r="AA236" s="54"/>
      <c r="AB236" s="54"/>
    </row>
    <row r="237" spans="1:28" ht="15.6" customHeight="1" x14ac:dyDescent="0.3">
      <c r="A237" s="71">
        <v>232</v>
      </c>
      <c r="B237" s="67" t="s">
        <v>1190</v>
      </c>
      <c r="C237" s="61" t="s">
        <v>1191</v>
      </c>
      <c r="D237" s="61">
        <v>502283769</v>
      </c>
      <c r="E237" s="81" t="s">
        <v>1192</v>
      </c>
      <c r="F237" s="89" t="s">
        <v>9</v>
      </c>
      <c r="G237" s="89"/>
      <c r="H237" s="81"/>
      <c r="I237" s="81" t="s">
        <v>8</v>
      </c>
      <c r="J237" s="115" t="str">
        <f t="shared" si="2"/>
        <v>Cliente</v>
      </c>
      <c r="K237" s="81">
        <v>0</v>
      </c>
      <c r="L237" s="115">
        <f>Table1[[#This Row],[Duration]]*12</f>
        <v>0</v>
      </c>
      <c r="M237" s="82"/>
      <c r="N237" s="106" t="str">
        <f>IF(AND(Table1[[#This Row],[ Type of Contract]]="ESCO",Table1[[#This Row],[Status Detail]]="ACTIVE"),"yes","no")</f>
        <v>no</v>
      </c>
      <c r="O237" s="106"/>
      <c r="P237" s="106"/>
      <c r="Q237" s="105"/>
      <c r="R237" s="106" t="s">
        <v>10</v>
      </c>
      <c r="S237" s="54" t="s">
        <v>13</v>
      </c>
      <c r="T237" s="54"/>
      <c r="U237" s="196" t="s">
        <v>1193</v>
      </c>
      <c r="V237" s="198" t="s">
        <v>1194</v>
      </c>
      <c r="W237" s="119" t="str">
        <f>IF(Table1[[#This Row],[Maintenance]]="yes",IF(OR(Table1[[#This Row],[Start Contract]]="",Table1[[#This Row],[Duration Month2]]=""),"",EDATE(Table1[[#This Row],[Start Contract]],Table1[[#This Row],[Duration Month2]])),"-")</f>
        <v>-</v>
      </c>
      <c r="X237" s="115" t="str">
        <f>IF(OR((W237=""),(W237="-")),"",YEAR(Table1[[#This Row],[End Contract]]))</f>
        <v/>
      </c>
      <c r="Y237" s="54" t="str">
        <f ca="1">IF(Table1[[#This Row],[Maintenance]]="yes",IF(Table1[[#This Row],[End Contract]]="","no",IF(TODAY()&lt;=Table1[[#This Row],[End Contract]],"yes","no")),"no")</f>
        <v>no</v>
      </c>
      <c r="Z237" s="54"/>
      <c r="AA237" s="54"/>
      <c r="AB237" s="54"/>
    </row>
    <row r="238" spans="1:28" x14ac:dyDescent="0.3">
      <c r="A238" s="71">
        <v>233</v>
      </c>
      <c r="B238" s="67" t="s">
        <v>1195</v>
      </c>
      <c r="C238" s="61" t="s">
        <v>1196</v>
      </c>
      <c r="D238" s="61">
        <v>507578953</v>
      </c>
      <c r="E238" s="81" t="s">
        <v>1197</v>
      </c>
      <c r="F238" s="89" t="s">
        <v>19</v>
      </c>
      <c r="G238" s="89">
        <v>60</v>
      </c>
      <c r="H238" s="81">
        <v>35.1</v>
      </c>
      <c r="I238" s="81" t="s">
        <v>8</v>
      </c>
      <c r="J238" s="115" t="str">
        <f t="shared" si="2"/>
        <v>Cliente</v>
      </c>
      <c r="K238" s="81">
        <v>0</v>
      </c>
      <c r="L238" s="115">
        <f>Table1[[#This Row],[Duration]]*12</f>
        <v>0</v>
      </c>
      <c r="M238" s="82"/>
      <c r="N238" s="106" t="str">
        <f>IF(AND(Table1[[#This Row],[ Type of Contract]]="ESCO",Table1[[#This Row],[Status Detail]]="ACTIVE"),"yes","no")</f>
        <v>no</v>
      </c>
      <c r="O238" s="106" t="s">
        <v>1198</v>
      </c>
      <c r="P238" s="106" t="s">
        <v>61</v>
      </c>
      <c r="Q238" s="105"/>
      <c r="R238" s="173" t="s">
        <v>7</v>
      </c>
      <c r="S238" s="54" t="s">
        <v>1199</v>
      </c>
      <c r="T238" s="54"/>
      <c r="U238" s="47" t="s">
        <v>1200</v>
      </c>
      <c r="V238" s="54">
        <v>916994345</v>
      </c>
      <c r="W238" s="119" t="str">
        <f>IF(Table1[[#This Row],[Maintenance]]="yes",IF(OR(Table1[[#This Row],[Start Contract]]="",Table1[[#This Row],[Duration Month2]]=""),"",EDATE(Table1[[#This Row],[Start Contract]],Table1[[#This Row],[Duration Month2]])),"-")</f>
        <v>-</v>
      </c>
      <c r="X238" s="115" t="str">
        <f>IF(OR((W238=""),(W238="-")),"",YEAR(Table1[[#This Row],[End Contract]]))</f>
        <v/>
      </c>
      <c r="Y238" s="54" t="str">
        <f ca="1">IF(Table1[[#This Row],[Maintenance]]="yes",IF(Table1[[#This Row],[End Contract]]="","no",IF(TODAY()&lt;=Table1[[#This Row],[End Contract]],"yes","no")),"no")</f>
        <v>no</v>
      </c>
      <c r="Z238" s="54"/>
      <c r="AA238" s="54"/>
      <c r="AB238" s="54"/>
    </row>
    <row r="239" spans="1:28" x14ac:dyDescent="0.3">
      <c r="A239" s="71">
        <v>234</v>
      </c>
      <c r="B239" s="67" t="s">
        <v>1201</v>
      </c>
      <c r="C239" s="61" t="s">
        <v>1202</v>
      </c>
      <c r="D239" s="61">
        <v>517087510</v>
      </c>
      <c r="E239" s="81" t="s">
        <v>1203</v>
      </c>
      <c r="F239" s="89" t="s">
        <v>9</v>
      </c>
      <c r="G239" s="89"/>
      <c r="H239" s="81"/>
      <c r="I239" s="81" t="s">
        <v>8</v>
      </c>
      <c r="J239" s="115" t="str">
        <f t="shared" si="2"/>
        <v>Cliente</v>
      </c>
      <c r="K239" s="81">
        <v>0</v>
      </c>
      <c r="L239" s="115">
        <f>Table1[[#This Row],[Duration]]*12</f>
        <v>0</v>
      </c>
      <c r="M239" s="82"/>
      <c r="N239" s="106" t="str">
        <f>IF(AND(Table1[[#This Row],[ Type of Contract]]="ESCO",Table1[[#This Row],[Status Detail]]="ACTIVE"),"yes","no")</f>
        <v>no</v>
      </c>
      <c r="O239" s="106"/>
      <c r="P239" s="106"/>
      <c r="Q239" s="105"/>
      <c r="R239" s="106" t="s">
        <v>7</v>
      </c>
      <c r="S239" s="54" t="s">
        <v>1204</v>
      </c>
      <c r="T239" s="54"/>
      <c r="U239" s="47" t="s">
        <v>1205</v>
      </c>
      <c r="V239" s="54" t="s">
        <v>1206</v>
      </c>
      <c r="W239" s="119" t="str">
        <f>IF(Table1[[#This Row],[Maintenance]]="yes",IF(OR(Table1[[#This Row],[Start Contract]]="",Table1[[#This Row],[Duration Month2]]=""),"",EDATE(Table1[[#This Row],[Start Contract]],Table1[[#This Row],[Duration Month2]])),"-")</f>
        <v>-</v>
      </c>
      <c r="X239" s="115" t="str">
        <f>IF(OR((W239=""),(W239="-")),"",YEAR(Table1[[#This Row],[End Contract]]))</f>
        <v/>
      </c>
      <c r="Y239" s="54" t="str">
        <f ca="1">IF(Table1[[#This Row],[Maintenance]]="yes",IF(Table1[[#This Row],[End Contract]]="","no",IF(TODAY()&lt;=Table1[[#This Row],[End Contract]],"yes","no")),"no")</f>
        <v>no</v>
      </c>
      <c r="Z239" s="54"/>
      <c r="AA239" s="54"/>
      <c r="AB239" s="54"/>
    </row>
    <row r="240" spans="1:28" x14ac:dyDescent="0.3">
      <c r="A240" s="67">
        <v>235</v>
      </c>
      <c r="B240" s="67" t="s">
        <v>1207</v>
      </c>
      <c r="C240" s="61"/>
      <c r="D240" s="61"/>
      <c r="E240" s="81"/>
      <c r="F240" s="89"/>
      <c r="G240" s="89"/>
      <c r="H240" s="81"/>
      <c r="I240" s="81"/>
      <c r="J240" s="115" t="str">
        <f t="shared" si="2"/>
        <v/>
      </c>
      <c r="K240" s="81"/>
      <c r="L240" s="75">
        <f>Table1[[#This Row],[Duration]]*12</f>
        <v>0</v>
      </c>
      <c r="M240" s="82"/>
      <c r="N240" s="106" t="str">
        <f>IF(AND(Table1[[#This Row],[ Type of Contract]]="ESCO",Table1[[#This Row],[Status Detail]]="ACTIVE"),"yes","no")</f>
        <v>no</v>
      </c>
      <c r="O240" s="106"/>
      <c r="P240" s="106"/>
      <c r="Q240" s="105"/>
      <c r="R240" s="173" t="s">
        <v>10</v>
      </c>
      <c r="S240" s="54"/>
      <c r="T240" s="54"/>
      <c r="U240" s="54"/>
      <c r="V240" s="54"/>
      <c r="W240" s="119" t="str">
        <f>IF(Table1[[#This Row],[Maintenance]]="yes",IF(OR(Table1[[#This Row],[Start Contract]]="",Table1[[#This Row],[Duration Month2]]=""),"",EDATE(Table1[[#This Row],[Start Contract]],Table1[[#This Row],[Duration Month2]])),"-")</f>
        <v>-</v>
      </c>
      <c r="X240" s="115" t="str">
        <f>IF(OR((W240=""),(W240="-")),"",YEAR(Table1[[#This Row],[End Contract]]))</f>
        <v/>
      </c>
      <c r="Y240" s="54" t="str">
        <f ca="1">IF(Table1[[#This Row],[Maintenance]]="yes",IF(Table1[[#This Row],[End Contract]]="","no",IF(TODAY()&lt;=Table1[[#This Row],[End Contract]],"yes","no")),"no")</f>
        <v>no</v>
      </c>
      <c r="Z240" s="54"/>
      <c r="AA240" s="54"/>
      <c r="AB240" s="54"/>
    </row>
    <row r="241" spans="1:28" x14ac:dyDescent="0.3">
      <c r="A241" s="71">
        <v>236</v>
      </c>
      <c r="B241" s="67" t="s">
        <v>1208</v>
      </c>
      <c r="C241" s="61" t="s">
        <v>1208</v>
      </c>
      <c r="D241" s="61">
        <v>513172513</v>
      </c>
      <c r="E241" s="61" t="s">
        <v>1209</v>
      </c>
      <c r="F241" s="89" t="s">
        <v>9</v>
      </c>
      <c r="G241" s="89">
        <v>66</v>
      </c>
      <c r="H241" s="81"/>
      <c r="I241" s="81" t="s">
        <v>8</v>
      </c>
      <c r="J241" s="115" t="str">
        <f t="shared" si="2"/>
        <v>Cliente</v>
      </c>
      <c r="K241" s="81">
        <v>4</v>
      </c>
      <c r="L241" s="115">
        <f>Table1[[#This Row],[Duration]]*12</f>
        <v>48</v>
      </c>
      <c r="M241" s="177">
        <v>46003</v>
      </c>
      <c r="N241" s="46" t="s">
        <v>77</v>
      </c>
      <c r="O241" s="106" t="s">
        <v>53</v>
      </c>
      <c r="P241" s="106" t="s">
        <v>1386</v>
      </c>
      <c r="Q241" s="105"/>
      <c r="R241" s="106" t="s">
        <v>7</v>
      </c>
      <c r="S241" s="54" t="s">
        <v>1210</v>
      </c>
      <c r="T241" s="54"/>
      <c r="U241" s="198" t="s">
        <v>1211</v>
      </c>
      <c r="V241" s="54" t="s">
        <v>1212</v>
      </c>
      <c r="W241" s="119">
        <f>IF(Table1[[#This Row],[Maintenance]]="yes",IF(OR(Table1[[#This Row],[Start Contract]]="",Table1[[#This Row],[Duration Month2]]=""),"",EDATE(Table1[[#This Row],[Start Contract]],Table1[[#This Row],[Duration Month2]])),"-")</f>
        <v>47464</v>
      </c>
      <c r="X241" s="115">
        <f>IF(OR((W241=""),(W241="-")),"",YEAR(Table1[[#This Row],[End Contract]]))</f>
        <v>2029</v>
      </c>
      <c r="Y241" s="54" t="str">
        <f ca="1">IF(Table1[[#This Row],[Maintenance]]="yes",IF(Table1[[#This Row],[End Contract]]="","no",IF(TODAY()&lt;=Table1[[#This Row],[End Contract]],"yes","no")),"no")</f>
        <v>yes</v>
      </c>
      <c r="Z241" s="54"/>
      <c r="AA241" s="277" t="s">
        <v>178</v>
      </c>
      <c r="AB241" s="276" t="s">
        <v>1405</v>
      </c>
    </row>
    <row r="242" spans="1:28" x14ac:dyDescent="0.3">
      <c r="A242" s="71">
        <v>237</v>
      </c>
      <c r="B242" s="67" t="s">
        <v>1213</v>
      </c>
      <c r="C242" s="61"/>
      <c r="D242" s="61"/>
      <c r="E242" s="81" t="s">
        <v>1214</v>
      </c>
      <c r="F242" s="89"/>
      <c r="G242" s="89"/>
      <c r="H242" s="81"/>
      <c r="I242" s="81"/>
      <c r="J242" s="115" t="str">
        <f t="shared" si="2"/>
        <v/>
      </c>
      <c r="K242" s="81"/>
      <c r="L242" s="115">
        <f>Table1[[#This Row],[Duration]]*12</f>
        <v>0</v>
      </c>
      <c r="M242" s="82"/>
      <c r="N242" s="106" t="str">
        <f>IF(AND(Table1[[#This Row],[ Type of Contract]]="ESCO",Table1[[#This Row],[Status Detail]]="ACTIVE"),"yes","no")</f>
        <v>no</v>
      </c>
      <c r="O242" s="106"/>
      <c r="P242" s="106"/>
      <c r="Q242" s="105"/>
      <c r="R242" s="173" t="s">
        <v>7</v>
      </c>
      <c r="S242" s="54"/>
      <c r="T242" s="54"/>
      <c r="U242" s="54"/>
      <c r="V242" s="54"/>
      <c r="W242" s="119" t="str">
        <f>IF(Table1[[#This Row],[Maintenance]]="yes",IF(OR(Table1[[#This Row],[Start Contract]]="",Table1[[#This Row],[Duration Month2]]=""),"",EDATE(Table1[[#This Row],[Start Contract]],Table1[[#This Row],[Duration Month2]])),"-")</f>
        <v>-</v>
      </c>
      <c r="X242" s="115" t="str">
        <f>IF(OR((W242=""),(W242="-")),"",YEAR(Table1[[#This Row],[End Contract]]))</f>
        <v/>
      </c>
      <c r="Y242" s="54" t="str">
        <f ca="1">IF(Table1[[#This Row],[Maintenance]]="yes",IF(Table1[[#This Row],[End Contract]]="","no",IF(TODAY()&lt;=Table1[[#This Row],[End Contract]],"yes","no")),"no")</f>
        <v>no</v>
      </c>
      <c r="Z242" s="54"/>
      <c r="AA242" s="54"/>
      <c r="AB242" s="54"/>
    </row>
    <row r="243" spans="1:28" x14ac:dyDescent="0.3">
      <c r="A243" s="71">
        <v>238</v>
      </c>
      <c r="B243" s="67" t="s">
        <v>1215</v>
      </c>
      <c r="C243" s="61" t="s">
        <v>1216</v>
      </c>
      <c r="D243" s="61">
        <v>197113583</v>
      </c>
      <c r="E243" t="s">
        <v>1217</v>
      </c>
      <c r="F243" s="89" t="s">
        <v>21</v>
      </c>
      <c r="G243" s="89">
        <v>24</v>
      </c>
      <c r="H243" s="81"/>
      <c r="I243" s="81" t="s">
        <v>8</v>
      </c>
      <c r="J243" s="115" t="str">
        <f t="shared" si="2"/>
        <v>Cliente</v>
      </c>
      <c r="K243" s="81"/>
      <c r="L243" s="115">
        <f>Table1[[#This Row],[Duration]]*12</f>
        <v>0</v>
      </c>
      <c r="M243" s="82"/>
      <c r="N243" s="106" t="str">
        <f>IF(AND(Table1[[#This Row],[ Type of Contract]]="ESCO",Table1[[#This Row],[Status Detail]]="ACTIVE"),"yes","no")</f>
        <v>no</v>
      </c>
      <c r="O243" s="106" t="s">
        <v>53</v>
      </c>
      <c r="P243" s="106" t="s">
        <v>61</v>
      </c>
      <c r="Q243" s="105"/>
      <c r="R243" s="106" t="s">
        <v>7</v>
      </c>
      <c r="S243" s="54" t="s">
        <v>1218</v>
      </c>
      <c r="T243" s="54"/>
      <c r="U243" s="54" t="s">
        <v>1219</v>
      </c>
      <c r="V243" s="54" t="s">
        <v>1220</v>
      </c>
      <c r="W243" s="119" t="str">
        <f>IF(Table1[[#This Row],[Maintenance]]="yes",IF(OR(Table1[[#This Row],[Start Contract]]="",Table1[[#This Row],[Duration Month2]]=""),"",EDATE(Table1[[#This Row],[Start Contract]],Table1[[#This Row],[Duration Month2]])),"-")</f>
        <v>-</v>
      </c>
      <c r="X243" s="115" t="str">
        <f>IF(OR((W243=""),(W243="-")),"",YEAR(Table1[[#This Row],[End Contract]]))</f>
        <v/>
      </c>
      <c r="Y243" s="54" t="str">
        <f ca="1">IF(Table1[[#This Row],[Maintenance]]="yes",IF(Table1[[#This Row],[End Contract]]="","no",IF(TODAY()&lt;=Table1[[#This Row],[End Contract]],"yes","no")),"no")</f>
        <v>no</v>
      </c>
      <c r="Z243" s="54"/>
      <c r="AA243" s="54"/>
      <c r="AB243" s="54"/>
    </row>
    <row r="244" spans="1:28" x14ac:dyDescent="0.3">
      <c r="A244" s="71">
        <v>239</v>
      </c>
      <c r="B244" s="67" t="s">
        <v>1221</v>
      </c>
      <c r="C244" s="61" t="s">
        <v>1222</v>
      </c>
      <c r="D244" s="61">
        <v>500731179</v>
      </c>
      <c r="E244" t="s">
        <v>1223</v>
      </c>
      <c r="F244" s="89" t="s">
        <v>17</v>
      </c>
      <c r="G244" s="89">
        <v>168</v>
      </c>
      <c r="H244" s="81">
        <v>98.28</v>
      </c>
      <c r="I244" s="81" t="s">
        <v>11</v>
      </c>
      <c r="J244" s="115" t="str">
        <f t="shared" si="2"/>
        <v>Solcorelius</v>
      </c>
      <c r="K244" s="81"/>
      <c r="L244" s="115">
        <f>Table1[[#This Row],[Duration]]*12</f>
        <v>0</v>
      </c>
      <c r="M244" s="82"/>
      <c r="N244" s="106" t="str">
        <f>IF(AND(Table1[[#This Row],[ Type of Contract]]="ESCO",Table1[[#This Row],[Status Detail]]="ACTIVE"),"yes","no")</f>
        <v>no</v>
      </c>
      <c r="O244" s="106" t="s">
        <v>53</v>
      </c>
      <c r="P244" s="106" t="s">
        <v>61</v>
      </c>
      <c r="Q244" s="105"/>
      <c r="R244" s="173" t="s">
        <v>10</v>
      </c>
      <c r="S244" s="54" t="s">
        <v>1224</v>
      </c>
      <c r="T244" s="54"/>
      <c r="U244" s="54" t="s">
        <v>1225</v>
      </c>
      <c r="V244" s="54" t="s">
        <v>1226</v>
      </c>
      <c r="W244" s="119" t="str">
        <f>IF(Table1[[#This Row],[Maintenance]]="yes",IF(OR(Table1[[#This Row],[Start Contract]]="",Table1[[#This Row],[Duration Month2]]=""),"",EDATE(Table1[[#This Row],[Start Contract]],Table1[[#This Row],[Duration Month2]])),"-")</f>
        <v>-</v>
      </c>
      <c r="X244" s="115" t="str">
        <f>IF(OR((W244=""),(W244="-")),"",YEAR(Table1[[#This Row],[End Contract]]))</f>
        <v/>
      </c>
      <c r="Y244" s="54" t="str">
        <f ca="1">IF(Table1[[#This Row],[Maintenance]]="yes",IF(Table1[[#This Row],[End Contract]]="","no",IF(TODAY()&lt;=Table1[[#This Row],[End Contract]],"yes","no")),"no")</f>
        <v>no</v>
      </c>
      <c r="Z244" s="54"/>
      <c r="AA244" s="54"/>
      <c r="AB244" s="54"/>
    </row>
    <row r="245" spans="1:28" x14ac:dyDescent="0.3">
      <c r="A245" s="71">
        <v>240</v>
      </c>
      <c r="B245" s="67" t="s">
        <v>1227</v>
      </c>
      <c r="C245" s="61" t="s">
        <v>1228</v>
      </c>
      <c r="D245" s="61">
        <v>50658710</v>
      </c>
      <c r="E245" s="81" t="s">
        <v>1229</v>
      </c>
      <c r="F245" s="89" t="s">
        <v>12</v>
      </c>
      <c r="G245" s="89">
        <v>98</v>
      </c>
      <c r="H245" s="81">
        <v>57.33</v>
      </c>
      <c r="I245" s="81" t="s">
        <v>8</v>
      </c>
      <c r="J245" s="115" t="str">
        <f t="shared" si="2"/>
        <v>Cliente</v>
      </c>
      <c r="K245" s="81"/>
      <c r="L245" s="115">
        <f>Table1[[#This Row],[Duration]]*12</f>
        <v>0</v>
      </c>
      <c r="M245" s="82"/>
      <c r="N245" s="106" t="str">
        <f>IF(AND(Table1[[#This Row],[ Type of Contract]]="ESCO",Table1[[#This Row],[Status Detail]]="ACTIVE"),"yes","no")</f>
        <v>no</v>
      </c>
      <c r="O245" s="106" t="s">
        <v>1198</v>
      </c>
      <c r="P245" s="106"/>
      <c r="Q245" s="105"/>
      <c r="R245" s="106" t="s">
        <v>10</v>
      </c>
      <c r="S245" s="54" t="s">
        <v>1230</v>
      </c>
      <c r="T245" s="54"/>
      <c r="U245" s="54" t="s">
        <v>1231</v>
      </c>
      <c r="V245" s="54" t="s">
        <v>1232</v>
      </c>
      <c r="W245" s="119" t="str">
        <f>IF(Table1[[#This Row],[Maintenance]]="yes",IF(OR(Table1[[#This Row],[Start Contract]]="",Table1[[#This Row],[Duration Month2]]=""),"",EDATE(Table1[[#This Row],[Start Contract]],Table1[[#This Row],[Duration Month2]])),"-")</f>
        <v>-</v>
      </c>
      <c r="X245" s="115" t="str">
        <f>IF(OR((W245=""),(W245="-")),"",YEAR(Table1[[#This Row],[End Contract]]))</f>
        <v/>
      </c>
      <c r="Y245" s="54" t="str">
        <f ca="1">IF(Table1[[#This Row],[Maintenance]]="yes",IF(Table1[[#This Row],[End Contract]]="","no",IF(TODAY()&lt;=Table1[[#This Row],[End Contract]],"yes","no")),"no")</f>
        <v>no</v>
      </c>
      <c r="Z245" s="54"/>
      <c r="AA245" s="54"/>
      <c r="AB245" s="54"/>
    </row>
    <row r="246" spans="1:28" x14ac:dyDescent="0.3">
      <c r="A246" s="71">
        <v>241</v>
      </c>
      <c r="B246" s="67" t="s">
        <v>1233</v>
      </c>
      <c r="C246" s="61" t="s">
        <v>1234</v>
      </c>
      <c r="D246" s="61">
        <v>500877386</v>
      </c>
      <c r="E246" s="81" t="s">
        <v>1235</v>
      </c>
      <c r="F246" s="89" t="s">
        <v>68</v>
      </c>
      <c r="G246" s="89">
        <v>128</v>
      </c>
      <c r="H246" s="81">
        <v>74.88</v>
      </c>
      <c r="I246" s="81" t="s">
        <v>11</v>
      </c>
      <c r="J246" s="115" t="str">
        <f t="shared" si="2"/>
        <v>Solcorelius</v>
      </c>
      <c r="K246" s="81">
        <v>15</v>
      </c>
      <c r="L246" s="115">
        <f>Table1[[#This Row],[Duration]]*12</f>
        <v>180</v>
      </c>
      <c r="M246" s="177">
        <v>46023</v>
      </c>
      <c r="N246" s="106" t="str">
        <f>IF(AND(Table1[[#This Row],[ Type of Contract]]="ESCO",Table1[[#This Row],[Status Detail]]="ACTIVE"),"yes","no")</f>
        <v>yes</v>
      </c>
      <c r="O246" s="106" t="s">
        <v>94</v>
      </c>
      <c r="P246" s="106" t="s">
        <v>61</v>
      </c>
      <c r="Q246" s="105"/>
      <c r="R246" s="173" t="s">
        <v>7</v>
      </c>
      <c r="S246" s="54" t="s">
        <v>1236</v>
      </c>
      <c r="T246" s="54"/>
      <c r="U246" s="47" t="s">
        <v>1237</v>
      </c>
      <c r="V246" s="54">
        <v>925765741</v>
      </c>
      <c r="W246" s="119">
        <f>IF(Table1[[#This Row],[Maintenance]]="yes",IF(OR(Table1[[#This Row],[Start Contract]]="",Table1[[#This Row],[Duration Month2]]=""),"",EDATE(Table1[[#This Row],[Start Contract]],Table1[[#This Row],[Duration Month2]])),"-")</f>
        <v>51502</v>
      </c>
      <c r="X246" s="115">
        <f>IF(OR((W246=""),(W246="-")),"",YEAR(Table1[[#This Row],[End Contract]]))</f>
        <v>2041</v>
      </c>
      <c r="Y246" s="54" t="str">
        <f ca="1">IF(Table1[[#This Row],[Maintenance]]="yes",IF(Table1[[#This Row],[End Contract]]="","no",IF(TODAY()&lt;=Table1[[#This Row],[End Contract]],"yes","no")),"no")</f>
        <v>yes</v>
      </c>
      <c r="Z246" s="54"/>
      <c r="AA246" s="277">
        <v>8004</v>
      </c>
      <c r="AB246" s="54" t="s">
        <v>1409</v>
      </c>
    </row>
    <row r="247" spans="1:28" x14ac:dyDescent="0.3">
      <c r="A247" s="71">
        <v>242</v>
      </c>
      <c r="B247" s="67" t="s">
        <v>1238</v>
      </c>
      <c r="C247" s="61" t="s">
        <v>1173</v>
      </c>
      <c r="D247" s="61" t="s">
        <v>1174</v>
      </c>
      <c r="E247" s="81" t="s">
        <v>1175</v>
      </c>
      <c r="F247" s="89" t="s">
        <v>978</v>
      </c>
      <c r="G247" s="89">
        <v>28</v>
      </c>
      <c r="H247" s="81">
        <v>16.38</v>
      </c>
      <c r="I247" s="81" t="s">
        <v>8</v>
      </c>
      <c r="J247" s="115" t="str">
        <f t="shared" si="2"/>
        <v>Cliente</v>
      </c>
      <c r="K247" s="81"/>
      <c r="L247" s="115">
        <f>Table1[[#This Row],[Duration]]*12</f>
        <v>0</v>
      </c>
      <c r="M247" s="82"/>
      <c r="N247" s="106" t="str">
        <f>IF(AND(Table1[[#This Row],[ Type of Contract]]="ESCO",Table1[[#This Row],[Status Detail]]="ACTIVE"),"yes","no")</f>
        <v>no</v>
      </c>
      <c r="O247" s="106"/>
      <c r="P247" s="106"/>
      <c r="Q247" s="105"/>
      <c r="R247" s="106" t="s">
        <v>10</v>
      </c>
      <c r="S247" s="54" t="s">
        <v>1176</v>
      </c>
      <c r="T247" s="54" t="s">
        <v>310</v>
      </c>
      <c r="U247" s="198" t="s">
        <v>1177</v>
      </c>
      <c r="V247" s="54">
        <v>968033371</v>
      </c>
      <c r="W247" s="119" t="str">
        <f>IF(Table1[[#This Row],[Maintenance]]="yes",IF(OR(Table1[[#This Row],[Start Contract]]="",Table1[[#This Row],[Duration Month2]]=""),"",EDATE(Table1[[#This Row],[Start Contract]],Table1[[#This Row],[Duration Month2]])),"-")</f>
        <v>-</v>
      </c>
      <c r="X247" s="115" t="str">
        <f>IF(OR((W247=""),(W247="-")),"",YEAR(Table1[[#This Row],[End Contract]]))</f>
        <v/>
      </c>
      <c r="Y247" s="54" t="str">
        <f ca="1">IF(Table1[[#This Row],[Maintenance]]="yes",IF(Table1[[#This Row],[End Contract]]="","no",IF(TODAY()&lt;=Table1[[#This Row],[End Contract]],"yes","no")),"no")</f>
        <v>no</v>
      </c>
      <c r="Z247" s="54"/>
      <c r="AA247" s="54"/>
      <c r="AB247" s="54"/>
    </row>
    <row r="248" spans="1:28" x14ac:dyDescent="0.3">
      <c r="A248" s="71">
        <v>243</v>
      </c>
      <c r="B248" s="67" t="s">
        <v>1239</v>
      </c>
      <c r="C248" s="61" t="s">
        <v>1240</v>
      </c>
      <c r="D248" s="61">
        <v>501163905</v>
      </c>
      <c r="E248" s="81" t="s">
        <v>1241</v>
      </c>
      <c r="F248" s="89" t="s">
        <v>19</v>
      </c>
      <c r="G248" s="89">
        <v>41</v>
      </c>
      <c r="H248" s="81">
        <v>23.99</v>
      </c>
      <c r="I248" s="81" t="s">
        <v>8</v>
      </c>
      <c r="J248" s="115" t="str">
        <f t="shared" si="2"/>
        <v>Cliente</v>
      </c>
      <c r="K248" s="81"/>
      <c r="L248" s="115">
        <f>Table1[[#This Row],[Duration]]*12</f>
        <v>0</v>
      </c>
      <c r="M248" s="82"/>
      <c r="N248" s="106" t="str">
        <f>IF(AND(Table1[[#This Row],[ Type of Contract]]="ESCO",Table1[[#This Row],[Status Detail]]="ACTIVE"),"yes","no")</f>
        <v>no</v>
      </c>
      <c r="O248" s="106" t="s">
        <v>991</v>
      </c>
      <c r="P248" s="106"/>
      <c r="Q248" s="105"/>
      <c r="R248" s="54" t="s">
        <v>10</v>
      </c>
      <c r="S248" s="54" t="s">
        <v>1242</v>
      </c>
      <c r="T248" s="54" t="s">
        <v>802</v>
      </c>
      <c r="U248" s="54" t="s">
        <v>1243</v>
      </c>
      <c r="V248" s="54" t="s">
        <v>1244</v>
      </c>
      <c r="W248" s="119" t="str">
        <f>IF(Table1[[#This Row],[Maintenance]]="yes",IF(OR(Table1[[#This Row],[Start Contract]]="",Table1[[#This Row],[Duration Month2]]=""),"",EDATE(Table1[[#This Row],[Start Contract]],Table1[[#This Row],[Duration Month2]])),"-")</f>
        <v>-</v>
      </c>
      <c r="X248" s="115" t="str">
        <f>IF(OR((W248=""),(W248="-")),"",YEAR(Table1[[#This Row],[End Contract]]))</f>
        <v/>
      </c>
      <c r="Y248" s="54" t="str">
        <f ca="1">IF(Table1[[#This Row],[Maintenance]]="yes",IF(Table1[[#This Row],[End Contract]]="","no",IF(TODAY()&lt;=Table1[[#This Row],[End Contract]],"yes","no")),"no")</f>
        <v>no</v>
      </c>
      <c r="Z248" s="54"/>
      <c r="AA248" s="54"/>
      <c r="AB248" s="54"/>
    </row>
    <row r="249" spans="1:28" x14ac:dyDescent="0.3">
      <c r="A249" s="71">
        <v>244</v>
      </c>
      <c r="B249" s="67" t="s">
        <v>1245</v>
      </c>
      <c r="C249" s="61"/>
      <c r="D249" s="61"/>
      <c r="E249" s="81"/>
      <c r="F249" s="89"/>
      <c r="G249" s="89"/>
      <c r="H249" s="81"/>
      <c r="I249" s="81"/>
      <c r="J249" s="115" t="str">
        <f t="shared" si="2"/>
        <v/>
      </c>
      <c r="K249" s="81"/>
      <c r="L249" s="115">
        <f>Table1[[#This Row],[Duration]]*12</f>
        <v>0</v>
      </c>
      <c r="M249" s="82"/>
      <c r="N249" s="106" t="str">
        <f>IF(AND(Table1[[#This Row],[ Type of Contract]]="ESCO",Table1[[#This Row],[Status Detail]]="ACTIVE"),"yes","no")</f>
        <v>no</v>
      </c>
      <c r="O249" s="106"/>
      <c r="P249" s="106"/>
      <c r="Q249" s="105"/>
      <c r="R249" s="54" t="s">
        <v>10</v>
      </c>
      <c r="S249" s="54"/>
      <c r="T249" s="54"/>
      <c r="U249" s="54"/>
      <c r="V249" s="54"/>
      <c r="W249" s="119" t="str">
        <f>IF(Table1[[#This Row],[Maintenance]]="yes",IF(OR(Table1[[#This Row],[Start Contract]]="",Table1[[#This Row],[Duration Month2]]=""),"",EDATE(Table1[[#This Row],[Start Contract]],Table1[[#This Row],[Duration Month2]])),"-")</f>
        <v>-</v>
      </c>
      <c r="X249" s="115" t="str">
        <f>IF(OR((W249=""),(W249="-")),"",YEAR(Table1[[#This Row],[End Contract]]))</f>
        <v/>
      </c>
      <c r="Y249" s="54" t="str">
        <f ca="1">IF(Table1[[#This Row],[Maintenance]]="yes",IF(Table1[[#This Row],[End Contract]]="","no",IF(TODAY()&lt;=Table1[[#This Row],[End Contract]],"yes","no")),"no")</f>
        <v>no</v>
      </c>
      <c r="Z249" s="54"/>
      <c r="AA249" s="54"/>
      <c r="AB249" s="54"/>
    </row>
    <row r="250" spans="1:28" ht="82.8" customHeight="1" x14ac:dyDescent="0.3">
      <c r="A250" s="71" t="s">
        <v>1246</v>
      </c>
      <c r="B250" s="67" t="s">
        <v>1247</v>
      </c>
      <c r="C250" s="67" t="s">
        <v>1380</v>
      </c>
      <c r="D250" s="61" t="s">
        <v>1379</v>
      </c>
      <c r="E250" s="61" t="s">
        <v>1378</v>
      </c>
      <c r="F250" s="89" t="s">
        <v>1248</v>
      </c>
      <c r="G250" s="89">
        <v>90</v>
      </c>
      <c r="H250" s="81">
        <v>52.2</v>
      </c>
      <c r="I250" s="81" t="s">
        <v>8</v>
      </c>
      <c r="J250" s="115" t="str">
        <f t="shared" si="2"/>
        <v>Cliente</v>
      </c>
      <c r="K250" s="81">
        <v>2</v>
      </c>
      <c r="L250" s="115">
        <f>Table1[[#This Row],[Duration]]*12</f>
        <v>24</v>
      </c>
      <c r="M250" s="82">
        <v>45996</v>
      </c>
      <c r="N250" s="106" t="s">
        <v>77</v>
      </c>
      <c r="O250" s="106" t="s">
        <v>1249</v>
      </c>
      <c r="P250" s="106" t="s">
        <v>1114</v>
      </c>
      <c r="Q250" s="204" t="s">
        <v>1250</v>
      </c>
      <c r="R250" s="54" t="s">
        <v>7</v>
      </c>
      <c r="S250" s="54" t="s">
        <v>1135</v>
      </c>
      <c r="T250" s="54" t="s">
        <v>1136</v>
      </c>
      <c r="U250" s="47" t="s">
        <v>1137</v>
      </c>
      <c r="V250" s="202" t="s">
        <v>1138</v>
      </c>
      <c r="W250" s="119">
        <f>IF(Table1[[#This Row],[Maintenance]]="yes",IF(OR(Table1[[#This Row],[Start Contract]]="",Table1[[#This Row],[Duration Month2]]=""),"",EDATE(Table1[[#This Row],[Start Contract]],Table1[[#This Row],[Duration Month2]])),"-")</f>
        <v>46726</v>
      </c>
      <c r="X250" s="115">
        <f>IF(OR((W250=""),(W250="-")),"",YEAR(Table1[[#This Row],[End Contract]]))</f>
        <v>2027</v>
      </c>
      <c r="Y250" s="54" t="str">
        <f ca="1">IF(Table1[[#This Row],[Maintenance]]="yes",IF(Table1[[#This Row],[End Contract]]="","no",IF(TODAY()&lt;=Table1[[#This Row],[End Contract]],"yes","no")),"no")</f>
        <v>yes</v>
      </c>
      <c r="Z250" s="54"/>
      <c r="AA250" s="277">
        <v>400</v>
      </c>
      <c r="AB250" s="54" t="s">
        <v>1408</v>
      </c>
    </row>
    <row r="251" spans="1:28" ht="82.8" customHeight="1" x14ac:dyDescent="0.3">
      <c r="A251" s="71" t="s">
        <v>1246</v>
      </c>
      <c r="B251" s="67" t="s">
        <v>1251</v>
      </c>
      <c r="C251" s="61" t="s">
        <v>1380</v>
      </c>
      <c r="D251" s="61" t="s">
        <v>1379</v>
      </c>
      <c r="E251" s="61" t="s">
        <v>1378</v>
      </c>
      <c r="F251" s="89" t="s">
        <v>1248</v>
      </c>
      <c r="G251" s="89">
        <v>910</v>
      </c>
      <c r="H251" s="81">
        <v>532.4</v>
      </c>
      <c r="I251" s="81" t="s">
        <v>8</v>
      </c>
      <c r="J251" s="115" t="str">
        <f t="shared" si="2"/>
        <v>Cliente</v>
      </c>
      <c r="K251" s="81">
        <v>2</v>
      </c>
      <c r="L251" s="115">
        <f>Table1[[#This Row],[Duration]]*12</f>
        <v>24</v>
      </c>
      <c r="M251" s="82">
        <v>45996</v>
      </c>
      <c r="N251" s="106" t="s">
        <v>77</v>
      </c>
      <c r="O251" s="106" t="s">
        <v>1249</v>
      </c>
      <c r="P251" s="106" t="s">
        <v>1114</v>
      </c>
      <c r="Q251" s="204" t="s">
        <v>1250</v>
      </c>
      <c r="R251" s="54" t="s">
        <v>7</v>
      </c>
      <c r="S251" s="54" t="s">
        <v>1135</v>
      </c>
      <c r="T251" s="54" t="s">
        <v>1136</v>
      </c>
      <c r="U251" s="47" t="s">
        <v>1137</v>
      </c>
      <c r="V251" s="202" t="s">
        <v>1138</v>
      </c>
      <c r="W251" s="119">
        <f>IF(Table1[[#This Row],[Maintenance]]="yes",IF(OR(Table1[[#This Row],[Start Contract]]="",Table1[[#This Row],[Duration Month2]]=""),"",EDATE(Table1[[#This Row],[Start Contract]],Table1[[#This Row],[Duration Month2]])),"-")</f>
        <v>46726</v>
      </c>
      <c r="X251" s="115">
        <f>IF(OR((W251=""),(W251="-")),"",YEAR(Table1[[#This Row],[End Contract]]))</f>
        <v>2027</v>
      </c>
      <c r="Y251" s="54" t="str">
        <f ca="1">IF(Table1[[#This Row],[Maintenance]]="yes",IF(Table1[[#This Row],[End Contract]]="","no",IF(TODAY()&lt;=Table1[[#This Row],[End Contract]],"yes","no")),"no")</f>
        <v>yes</v>
      </c>
      <c r="Z251" s="54"/>
      <c r="AA251" s="278">
        <v>1000</v>
      </c>
      <c r="AB251" s="54" t="s">
        <v>1408</v>
      </c>
    </row>
    <row r="252" spans="1:28" ht="82.8" customHeight="1" x14ac:dyDescent="0.3">
      <c r="A252" s="71" t="s">
        <v>1246</v>
      </c>
      <c r="B252" s="203" t="s">
        <v>1252</v>
      </c>
      <c r="C252" s="67" t="s">
        <v>1380</v>
      </c>
      <c r="D252" s="61" t="s">
        <v>1379</v>
      </c>
      <c r="E252" s="61" t="s">
        <v>1378</v>
      </c>
      <c r="F252" s="89" t="s">
        <v>1248</v>
      </c>
      <c r="G252" s="89">
        <v>1155</v>
      </c>
      <c r="H252" s="81">
        <v>282.54000000000002</v>
      </c>
      <c r="I252" s="81" t="s">
        <v>8</v>
      </c>
      <c r="J252" s="115" t="str">
        <f t="shared" si="2"/>
        <v>Cliente</v>
      </c>
      <c r="K252" s="81">
        <v>2</v>
      </c>
      <c r="L252" s="115">
        <f>Table1[[#This Row],[Duration]]*12</f>
        <v>24</v>
      </c>
      <c r="M252" s="82">
        <v>45996</v>
      </c>
      <c r="N252" s="106" t="s">
        <v>77</v>
      </c>
      <c r="O252" s="106" t="s">
        <v>1249</v>
      </c>
      <c r="P252" s="106" t="s">
        <v>1114</v>
      </c>
      <c r="Q252" s="204" t="s">
        <v>1250</v>
      </c>
      <c r="R252" s="54" t="s">
        <v>7</v>
      </c>
      <c r="S252" s="54" t="s">
        <v>1135</v>
      </c>
      <c r="T252" s="54" t="s">
        <v>1136</v>
      </c>
      <c r="U252" s="47" t="s">
        <v>1137</v>
      </c>
      <c r="V252" s="202" t="s">
        <v>1138</v>
      </c>
      <c r="W252" s="119">
        <f>IF(Table1[[#This Row],[Maintenance]]="yes",IF(OR(Table1[[#This Row],[Start Contract]]="",Table1[[#This Row],[Duration Month2]]=""),"",EDATE(Table1[[#This Row],[Start Contract]],Table1[[#This Row],[Duration Month2]])),"-")</f>
        <v>46726</v>
      </c>
      <c r="X252" s="115">
        <f>IF(OR((W252=""),(W252="-")),"",YEAR(Table1[[#This Row],[End Contract]]))</f>
        <v>2027</v>
      </c>
      <c r="Y252" s="54" t="str">
        <f ca="1">IF(Table1[[#This Row],[Maintenance]]="yes",IF(Table1[[#This Row],[End Contract]]="","no",IF(TODAY()&lt;=Table1[[#This Row],[End Contract]],"yes","no")),"no")</f>
        <v>yes</v>
      </c>
      <c r="Z252" s="54"/>
      <c r="AA252" s="278">
        <v>1000</v>
      </c>
      <c r="AB252" s="54" t="s">
        <v>1408</v>
      </c>
    </row>
    <row r="253" spans="1:28" ht="27.6" customHeight="1" x14ac:dyDescent="0.3">
      <c r="A253" s="71">
        <v>245</v>
      </c>
      <c r="B253" s="67" t="s">
        <v>1253</v>
      </c>
      <c r="C253" s="50" t="s">
        <v>332</v>
      </c>
      <c r="D253" s="75">
        <v>503194387</v>
      </c>
      <c r="E253" s="75" t="s">
        <v>333</v>
      </c>
      <c r="F253" s="75" t="s">
        <v>334</v>
      </c>
      <c r="G253" s="75"/>
      <c r="H253" s="75"/>
      <c r="I253" s="75" t="s">
        <v>11</v>
      </c>
      <c r="J253" s="75" t="s">
        <v>52</v>
      </c>
      <c r="K253" s="75">
        <v>15</v>
      </c>
      <c r="L253" s="75">
        <f>Table1[[#This Row],[Duration]]*12</f>
        <v>180</v>
      </c>
      <c r="M253" s="76"/>
      <c r="N253" s="46" t="str">
        <f>IF(AND(Table1[[#This Row],[ Type of Contract]]="ESCO",Table1[[#This Row],[Status Detail]]="ACTIVE"),"yes","no")</f>
        <v>yes</v>
      </c>
      <c r="O253" s="46" t="s">
        <v>53</v>
      </c>
      <c r="P253" s="46" t="s">
        <v>78</v>
      </c>
      <c r="Q253" s="76"/>
      <c r="R253" s="80" t="s">
        <v>7</v>
      </c>
      <c r="S253" s="53" t="s">
        <v>335</v>
      </c>
      <c r="T253" s="49" t="s">
        <v>70</v>
      </c>
      <c r="U253" s="194" t="s">
        <v>336</v>
      </c>
      <c r="V253" s="141">
        <v>913385462</v>
      </c>
      <c r="W253" s="119" t="str">
        <f>IF(Table1[[#This Row],[Maintenance]]="yes",IF(OR(Table1[[#This Row],[Start Contract]]="",Table1[[#This Row],[Duration Month2]]=""),"",EDATE(Table1[[#This Row],[Start Contract]],Table1[[#This Row],[Duration Month2]])),"-")</f>
        <v/>
      </c>
      <c r="X253" s="115" t="str">
        <f>IF(OR((W253=""),(W253="-")),"",YEAR(Table1[[#This Row],[End Contract]]))</f>
        <v/>
      </c>
      <c r="Y253" s="54" t="str">
        <f ca="1">IF(Table1[[#This Row],[Maintenance]]="yes",IF(Table1[[#This Row],[End Contract]]="","no",IF(TODAY()&lt;=Table1[[#This Row],[End Contract]],"yes","no")),"no")</f>
        <v>no</v>
      </c>
      <c r="Z253" s="54"/>
      <c r="AA253" s="54"/>
      <c r="AB253" s="54"/>
    </row>
    <row r="254" spans="1:28" x14ac:dyDescent="0.3">
      <c r="A254" s="71">
        <v>246</v>
      </c>
      <c r="B254" s="67" t="s">
        <v>1254</v>
      </c>
      <c r="C254" s="61"/>
      <c r="D254" s="61"/>
      <c r="E254" s="81"/>
      <c r="F254" s="89"/>
      <c r="G254" s="89"/>
      <c r="H254" s="81"/>
      <c r="I254" s="81"/>
      <c r="J254" s="115" t="str">
        <f t="shared" ref="J254:J264" si="3">IF(I254="ESCO", "Solcorelius", IF(I254="EPC", "Cliente", ""))</f>
        <v/>
      </c>
      <c r="K254" s="81"/>
      <c r="L254" s="115">
        <f>Table1[[#This Row],[Duration]]*12</f>
        <v>0</v>
      </c>
      <c r="M254" s="82"/>
      <c r="N254" s="106" t="str">
        <f>IF(AND(Table1[[#This Row],[ Type of Contract]]="ESCO",Table1[[#This Row],[Status Detail]]="ACTIVE"),"yes","no")</f>
        <v>no</v>
      </c>
      <c r="O254" s="106"/>
      <c r="P254" s="106"/>
      <c r="Q254" s="105"/>
      <c r="R254" s="54"/>
      <c r="S254" s="54"/>
      <c r="T254" s="54"/>
      <c r="U254" s="54"/>
      <c r="V254" s="54"/>
      <c r="W254" s="119" t="str">
        <f>IF(Table1[[#This Row],[Maintenance]]="yes",IF(OR(Table1[[#This Row],[Start Contract]]="",Table1[[#This Row],[Duration Month2]]=""),"",EDATE(Table1[[#This Row],[Start Contract]],Table1[[#This Row],[Duration Month2]])),"-")</f>
        <v>-</v>
      </c>
      <c r="X254" s="115" t="str">
        <f>IF(OR((W254=""),(W254="-")),"",YEAR(Table1[[#This Row],[End Contract]]))</f>
        <v/>
      </c>
      <c r="Y254" s="54" t="str">
        <f ca="1">IF(Table1[[#This Row],[Maintenance]]="yes",IF(Table1[[#This Row],[End Contract]]="","no",IF(TODAY()&lt;=Table1[[#This Row],[End Contract]],"yes","no")),"no")</f>
        <v>no</v>
      </c>
      <c r="Z254" s="54"/>
      <c r="AA254" s="54"/>
      <c r="AB254" s="54"/>
    </row>
    <row r="255" spans="1:28" ht="15.6" customHeight="1" x14ac:dyDescent="0.3">
      <c r="A255" s="71">
        <v>247</v>
      </c>
      <c r="B255" s="67" t="s">
        <v>1166</v>
      </c>
      <c r="C255" s="61" t="s">
        <v>1167</v>
      </c>
      <c r="D255" s="61">
        <v>501936270</v>
      </c>
      <c r="E255" s="81" t="s">
        <v>1168</v>
      </c>
      <c r="F255" s="89" t="s">
        <v>68</v>
      </c>
      <c r="G255" s="89"/>
      <c r="H255" s="81">
        <v>23.6</v>
      </c>
      <c r="I255" s="81" t="s">
        <v>8</v>
      </c>
      <c r="J255" s="115" t="str">
        <f t="shared" si="3"/>
        <v>Cliente</v>
      </c>
      <c r="K255" s="81">
        <v>0</v>
      </c>
      <c r="L255" s="115">
        <f>Table1[[#This Row],[Duration]]*12</f>
        <v>0</v>
      </c>
      <c r="M255" s="82"/>
      <c r="N255" s="106" t="str">
        <f>IF(AND(Table1[[#This Row],[ Type of Contract]]="ESCO",Table1[[#This Row],[Status Detail]]="ACTIVE"),"yes","no")</f>
        <v>no</v>
      </c>
      <c r="O255" s="106"/>
      <c r="P255" s="106"/>
      <c r="Q255" s="105"/>
      <c r="R255" s="54" t="s">
        <v>7</v>
      </c>
      <c r="S255" s="54" t="s">
        <v>1169</v>
      </c>
      <c r="T255" s="54"/>
      <c r="U255" s="54" t="s">
        <v>1170</v>
      </c>
      <c r="V255" s="196" t="s">
        <v>1171</v>
      </c>
      <c r="W255" s="119" t="str">
        <f>IF(Table1[[#This Row],[Maintenance]]="yes",IF(OR(Table1[[#This Row],[Start Contract]]="",Table1[[#This Row],[Duration Month2]]=""),"",EDATE(Table1[[#This Row],[Start Contract]],Table1[[#This Row],[Duration Month2]])),"-")</f>
        <v>-</v>
      </c>
      <c r="X255" s="115" t="str">
        <f>IF(OR((W255=""),(W255="-")),"",YEAR(Table1[[#This Row],[End Contract]]))</f>
        <v/>
      </c>
      <c r="Y255" s="54" t="str">
        <f ca="1">IF(Table1[[#This Row],[Maintenance]]="yes",IF(Table1[[#This Row],[End Contract]]="","no",IF(TODAY()&lt;=Table1[[#This Row],[End Contract]],"yes","no")),"no")</f>
        <v>no</v>
      </c>
      <c r="Z255" s="54"/>
      <c r="AA255" s="54"/>
      <c r="AB255" s="54"/>
    </row>
    <row r="256" spans="1:28" ht="27.6" customHeight="1" x14ac:dyDescent="0.3">
      <c r="A256" s="71">
        <v>248</v>
      </c>
      <c r="B256" s="67" t="s">
        <v>1255</v>
      </c>
      <c r="C256" s="61" t="s">
        <v>1255</v>
      </c>
      <c r="D256">
        <v>514306769</v>
      </c>
      <c r="E256" t="s">
        <v>1256</v>
      </c>
      <c r="F256" s="89" t="s">
        <v>17</v>
      </c>
      <c r="G256" s="89">
        <v>283</v>
      </c>
      <c r="H256" s="81">
        <v>165.56</v>
      </c>
      <c r="I256" s="81" t="s">
        <v>11</v>
      </c>
      <c r="J256" s="115" t="str">
        <f t="shared" si="3"/>
        <v>Solcorelius</v>
      </c>
      <c r="K256" s="81">
        <v>10</v>
      </c>
      <c r="L256" s="115">
        <f>Table1[[#This Row],[Duration]]*12</f>
        <v>120</v>
      </c>
      <c r="M256" s="82"/>
      <c r="N256" s="106" t="str">
        <f>IF(AND(Table1[[#This Row],[ Type of Contract]]="ESCO",Table1[[#This Row],[Status Detail]]="ACTIVE"),"yes","no")</f>
        <v>no</v>
      </c>
      <c r="O256" s="106" t="s">
        <v>53</v>
      </c>
      <c r="P256" s="106" t="s">
        <v>61</v>
      </c>
      <c r="Q256" s="105"/>
      <c r="R256" s="54"/>
      <c r="S256" s="73" t="s">
        <v>1257</v>
      </c>
      <c r="T256" s="54" t="s">
        <v>166</v>
      </c>
      <c r="U256" s="206" t="s">
        <v>1258</v>
      </c>
      <c r="V256" s="73" t="s">
        <v>1259</v>
      </c>
      <c r="W256" s="119" t="str">
        <f>IF(Table1[[#This Row],[Maintenance]]="yes",IF(OR(Table1[[#This Row],[Start Contract]]="",Table1[[#This Row],[Duration Month2]]=""),"",EDATE(Table1[[#This Row],[Start Contract]],Table1[[#This Row],[Duration Month2]])),"-")</f>
        <v>-</v>
      </c>
      <c r="X256" s="115" t="str">
        <f>IF(OR((W256=""),(W256="-")),"",YEAR(Table1[[#This Row],[End Contract]]))</f>
        <v/>
      </c>
      <c r="Y256" s="54" t="str">
        <f ca="1">IF(Table1[[#This Row],[Maintenance]]="yes",IF(Table1[[#This Row],[End Contract]]="","no",IF(TODAY()&lt;=Table1[[#This Row],[End Contract]],"yes","no")),"no")</f>
        <v>no</v>
      </c>
      <c r="Z256" s="54"/>
      <c r="AA256" s="54"/>
      <c r="AB256" s="54"/>
    </row>
    <row r="257" spans="1:28" x14ac:dyDescent="0.3">
      <c r="A257" s="71">
        <v>249</v>
      </c>
      <c r="B257" s="67" t="s">
        <v>1260</v>
      </c>
      <c r="C257" s="61" t="s">
        <v>1261</v>
      </c>
      <c r="D257">
        <v>513818812</v>
      </c>
      <c r="E257" t="s">
        <v>1262</v>
      </c>
      <c r="F257" s="89" t="s">
        <v>18</v>
      </c>
      <c r="G257" s="89"/>
      <c r="H257" s="81"/>
      <c r="I257" s="81" t="s">
        <v>8</v>
      </c>
      <c r="J257" s="115" t="str">
        <f t="shared" si="3"/>
        <v>Cliente</v>
      </c>
      <c r="K257" s="81"/>
      <c r="L257" s="115">
        <f>Table1[[#This Row],[Duration]]*12</f>
        <v>0</v>
      </c>
      <c r="M257" s="82"/>
      <c r="N257" s="106" t="str">
        <f>IF(AND(Table1[[#This Row],[ Type of Contract]]="ESCO",Table1[[#This Row],[Status Detail]]="ACTIVE"),"yes","no")</f>
        <v>no</v>
      </c>
      <c r="O257" s="106" t="s">
        <v>207</v>
      </c>
      <c r="P257" s="106" t="s">
        <v>208</v>
      </c>
      <c r="Q257" s="105"/>
      <c r="R257" s="54"/>
      <c r="S257" s="54"/>
      <c r="T257" s="54"/>
      <c r="U257" s="54"/>
      <c r="V257" s="54"/>
      <c r="W257" s="119" t="str">
        <f>IF(Table1[[#This Row],[Maintenance]]="yes",IF(OR(Table1[[#This Row],[Start Contract]]="",Table1[[#This Row],[Duration Month2]]=""),"",EDATE(Table1[[#This Row],[Start Contract]],Table1[[#This Row],[Duration Month2]])),"-")</f>
        <v>-</v>
      </c>
      <c r="X257" s="115" t="str">
        <f>IF(OR((W257=""),(W257="-")),"",YEAR(Table1[[#This Row],[End Contract]]))</f>
        <v/>
      </c>
      <c r="Y257" s="54" t="str">
        <f ca="1">IF(Table1[[#This Row],[Maintenance]]="yes",IF(Table1[[#This Row],[End Contract]]="","no",IF(TODAY()&lt;=Table1[[#This Row],[End Contract]],"yes","no")),"no")</f>
        <v>no</v>
      </c>
      <c r="Z257" s="54"/>
      <c r="AA257" s="54"/>
      <c r="AB257" s="54"/>
    </row>
    <row r="258" spans="1:28" x14ac:dyDescent="0.3">
      <c r="A258" s="71">
        <v>250</v>
      </c>
      <c r="B258" s="67" t="s">
        <v>1263</v>
      </c>
      <c r="C258" s="61" t="s">
        <v>1264</v>
      </c>
      <c r="D258">
        <v>510306659</v>
      </c>
      <c r="E258" t="s">
        <v>1265</v>
      </c>
      <c r="F258" s="89" t="s">
        <v>18</v>
      </c>
      <c r="G258" s="89"/>
      <c r="H258" s="81"/>
      <c r="I258" s="81"/>
      <c r="J258" s="115" t="str">
        <f t="shared" si="3"/>
        <v/>
      </c>
      <c r="K258" s="81"/>
      <c r="L258" s="115">
        <f>Table1[[#This Row],[Duration]]*12</f>
        <v>0</v>
      </c>
      <c r="M258" s="82"/>
      <c r="N258" s="106" t="str">
        <f>IF(AND(Table1[[#This Row],[ Type of Contract]]="ESCO",Table1[[#This Row],[Status Detail]]="ACTIVE"),"yes","no")</f>
        <v>no</v>
      </c>
      <c r="O258" s="106" t="s">
        <v>1198</v>
      </c>
      <c r="P258" s="106" t="s">
        <v>61</v>
      </c>
      <c r="Q258" s="105"/>
      <c r="R258" s="54"/>
      <c r="S258" s="54"/>
      <c r="T258" s="54"/>
      <c r="U258" s="54"/>
      <c r="V258" s="54"/>
      <c r="W258" s="119" t="str">
        <f>IF(Table1[[#This Row],[Maintenance]]="yes",IF(OR(Table1[[#This Row],[Start Contract]]="",Table1[[#This Row],[Duration Month2]]=""),"",EDATE(Table1[[#This Row],[Start Contract]],Table1[[#This Row],[Duration Month2]])),"-")</f>
        <v>-</v>
      </c>
      <c r="X258" s="115" t="str">
        <f>IF(OR((W258=""),(W258="-")),"",YEAR(Table1[[#This Row],[End Contract]]))</f>
        <v/>
      </c>
      <c r="Y258" s="54" t="str">
        <f ca="1">IF(Table1[[#This Row],[Maintenance]]="yes",IF(Table1[[#This Row],[End Contract]]="","no",IF(TODAY()&lt;=Table1[[#This Row],[End Contract]],"yes","no")),"no")</f>
        <v>no</v>
      </c>
      <c r="Z258" s="54"/>
      <c r="AA258" s="54"/>
      <c r="AB258" s="54"/>
    </row>
    <row r="259" spans="1:28" x14ac:dyDescent="0.3">
      <c r="A259" s="71">
        <v>251</v>
      </c>
      <c r="B259" s="67" t="s">
        <v>1266</v>
      </c>
      <c r="C259" s="61" t="s">
        <v>1267</v>
      </c>
      <c r="D259">
        <v>505523337</v>
      </c>
      <c r="E259" t="s">
        <v>1268</v>
      </c>
      <c r="F259" s="89" t="s">
        <v>18</v>
      </c>
      <c r="G259" s="89"/>
      <c r="H259" s="81"/>
      <c r="I259" s="81"/>
      <c r="J259" s="115" t="str">
        <f t="shared" si="3"/>
        <v/>
      </c>
      <c r="K259" s="81"/>
      <c r="L259" s="115">
        <f>Table1[[#This Row],[Duration]]*12</f>
        <v>0</v>
      </c>
      <c r="M259" s="82"/>
      <c r="N259" s="106" t="str">
        <f>IF(AND(Table1[[#This Row],[ Type of Contract]]="ESCO",Table1[[#This Row],[Status Detail]]="ACTIVE"),"yes","no")</f>
        <v>no</v>
      </c>
      <c r="O259" s="106" t="s">
        <v>1269</v>
      </c>
      <c r="P259" s="106" t="s">
        <v>208</v>
      </c>
      <c r="Q259" s="105"/>
      <c r="R259" s="54"/>
      <c r="S259" s="54" t="s">
        <v>1270</v>
      </c>
      <c r="T259" s="54" t="s">
        <v>1271</v>
      </c>
      <c r="U259" s="54" t="s">
        <v>1272</v>
      </c>
      <c r="V259" s="54" t="s">
        <v>1273</v>
      </c>
      <c r="W259" s="119" t="str">
        <f>IF(Table1[[#This Row],[Maintenance]]="yes",IF(OR(Table1[[#This Row],[Start Contract]]="",Table1[[#This Row],[Duration Month2]]=""),"",EDATE(Table1[[#This Row],[Start Contract]],Table1[[#This Row],[Duration Month2]])),"-")</f>
        <v>-</v>
      </c>
      <c r="X259" s="115" t="str">
        <f>IF(OR((W259=""),(W259="-")),"",YEAR(Table1[[#This Row],[End Contract]]))</f>
        <v/>
      </c>
      <c r="Y259" s="54" t="str">
        <f ca="1">IF(Table1[[#This Row],[Maintenance]]="yes",IF(Table1[[#This Row],[End Contract]]="","no",IF(TODAY()&lt;=Table1[[#This Row],[End Contract]],"yes","no")),"no")</f>
        <v>no</v>
      </c>
      <c r="Z259" s="54"/>
      <c r="AA259" s="54"/>
      <c r="AB259" s="54"/>
    </row>
    <row r="260" spans="1:28" x14ac:dyDescent="0.3">
      <c r="A260" s="71">
        <v>252</v>
      </c>
      <c r="B260" s="67" t="s">
        <v>1274</v>
      </c>
      <c r="C260" s="61" t="s">
        <v>1275</v>
      </c>
      <c r="D260">
        <v>500752613</v>
      </c>
      <c r="E260" t="s">
        <v>1276</v>
      </c>
      <c r="F260" s="89" t="s">
        <v>19</v>
      </c>
      <c r="G260" s="89"/>
      <c r="H260" s="81"/>
      <c r="I260" s="81"/>
      <c r="J260" s="115" t="str">
        <f t="shared" si="3"/>
        <v/>
      </c>
      <c r="K260" s="81"/>
      <c r="L260" s="115">
        <f>Table1[[#This Row],[Duration]]*12</f>
        <v>0</v>
      </c>
      <c r="M260" s="82"/>
      <c r="N260" s="106" t="str">
        <f>IF(AND(Table1[[#This Row],[ Type of Contract]]="ESCO",Table1[[#This Row],[Status Detail]]="ACTIVE"),"yes","no")</f>
        <v>no</v>
      </c>
      <c r="O260" s="106"/>
      <c r="P260" s="106"/>
      <c r="Q260" s="105"/>
      <c r="R260" s="54"/>
      <c r="S260" s="54" t="s">
        <v>1277</v>
      </c>
      <c r="T260" s="54"/>
      <c r="U260" s="54" t="s">
        <v>1278</v>
      </c>
      <c r="V260" s="54" t="s">
        <v>1279</v>
      </c>
      <c r="W260" s="119" t="str">
        <f>IF(Table1[[#This Row],[Maintenance]]="yes",IF(OR(Table1[[#This Row],[Start Contract]]="",Table1[[#This Row],[Duration Month2]]=""),"",EDATE(Table1[[#This Row],[Start Contract]],Table1[[#This Row],[Duration Month2]])),"-")</f>
        <v>-</v>
      </c>
      <c r="X260" s="115" t="str">
        <f>IF(OR((W260=""),(W260="-")),"",YEAR(Table1[[#This Row],[End Contract]]))</f>
        <v/>
      </c>
      <c r="Y260" s="54" t="str">
        <f ca="1">IF(Table1[[#This Row],[Maintenance]]="yes",IF(Table1[[#This Row],[End Contract]]="","no",IF(TODAY()&lt;=Table1[[#This Row],[End Contract]],"yes","no")),"no")</f>
        <v>no</v>
      </c>
      <c r="Z260" s="54"/>
      <c r="AA260" s="54"/>
      <c r="AB260" s="54"/>
    </row>
    <row r="261" spans="1:28" x14ac:dyDescent="0.3">
      <c r="A261" s="71">
        <v>253</v>
      </c>
      <c r="B261" s="67" t="s">
        <v>1280</v>
      </c>
      <c r="C261" s="61" t="s">
        <v>1267</v>
      </c>
      <c r="D261">
        <v>505523337</v>
      </c>
      <c r="E261" t="s">
        <v>1268</v>
      </c>
      <c r="F261" s="89" t="s">
        <v>18</v>
      </c>
      <c r="G261" s="89"/>
      <c r="H261" s="81"/>
      <c r="I261" s="81"/>
      <c r="J261" s="115" t="str">
        <f t="shared" si="3"/>
        <v/>
      </c>
      <c r="K261" s="81"/>
      <c r="L261" s="115">
        <f>Table1[[#This Row],[Duration]]*12</f>
        <v>0</v>
      </c>
      <c r="M261" s="82"/>
      <c r="N261" s="106" t="str">
        <f>IF(AND(Table1[[#This Row],[ Type of Contract]]="ESCO",Table1[[#This Row],[Status Detail]]="ACTIVE"),"yes","no")</f>
        <v>no</v>
      </c>
      <c r="O261" s="106" t="s">
        <v>1269</v>
      </c>
      <c r="P261" s="106" t="s">
        <v>208</v>
      </c>
      <c r="Q261" s="105"/>
      <c r="R261" s="54"/>
      <c r="S261" s="54" t="s">
        <v>1270</v>
      </c>
      <c r="T261" s="54" t="s">
        <v>1271</v>
      </c>
      <c r="U261" s="54" t="s">
        <v>1272</v>
      </c>
      <c r="V261" s="54" t="s">
        <v>1273</v>
      </c>
      <c r="W261" s="119" t="str">
        <f>IF(Table1[[#This Row],[Maintenance]]="yes",IF(OR(Table1[[#This Row],[Start Contract]]="",Table1[[#This Row],[Duration Month2]]=""),"",EDATE(Table1[[#This Row],[Start Contract]],Table1[[#This Row],[Duration Month2]])),"-")</f>
        <v>-</v>
      </c>
      <c r="X261" s="115" t="str">
        <f>IF(OR((W261=""),(W261="-")),"",YEAR(Table1[[#This Row],[End Contract]]))</f>
        <v/>
      </c>
      <c r="Y261" s="54" t="str">
        <f ca="1">IF(Table1[[#This Row],[Maintenance]]="yes",IF(Table1[[#This Row],[End Contract]]="","no",IF(TODAY()&lt;=Table1[[#This Row],[End Contract]],"yes","no")),"no")</f>
        <v>no</v>
      </c>
      <c r="Z261" s="54"/>
      <c r="AA261" s="54"/>
      <c r="AB261" s="54"/>
    </row>
    <row r="262" spans="1:28" x14ac:dyDescent="0.3">
      <c r="A262" s="71">
        <v>254</v>
      </c>
      <c r="B262" s="67" t="s">
        <v>1281</v>
      </c>
      <c r="C262" s="61" t="s">
        <v>1267</v>
      </c>
      <c r="D262">
        <v>510721931</v>
      </c>
      <c r="E262" t="s">
        <v>1282</v>
      </c>
      <c r="F262" s="89" t="s">
        <v>9</v>
      </c>
      <c r="G262" s="89"/>
      <c r="H262" s="81"/>
      <c r="I262" s="81"/>
      <c r="J262" s="115" t="str">
        <f t="shared" si="3"/>
        <v/>
      </c>
      <c r="K262" s="81"/>
      <c r="L262" s="115">
        <f>Table1[[#This Row],[Duration]]*12</f>
        <v>0</v>
      </c>
      <c r="M262" s="82"/>
      <c r="N262" s="106" t="str">
        <f>IF(AND(Table1[[#This Row],[ Type of Contract]]="ESCO",Table1[[#This Row],[Status Detail]]="ACTIVE"),"yes","no")</f>
        <v>no</v>
      </c>
      <c r="O262" s="106"/>
      <c r="P262" s="106"/>
      <c r="Q262" s="105"/>
      <c r="R262" s="54"/>
      <c r="S262" s="54" t="s">
        <v>1270</v>
      </c>
      <c r="T262" s="54" t="s">
        <v>1271</v>
      </c>
      <c r="U262" s="54" t="s">
        <v>1272</v>
      </c>
      <c r="V262" s="54" t="s">
        <v>1273</v>
      </c>
      <c r="W262" s="119" t="str">
        <f>IF(Table1[[#This Row],[Maintenance]]="yes",IF(OR(Table1[[#This Row],[Start Contract]]="",Table1[[#This Row],[Duration Month2]]=""),"",EDATE(Table1[[#This Row],[Start Contract]],Table1[[#This Row],[Duration Month2]])),"-")</f>
        <v>-</v>
      </c>
      <c r="X262" s="115" t="str">
        <f>IF(OR((W262=""),(W262="-")),"",YEAR(Table1[[#This Row],[End Contract]]))</f>
        <v/>
      </c>
      <c r="Y262" s="54" t="str">
        <f ca="1">IF(Table1[[#This Row],[Maintenance]]="yes",IF(Table1[[#This Row],[End Contract]]="","no",IF(TODAY()&lt;=Table1[[#This Row],[End Contract]],"yes","no")),"no")</f>
        <v>no</v>
      </c>
      <c r="Z262" s="54"/>
      <c r="AA262" s="54"/>
      <c r="AB262" s="54"/>
    </row>
    <row r="263" spans="1:28" x14ac:dyDescent="0.3">
      <c r="A263" s="71">
        <v>255</v>
      </c>
      <c r="B263" s="67" t="s">
        <v>1283</v>
      </c>
      <c r="C263" t="s">
        <v>1284</v>
      </c>
      <c r="D263">
        <v>500910138</v>
      </c>
      <c r="E263" t="s">
        <v>1285</v>
      </c>
      <c r="F263" s="89" t="s">
        <v>9</v>
      </c>
      <c r="G263" s="89"/>
      <c r="H263" s="81"/>
      <c r="I263" s="81" t="s">
        <v>11</v>
      </c>
      <c r="J263" s="115" t="str">
        <f t="shared" si="3"/>
        <v>Solcorelius</v>
      </c>
      <c r="K263" s="81">
        <v>15</v>
      </c>
      <c r="L263" s="115">
        <f>Table1[[#This Row],[Duration]]*12</f>
        <v>180</v>
      </c>
      <c r="M263" s="82"/>
      <c r="N263" s="106" t="str">
        <f>IF(AND(Table1[[#This Row],[ Type of Contract]]="ESCO",Table1[[#This Row],[Status Detail]]="ACTIVE"),"yes","no")</f>
        <v>no</v>
      </c>
      <c r="O263" s="106"/>
      <c r="P263" s="106"/>
      <c r="Q263" s="105"/>
      <c r="R263" s="54"/>
      <c r="S263" s="54"/>
      <c r="T263" s="54"/>
      <c r="U263" s="54"/>
      <c r="V263" s="54"/>
      <c r="W263" s="119" t="str">
        <f>IF(Table1[[#This Row],[Maintenance]]="yes",IF(OR(Table1[[#This Row],[Start Contract]]="",Table1[[#This Row],[Duration Month2]]=""),"",EDATE(Table1[[#This Row],[Start Contract]],Table1[[#This Row],[Duration Month2]])),"-")</f>
        <v>-</v>
      </c>
      <c r="X263" s="115" t="str">
        <f>IF(OR((W263=""),(W263="-")),"",YEAR(Table1[[#This Row],[End Contract]]))</f>
        <v/>
      </c>
      <c r="Y263" s="54" t="str">
        <f ca="1">IF(Table1[[#This Row],[Maintenance]]="yes",IF(Table1[[#This Row],[End Contract]]="","no",IF(TODAY()&lt;=Table1[[#This Row],[End Contract]],"yes","no")),"no")</f>
        <v>no</v>
      </c>
      <c r="Z263" s="54"/>
      <c r="AA263" s="54"/>
      <c r="AB263" s="54"/>
    </row>
    <row r="264" spans="1:28" x14ac:dyDescent="0.3">
      <c r="A264" s="71">
        <v>256</v>
      </c>
      <c r="B264" s="67" t="s">
        <v>1286</v>
      </c>
      <c r="C264" t="s">
        <v>1287</v>
      </c>
      <c r="D264">
        <v>505978890</v>
      </c>
      <c r="E264" t="s">
        <v>1288</v>
      </c>
      <c r="F264" s="89" t="s">
        <v>17</v>
      </c>
      <c r="G264" s="89"/>
      <c r="H264" s="81"/>
      <c r="I264" s="81" t="s">
        <v>8</v>
      </c>
      <c r="J264" s="115" t="str">
        <f t="shared" si="3"/>
        <v>Cliente</v>
      </c>
      <c r="K264" s="81"/>
      <c r="L264" s="115">
        <f>Table1[[#This Row],[Duration]]*12</f>
        <v>0</v>
      </c>
      <c r="M264" s="82"/>
      <c r="N264" s="106" t="str">
        <f>IF(AND(Table1[[#This Row],[ Type of Contract]]="ESCO",Table1[[#This Row],[Status Detail]]="ACTIVE"),"yes","no")</f>
        <v>no</v>
      </c>
      <c r="O264" s="106"/>
      <c r="P264" s="106"/>
      <c r="Q264" s="105"/>
      <c r="R264" s="54"/>
      <c r="S264" s="54" t="s">
        <v>1289</v>
      </c>
      <c r="T264" s="54"/>
      <c r="U264" s="54" t="s">
        <v>1290</v>
      </c>
      <c r="V264" s="54">
        <v>911138585</v>
      </c>
      <c r="W264" s="119" t="str">
        <f>IF(Table1[[#This Row],[Maintenance]]="yes",IF(OR(Table1[[#This Row],[Start Contract]]="",Table1[[#This Row],[Duration Month2]]=""),"",EDATE(Table1[[#This Row],[Start Contract]],Table1[[#This Row],[Duration Month2]])),"-")</f>
        <v>-</v>
      </c>
      <c r="X264" s="115" t="str">
        <f>IF(OR((W264=""),(W264="-")),"",YEAR(Table1[[#This Row],[End Contract]]))</f>
        <v/>
      </c>
      <c r="Y264" s="54" t="str">
        <f ca="1">IF(Table1[[#This Row],[Maintenance]]="yes",IF(Table1[[#This Row],[End Contract]]="","no",IF(TODAY()&lt;=Table1[[#This Row],[End Contract]],"yes","no")),"no")</f>
        <v>no</v>
      </c>
      <c r="Z264" s="54"/>
      <c r="AA264" s="54"/>
      <c r="AB264" s="54"/>
    </row>
    <row r="265" spans="1:28" ht="82.8" customHeight="1" x14ac:dyDescent="0.3">
      <c r="A265" s="71" t="s">
        <v>1246</v>
      </c>
      <c r="B265" s="67" t="s">
        <v>1384</v>
      </c>
      <c r="C265" s="67" t="s">
        <v>1384</v>
      </c>
      <c r="D265" s="61">
        <v>501593128</v>
      </c>
      <c r="E265" s="61" t="s">
        <v>1378</v>
      </c>
      <c r="F265" s="89" t="s">
        <v>1385</v>
      </c>
      <c r="G265" s="89">
        <v>273</v>
      </c>
      <c r="H265" s="229" t="s">
        <v>1387</v>
      </c>
      <c r="I265" s="81" t="s">
        <v>8</v>
      </c>
      <c r="J265" s="115"/>
      <c r="K265" s="81">
        <v>1</v>
      </c>
      <c r="L265" s="115">
        <f>Table1[[#This Row],[Duration]]*12</f>
        <v>12</v>
      </c>
      <c r="M265" s="82">
        <v>46064</v>
      </c>
      <c r="N265" s="106" t="s">
        <v>77</v>
      </c>
      <c r="O265" s="46" t="s">
        <v>53</v>
      </c>
      <c r="P265" s="106" t="s">
        <v>1386</v>
      </c>
      <c r="Q265" s="204"/>
      <c r="R265" s="54" t="s">
        <v>7</v>
      </c>
      <c r="S265" s="54" t="s">
        <v>1388</v>
      </c>
      <c r="T265" s="54"/>
      <c r="U265" s="198" t="s">
        <v>1389</v>
      </c>
      <c r="V265" s="202" t="s">
        <v>1138</v>
      </c>
      <c r="W265" s="119">
        <f>IF(Table1[[#This Row],[Maintenance]]="yes",IF(OR(Table1[[#This Row],[Start Contract]]="",Table1[[#This Row],[Duration Month2]]=""),"",EDATE(Table1[[#This Row],[Start Contract]],Table1[[#This Row],[Duration Month2]])),"-")</f>
        <v>46429</v>
      </c>
      <c r="X265" s="115">
        <f>IF(OR((W265=""),(W265="-")),"",YEAR(Table1[[#This Row],[End Contract]]))</f>
        <v>2027</v>
      </c>
      <c r="Y265" s="54" t="str">
        <f ca="1">IF(Table1[[#This Row],[Maintenance]]="yes",IF(Table1[[#This Row],[End Contract]]="","no",IF(TODAY()&lt;=Table1[[#This Row],[End Contract]],"yes","no")),"no")</f>
        <v>yes</v>
      </c>
      <c r="Z265" s="54"/>
      <c r="AA265" s="277">
        <v>1150</v>
      </c>
      <c r="AB265" s="54" t="s">
        <v>1408</v>
      </c>
    </row>
  </sheetData>
  <conditionalFormatting sqref="A265:G265 A1:XFD264 I265:XFD265 A266:XFD1048576">
    <cfRule type="cellIs" dxfId="191" priority="9" operator="equal">
      <formula>"?"</formula>
    </cfRule>
  </conditionalFormatting>
  <conditionalFormatting sqref="A226:Q226 S226:U226">
    <cfRule type="expression" dxfId="190" priority="76">
      <formula>#REF!="ON HOLD"</formula>
    </cfRule>
    <cfRule type="expression" dxfId="189" priority="77">
      <formula>#REF!="CANCELLED"</formula>
    </cfRule>
  </conditionalFormatting>
  <conditionalFormatting sqref="A2:V5 A6:L6 N6:V6 A7:V27 A28:U28 A29:V37 A38:L38 N38:V38 A39:V45 A46:R46 T46:V46 A47:V65 A66:T66 V66 A67:V77 A78:T78 V78 A79:V82 A83:D84 F83:V84 A85:V94 A95:T95 V95 A96:V97 A98:D98 F98:V98 A99:V112 A113:T113 V113 A114:L114 N114:V114 A115:D115 F115:T115 V115 A116:V122 A123:L123 N123:V123 A124:V124 A125:L125 N125:V125 A126:V133 A134:L134 N134:V134 A135:V136 A137:D137 F137:V137 A138:V154 A155:D155 F155:L155 N155:V156 A156:L156 A157:V159 A160:L160 N160:P160 R160:V160 J161:V162 A161:I218 J163:L163 N163:V163 J164:V184 J185:L186 N185:V186 J187:T187 V187 J188:V206 J207:R207 T207:V207 J208:V214 J215:R215 T215:V215 J216:V221 A219:B219 F219:I219 A220:I220 A221:B221 E221:I221 J222:U222 A222:I223 J223:V223 A224:T224 V224 A225:V225 A226:U226 A227:V227 A228:N228 P228:V228 A229:D229 F229:V229 A230:V230 A231:U231 A232:T232 V232 A233:C233 F233:V233 A234:V235 A236:P236 R236:V236 A237:T237 A238:V239 A240:D240 F240:V240 A241:B241 D241:V241 A242:V242 A243:D244 F243:V244 A245:V246 A247:T247 V247 A248:V248 A249:P249 R249:V249 A250:B251 F250:V252 A252 A253:V254 A255:U255 F256:T256 V256 A256:C262 F257:V264 A263:B265 F265:G265 I265:V265">
    <cfRule type="expression" dxfId="188" priority="46">
      <formula>ISODD(ROW())</formula>
    </cfRule>
    <cfRule type="expression" dxfId="187" priority="47">
      <formula>ISEVEN(ROW())</formula>
    </cfRule>
  </conditionalFormatting>
  <conditionalFormatting sqref="C250">
    <cfRule type="expression" dxfId="186" priority="26">
      <formula>$R250="ON HOLD"</formula>
    </cfRule>
    <cfRule type="expression" dxfId="185" priority="27">
      <formula>$R250="CANCELLED"</formula>
    </cfRule>
    <cfRule type="expression" dxfId="184" priority="28">
      <formula>ISODD(ROW())</formula>
    </cfRule>
    <cfRule type="expression" dxfId="183" priority="29">
      <formula>ISEVEN(ROW())</formula>
    </cfRule>
  </conditionalFormatting>
  <conditionalFormatting sqref="C252">
    <cfRule type="expression" dxfId="182" priority="22">
      <formula>$R252="ON HOLD"</formula>
    </cfRule>
    <cfRule type="expression" dxfId="181" priority="23">
      <formula>$R252="CANCELLED"</formula>
    </cfRule>
    <cfRule type="expression" dxfId="180" priority="24">
      <formula>ISODD(ROW())</formula>
    </cfRule>
    <cfRule type="expression" dxfId="179" priority="25">
      <formula>ISEVEN(ROW())</formula>
    </cfRule>
  </conditionalFormatting>
  <conditionalFormatting sqref="C265">
    <cfRule type="expression" dxfId="178" priority="5">
      <formula>$R265="ON HOLD"</formula>
    </cfRule>
    <cfRule type="expression" dxfId="177" priority="6">
      <formula>$R265="CANCELLED"</formula>
    </cfRule>
    <cfRule type="expression" dxfId="176" priority="7">
      <formula>ISODD(ROW())</formula>
    </cfRule>
    <cfRule type="expression" dxfId="175" priority="8">
      <formula>ISEVEN(ROW())</formula>
    </cfRule>
    <cfRule type="expression" dxfId="174" priority="10">
      <formula>$R265="ON HOLD"</formula>
    </cfRule>
    <cfRule type="expression" dxfId="173" priority="11">
      <formula>$R265="CANCELLED"</formula>
    </cfRule>
    <cfRule type="expression" dxfId="172" priority="12">
      <formula>ISODD(ROW())</formula>
    </cfRule>
    <cfRule type="expression" dxfId="171" priority="13">
      <formula>ISEVEN(ROW())</formula>
    </cfRule>
  </conditionalFormatting>
  <conditionalFormatting sqref="D143">
    <cfRule type="iconSet" priority="62">
      <iconSet iconSet="3Symbols2">
        <cfvo type="percent" val="0"/>
        <cfvo type="formula" val="$C$146" gte="0"/>
        <cfvo type="formula" val="$C$143" gte="0"/>
      </iconSet>
    </cfRule>
  </conditionalFormatting>
  <conditionalFormatting sqref="D250:D252">
    <cfRule type="expression" dxfId="170" priority="34">
      <formula>$R250="ON HOLD"</formula>
    </cfRule>
    <cfRule type="expression" dxfId="169" priority="35">
      <formula>$R250="CANCELLED"</formula>
    </cfRule>
    <cfRule type="expression" dxfId="168" priority="36">
      <formula>ISODD(ROW())</formula>
    </cfRule>
    <cfRule type="expression" dxfId="167" priority="37">
      <formula>ISEVEN(ROW())</formula>
    </cfRule>
  </conditionalFormatting>
  <conditionalFormatting sqref="D265">
    <cfRule type="expression" dxfId="166" priority="1">
      <formula>$R265="ON HOLD"</formula>
    </cfRule>
    <cfRule type="expression" dxfId="165" priority="2">
      <formula>$R265="CANCELLED"</formula>
    </cfRule>
    <cfRule type="expression" dxfId="164" priority="3">
      <formula>ISODD(ROW())</formula>
    </cfRule>
    <cfRule type="expression" dxfId="163" priority="4">
      <formula>ISEVEN(ROW())</formula>
    </cfRule>
  </conditionalFormatting>
  <conditionalFormatting sqref="E239">
    <cfRule type="expression" dxfId="162" priority="96">
      <formula>$R240="CANCELLED"</formula>
    </cfRule>
    <cfRule type="expression" dxfId="161" priority="102">
      <formula>$R240="ON HOLD"</formula>
    </cfRule>
  </conditionalFormatting>
  <conditionalFormatting sqref="E250:E252">
    <cfRule type="expression" dxfId="160" priority="30">
      <formula>$R250="ON HOLD"</formula>
    </cfRule>
    <cfRule type="expression" dxfId="159" priority="31">
      <formula>$R250="CANCELLED"</formula>
    </cfRule>
    <cfRule type="expression" dxfId="158" priority="32">
      <formula>ISODD(ROW())</formula>
    </cfRule>
    <cfRule type="expression" dxfId="157" priority="33">
      <formula>ISEVEN(ROW())</formula>
    </cfRule>
  </conditionalFormatting>
  <conditionalFormatting sqref="E265">
    <cfRule type="expression" dxfId="156" priority="14">
      <formula>$R265="ON HOLD"</formula>
    </cfRule>
    <cfRule type="expression" dxfId="155" priority="15">
      <formula>$R265="CANCELLED"</formula>
    </cfRule>
    <cfRule type="expression" dxfId="154" priority="16">
      <formula>ISODD(ROW())</formula>
    </cfRule>
    <cfRule type="expression" dxfId="153" priority="17">
      <formula>ISEVEN(ROW())</formula>
    </cfRule>
  </conditionalFormatting>
  <conditionalFormatting sqref="M2:V5 A2:L82 N6:V6 M7:V27 M28:U28 M29:V37 N38:V38 M39:V45 M46:R46 T46:V46 M47:V65 M66:T66 V66 M67:V77 M78:T78 V78 M79:V94 A83:D84 F83:L84 A85:L97 M95:T95 V95 M96:V112 A98:D98 F98:L98 A99:L114 M113:T113 V113 N114:V114 A115:D115 F115:T115 V115 M116:Q122 A116:L134 R116:V160 N123:Q123 M124:Q124 N125:Q125 M126:Q133 N134:Q134 A135:Q136 A137:D137 F137:Q137 A138:Q154 A155:D155 F155:L155 N155:Q156 A156:L213 M157:Q159 N160:P160 M161:V162 N163:V163 M164:V184 N185:V186 M187:T187 V187 M188:V206 M207:R207 T207:V207 M208:V213 A214:V214 A215:R215 T215:V215 A216:V218 A219:B219 D219 F219:V219 A220:V221 A222:U222 A223:V223 A224:T224 V224 A225:V225 R225:R247 B228:N228 P228:V228 A228:A252 B229:D229 F229:V229 B230:V230 B231:U231 B232:T232 V232 B233:C233 F233:Q233 R233:V236 B234:Q234 B235:P236 B237:T237 B238:V238 B239:D240 F239:V240 B241 D241:V241 B242:V242 B243:D244 F243:V244 B245:V246 B247:T247 V247 B248:P249 R248:V249 B250:B251 F250:V252 A253:V254 A255:U255 F256:T256 V256 A256:C262 F257:V264 A263:B265 F265:G265 I265:V265 A266:V1048576">
    <cfRule type="expression" dxfId="152" priority="45">
      <formula>$R2="CANCELLED"</formula>
    </cfRule>
  </conditionalFormatting>
  <conditionalFormatting sqref="O229">
    <cfRule type="expression" dxfId="151" priority="83">
      <formula>$R228="CANCELLED"</formula>
    </cfRule>
    <cfRule type="expression" dxfId="150" priority="86">
      <formula>$R228="ON HOLD"</formula>
    </cfRule>
  </conditionalFormatting>
  <conditionalFormatting sqref="Q235">
    <cfRule type="expression" dxfId="149" priority="92">
      <formula>$R236="CANCELLED"</formula>
    </cfRule>
    <cfRule type="expression" dxfId="148" priority="94">
      <formula>$R236="ON HOLD"</formula>
    </cfRule>
  </conditionalFormatting>
  <conditionalFormatting sqref="Q248">
    <cfRule type="expression" dxfId="147" priority="112">
      <formula>$R249="CANCELLED"</formula>
    </cfRule>
    <cfRule type="expression" dxfId="146" priority="118">
      <formula>$R249="ON HOLD"</formula>
    </cfRule>
  </conditionalFormatting>
  <conditionalFormatting sqref="R225:R247 F229:V229 M2:V5 A2:L82 N6:V6 M7:V27 M28:U28 M29:V37 N38:V38 M39:V45 M46:R46 T46:V46 M47:V65 M66:T66 V66 M67:V77 M78:T78 V78 M79:V94 A83:D84 F83:L84 A85:L97 M95:T95 V95 M96:V112 A98:D98 F98:L98 A99:L114 M113:T113 V113 N114:V114 A115:D115 F115:T115 V115 M116:Q122 A116:L134 R116:V160 N123:Q123 M124:Q124 N125:Q125 M126:Q133 N134:Q134 A135:Q136 A137:D137 F137:Q137 A138:Q154 A155:D155 F155:L155 N155:Q156 A156:L213 M157:Q159 N160:P160 M161:V162 N163:V163 M164:V184 N185:V186 M187:T187 V187 M188:V206 M207:R207 T207:V207 M208:V213 A214:V214 A215:R215 T215:V215 A216:V218 A219:B219 D219 F219:V219 A220:V221 A222:U222 A223:V223 A224:T224 V224 A225:V225 B228:N228 P228:V228 A228:A252 B229:D229 B230:V230 B231:U231 B232:T232 V232 B233:C233 F233:Q233 R233:V236 B234:Q234 B235:P236 B237:T237 B238:V238 B239:D240 F239:V240 B241 D241:V241 B242:V242 B243:D244 F243:V244 B245:V246 B247:T247 V247 B248:P249 R248:V249 B250:B251 F250:V252 A253:V254 A255:U255 F256:T256 V256 A256:C262 F257:V264 A263:B265 F265:G265 I265:V265 A266:V1048576">
    <cfRule type="expression" dxfId="145" priority="44">
      <formula>$R2="ON HOLD"</formula>
    </cfRule>
  </conditionalFormatting>
  <conditionalFormatting sqref="R226 A227:V227">
    <cfRule type="expression" dxfId="144" priority="70">
      <formula>$R225="ON HOLD"</formula>
    </cfRule>
    <cfRule type="expression" dxfId="143" priority="71">
      <formula>$R225="CANCELLED"</formula>
    </cfRule>
  </conditionalFormatting>
  <conditionalFormatting sqref="R229">
    <cfRule type="expression" dxfId="142" priority="42">
      <formula>$R228="ON HOLD"</formula>
    </cfRule>
    <cfRule type="expression" dxfId="141" priority="43">
      <formula>$R228="CANCELLED"</formula>
    </cfRule>
  </conditionalFormatting>
  <conditionalFormatting sqref="W2:W1048576">
    <cfRule type="expression" dxfId="140" priority="1855">
      <formula>AND($Y2&lt;&gt;"yes",$N2="yes")</formula>
    </cfRule>
  </conditionalFormatting>
  <dataValidations count="3">
    <dataValidation type="list" allowBlank="1" showInputMessage="1" showErrorMessage="1" promptTitle="ESCO" sqref="I1 I100:I252 I254:I1048576" xr:uid="{00000000-0002-0000-0200-000001000000}">
      <formula1>"ESCO, EPC"</formula1>
    </dataValidation>
    <dataValidation type="list" allowBlank="1" showInputMessage="1" showErrorMessage="1" promptTitle="ESCO" sqref="I2:I99 I253" xr:uid="{00000000-0002-0000-0200-000002000000}">
      <formula1>"ESCO, EPC,ESCO BUYOUT"</formula1>
    </dataValidation>
    <dataValidation type="list" allowBlank="1" showInputMessage="1" showErrorMessage="1" sqref="R2:R265" xr:uid="{00000000-0002-0000-0200-000004000000}">
      <formula1>"ACTIVE,CONSTRUCTION,BUILT,ON HOLD,CANCELLED"</formula1>
    </dataValidation>
  </dataValidations>
  <hyperlinks>
    <hyperlink ref="U15" r:id="rId1" xr:uid="{00000000-0004-0000-0200-000000000000}"/>
    <hyperlink ref="U18" r:id="rId2" xr:uid="{00000000-0004-0000-0200-000001000000}"/>
    <hyperlink ref="U27" r:id="rId3" xr:uid="{00000000-0004-0000-0200-000002000000}"/>
    <hyperlink ref="U29" r:id="rId4" xr:uid="{00000000-0004-0000-0200-000003000000}"/>
    <hyperlink ref="U30" r:id="rId5" xr:uid="{00000000-0004-0000-0200-000004000000}"/>
    <hyperlink ref="U31" r:id="rId6" xr:uid="{00000000-0004-0000-0200-000005000000}"/>
    <hyperlink ref="U35" r:id="rId7" xr:uid="{00000000-0004-0000-0200-000006000000}"/>
    <hyperlink ref="U36" r:id="rId8" xr:uid="{00000000-0004-0000-0200-000007000000}"/>
    <hyperlink ref="U37" r:id="rId9" xr:uid="{00000000-0004-0000-0200-000008000000}"/>
    <hyperlink ref="U38" r:id="rId10" xr:uid="{00000000-0004-0000-0200-000009000000}"/>
    <hyperlink ref="U41" r:id="rId11" xr:uid="{00000000-0004-0000-0200-00000A000000}"/>
    <hyperlink ref="U42" r:id="rId12" xr:uid="{00000000-0004-0000-0200-00000B000000}"/>
    <hyperlink ref="U45" r:id="rId13" xr:uid="{00000000-0004-0000-0200-00000C000000}"/>
    <hyperlink ref="U47" r:id="rId14" xr:uid="{00000000-0004-0000-0200-00000D000000}"/>
    <hyperlink ref="U48" r:id="rId15" xr:uid="{00000000-0004-0000-0200-00000E000000}"/>
    <hyperlink ref="U49" r:id="rId16" xr:uid="{00000000-0004-0000-0200-00000F000000}"/>
    <hyperlink ref="U50" r:id="rId17" xr:uid="{00000000-0004-0000-0200-000010000000}"/>
    <hyperlink ref="U51" r:id="rId18" xr:uid="{00000000-0004-0000-0200-000011000000}"/>
    <hyperlink ref="U52" r:id="rId19" xr:uid="{00000000-0004-0000-0200-000012000000}"/>
    <hyperlink ref="U53" r:id="rId20" xr:uid="{00000000-0004-0000-0200-000013000000}"/>
    <hyperlink ref="U54" r:id="rId21" xr:uid="{00000000-0004-0000-0200-000014000000}"/>
    <hyperlink ref="U55" r:id="rId22" xr:uid="{00000000-0004-0000-0200-000015000000}"/>
    <hyperlink ref="U56" r:id="rId23" xr:uid="{00000000-0004-0000-0200-000016000000}"/>
    <hyperlink ref="U57" r:id="rId24" xr:uid="{00000000-0004-0000-0200-000017000000}"/>
    <hyperlink ref="U59" r:id="rId25" xr:uid="{00000000-0004-0000-0200-000018000000}"/>
    <hyperlink ref="U69" r:id="rId26" xr:uid="{00000000-0004-0000-0200-000019000000}"/>
    <hyperlink ref="U80" r:id="rId27" xr:uid="{00000000-0004-0000-0200-00001A000000}"/>
    <hyperlink ref="U85" r:id="rId28" xr:uid="{00000000-0004-0000-0200-00001B000000}"/>
    <hyperlink ref="U86" r:id="rId29" xr:uid="{00000000-0004-0000-0200-00001C000000}"/>
    <hyperlink ref="U87" r:id="rId30" xr:uid="{00000000-0004-0000-0200-00001D000000}"/>
    <hyperlink ref="U88" r:id="rId31" xr:uid="{00000000-0004-0000-0200-00001E000000}"/>
    <hyperlink ref="U89" r:id="rId32" xr:uid="{00000000-0004-0000-0200-00001F000000}"/>
    <hyperlink ref="U92" r:id="rId33" xr:uid="{00000000-0004-0000-0200-000020000000}"/>
    <hyperlink ref="U93" r:id="rId34" xr:uid="{00000000-0004-0000-0200-000021000000}"/>
    <hyperlink ref="U94" r:id="rId35" xr:uid="{00000000-0004-0000-0200-000022000000}"/>
    <hyperlink ref="U98" r:id="rId36" xr:uid="{00000000-0004-0000-0200-000023000000}"/>
    <hyperlink ref="U99" r:id="rId37" xr:uid="{00000000-0004-0000-0200-000024000000}"/>
    <hyperlink ref="U101" r:id="rId38" xr:uid="{00000000-0004-0000-0200-000025000000}"/>
    <hyperlink ref="U105" r:id="rId39" xr:uid="{00000000-0004-0000-0200-000026000000}"/>
    <hyperlink ref="U107" r:id="rId40" xr:uid="{00000000-0004-0000-0200-000027000000}"/>
    <hyperlink ref="U108" r:id="rId41" xr:uid="{00000000-0004-0000-0200-000028000000}"/>
    <hyperlink ref="U111" r:id="rId42" xr:uid="{00000000-0004-0000-0200-000029000000}"/>
    <hyperlink ref="U112" r:id="rId43" xr:uid="{00000000-0004-0000-0200-00002A000000}"/>
    <hyperlink ref="U114" r:id="rId44" xr:uid="{00000000-0004-0000-0200-00002B000000}"/>
    <hyperlink ref="U119" r:id="rId45" xr:uid="{00000000-0004-0000-0200-00002C000000}"/>
    <hyperlink ref="U120" r:id="rId46" xr:uid="{00000000-0004-0000-0200-00002D000000}"/>
    <hyperlink ref="U123" r:id="rId47" xr:uid="{00000000-0004-0000-0200-00002E000000}"/>
    <hyperlink ref="U124" r:id="rId48" xr:uid="{00000000-0004-0000-0200-00002F000000}"/>
    <hyperlink ref="U125" r:id="rId49" xr:uid="{00000000-0004-0000-0200-000030000000}"/>
    <hyperlink ref="U134" r:id="rId50" xr:uid="{00000000-0004-0000-0200-000031000000}"/>
    <hyperlink ref="U145" r:id="rId51" xr:uid="{00000000-0004-0000-0200-000032000000}"/>
    <hyperlink ref="U155" r:id="rId52" xr:uid="{00000000-0004-0000-0200-000033000000}"/>
    <hyperlink ref="U156" r:id="rId53" xr:uid="{00000000-0004-0000-0200-000034000000}"/>
    <hyperlink ref="U159" r:id="rId54" xr:uid="{00000000-0004-0000-0200-000035000000}"/>
    <hyperlink ref="U160" r:id="rId55" xr:uid="{00000000-0004-0000-0200-000036000000}"/>
    <hyperlink ref="U163" r:id="rId56" xr:uid="{00000000-0004-0000-0200-000037000000}"/>
    <hyperlink ref="U166" r:id="rId57" xr:uid="{00000000-0004-0000-0200-000038000000}"/>
    <hyperlink ref="U167" r:id="rId58" xr:uid="{00000000-0004-0000-0200-000039000000}"/>
    <hyperlink ref="U174" r:id="rId59" xr:uid="{00000000-0004-0000-0200-00003A000000}"/>
    <hyperlink ref="U175" r:id="rId60" xr:uid="{00000000-0004-0000-0200-00003B000000}"/>
    <hyperlink ref="U176" r:id="rId61" xr:uid="{00000000-0004-0000-0200-00003C000000}"/>
    <hyperlink ref="U177" r:id="rId62" xr:uid="{00000000-0004-0000-0200-00003D000000}"/>
    <hyperlink ref="U181" r:id="rId63" xr:uid="{00000000-0004-0000-0200-00003E000000}"/>
    <hyperlink ref="U183" r:id="rId64" xr:uid="{00000000-0004-0000-0200-00003F000000}"/>
    <hyperlink ref="U185" r:id="rId65" xr:uid="{00000000-0004-0000-0200-000040000000}"/>
    <hyperlink ref="U186" r:id="rId66" xr:uid="{00000000-0004-0000-0200-000041000000}"/>
    <hyperlink ref="U191" r:id="rId67" xr:uid="{00000000-0004-0000-0200-000042000000}"/>
    <hyperlink ref="U200" r:id="rId68" xr:uid="{00000000-0004-0000-0200-000043000000}"/>
    <hyperlink ref="U201" r:id="rId69" xr:uid="{00000000-0004-0000-0200-000044000000}"/>
    <hyperlink ref="U202" r:id="rId70" xr:uid="{00000000-0004-0000-0200-000045000000}"/>
    <hyperlink ref="U203" r:id="rId71" xr:uid="{00000000-0004-0000-0200-000046000000}"/>
    <hyperlink ref="U206" r:id="rId72" xr:uid="{00000000-0004-0000-0200-000047000000}"/>
    <hyperlink ref="U209" r:id="rId73" xr:uid="{00000000-0004-0000-0200-000048000000}"/>
    <hyperlink ref="U212" r:id="rId74" xr:uid="{00000000-0004-0000-0200-000049000000}"/>
    <hyperlink ref="U213" r:id="rId75" xr:uid="{00000000-0004-0000-0200-00004A000000}"/>
    <hyperlink ref="U214" r:id="rId76" xr:uid="{00000000-0004-0000-0200-00004B000000}"/>
    <hyperlink ref="U215" r:id="rId77" xr:uid="{00000000-0004-0000-0200-00004C000000}"/>
    <hyperlink ref="U216" r:id="rId78" xr:uid="{00000000-0004-0000-0200-00004D000000}"/>
    <hyperlink ref="U220" r:id="rId79" xr:uid="{00000000-0004-0000-0200-00004E000000}"/>
    <hyperlink ref="U221" r:id="rId80" xr:uid="{00000000-0004-0000-0200-00004F000000}"/>
    <hyperlink ref="U222" r:id="rId81" xr:uid="{00000000-0004-0000-0200-000050000000}"/>
    <hyperlink ref="U223" r:id="rId82" xr:uid="{00000000-0004-0000-0200-000051000000}"/>
    <hyperlink ref="U224" r:id="rId83" xr:uid="{00000000-0004-0000-0200-000052000000}"/>
    <hyperlink ref="U225" r:id="rId84" xr:uid="{00000000-0004-0000-0200-000053000000}"/>
    <hyperlink ref="U230" r:id="rId85" xr:uid="{00000000-0004-0000-0200-000054000000}"/>
    <hyperlink ref="U232" r:id="rId86" xr:uid="{00000000-0004-0000-0200-000055000000}"/>
    <hyperlink ref="V237" r:id="rId87" display="https://www.google.com/search?q=bomflex&amp;sca_esv=6db176930c53557b&amp;ei=Qf9baM3XM5eqkdUPiNT12A0&amp;ved=0ahUKEwiN_Kmd3IyOAxUXVaQEHQhqHdsQ4dUDCBA&amp;uact=5&amp;oq=bomflex&amp;gs_lp=Egxnd3Mtd2l6LXNlcnAiB2JvbWZsZXgyBxAAGIAEGA0yBxAAGIAEGA0yBxAAGIAEGA0yBxAAGIAEGA0yBxAAGIAEGA0yBxAAGIAEGA0yBxAAGIAEGA0yBxAAGIAEGA0yBxAAGIAEGA0yBxAAGIAEGA1ItSNQmQVYqiJwAXgCkAEBmAHvA6ABnBOqAQk3LjYuMS4xLjG4AQPIAQD4AQGYAgygAtwMwgIKEAAYsAMY1gQYR8ICBBAAGEfCAgcQIRigARgKwgIEECEYFcICBRAhGJ8FwgIGEAAYFhgewgIIEAAYFhgKGB7CAgcQABiABBgTwgIIEAAYExgWGB7CAgoQABgTGBYYChgewgIHEAAYgAQYCsICBRAAGIAEwgINEC4YgAQYxwEYChivAcICChAAGIAEGEMYigXCAgsQLhiABBjHARivAcICBRAuGIAEmAMA4gMFEgExIECIBgGQBgiSBwcyLjguMS4xoAfzfrIHBzAuOC4xLjG4B8kMwgcFMi03LjXIB1U&amp;sclient=gws-wiz-serp" xr:uid="{00000000-0004-0000-0200-000056000000}"/>
    <hyperlink ref="U238" r:id="rId88" xr:uid="{00000000-0004-0000-0200-000057000000}"/>
    <hyperlink ref="U239" r:id="rId89" xr:uid="{00000000-0004-0000-0200-000058000000}"/>
    <hyperlink ref="U241" r:id="rId90" xr:uid="{00000000-0004-0000-0200-000059000000}"/>
    <hyperlink ref="U246" r:id="rId91" xr:uid="{00000000-0004-0000-0200-00005A000000}"/>
    <hyperlink ref="U247" r:id="rId92" xr:uid="{00000000-0004-0000-0200-00005B000000}"/>
    <hyperlink ref="U250" r:id="rId93" xr:uid="{00000000-0004-0000-0200-00005C000000}"/>
    <hyperlink ref="U251" r:id="rId94" xr:uid="{00000000-0004-0000-0200-00005D000000}"/>
    <hyperlink ref="U252" r:id="rId95" xr:uid="{00000000-0004-0000-0200-00005E000000}"/>
    <hyperlink ref="U253" r:id="rId96" xr:uid="{00000000-0004-0000-0200-00005F000000}"/>
    <hyperlink ref="U265" r:id="rId97" xr:uid="{B2629B3B-D103-4295-AA30-3F9E074AD036}"/>
  </hyperlinks>
  <pageMargins left="0.7" right="0.7" top="0.75" bottom="0.75" header="0.3" footer="0.3"/>
  <pageSetup orientation="portrait" r:id="rId98"/>
  <legacyDrawing r:id="rId99"/>
  <tableParts count="1">
    <tablePart r:id="rId10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BL86"/>
  <sheetViews>
    <sheetView zoomScaleNormal="100" workbookViewId="0">
      <pane xSplit="3" ySplit="1" topLeftCell="D2" activePane="bottomRight" state="frozen"/>
      <selection pane="topRight" activeCell="D1" sqref="D1"/>
      <selection pane="bottomLeft" activeCell="A2" sqref="A2"/>
      <selection pane="bottomRight" activeCell="C93" sqref="C93"/>
    </sheetView>
  </sheetViews>
  <sheetFormatPr defaultColWidth="8.77734375" defaultRowHeight="13.8" x14ac:dyDescent="0.3"/>
  <cols>
    <col min="1" max="1" width="2.21875" style="10" customWidth="1"/>
    <col min="2" max="2" width="7.21875" style="31" customWidth="1"/>
    <col min="3" max="3" width="23.77734375" style="32" customWidth="1"/>
    <col min="4" max="4" width="22.5546875" style="31" customWidth="1"/>
    <col min="5" max="5" width="19.5546875" style="33" customWidth="1"/>
    <col min="6" max="6" width="11.21875" style="33" customWidth="1"/>
    <col min="7" max="7" width="17.5546875" style="33" customWidth="1"/>
    <col min="8" max="8" width="16.21875" style="33" customWidth="1"/>
    <col min="9" max="9" width="15.5546875" style="33" customWidth="1"/>
    <col min="10" max="10" width="11" style="33" customWidth="1"/>
    <col min="11" max="11" width="9.21875" style="33" customWidth="1"/>
    <col min="12" max="12" width="13.77734375" style="33" customWidth="1"/>
    <col min="13" max="13" width="14.21875" style="33" customWidth="1"/>
    <col min="14" max="14" width="129.77734375" style="34" customWidth="1"/>
    <col min="15" max="15" width="8.77734375" style="10" customWidth="1"/>
    <col min="16" max="16384" width="8.77734375" style="10"/>
  </cols>
  <sheetData>
    <row r="1" spans="1:740" ht="41.4" customHeight="1" x14ac:dyDescent="0.3">
      <c r="B1" s="11" t="s">
        <v>23</v>
      </c>
      <c r="C1" s="11" t="s">
        <v>25</v>
      </c>
      <c r="D1" s="12" t="s">
        <v>1291</v>
      </c>
      <c r="E1" s="11" t="s">
        <v>1292</v>
      </c>
      <c r="F1" s="11" t="s">
        <v>1293</v>
      </c>
      <c r="G1" s="11" t="s">
        <v>1294</v>
      </c>
      <c r="H1" s="11" t="s">
        <v>1295</v>
      </c>
      <c r="I1" s="11" t="s">
        <v>1296</v>
      </c>
      <c r="J1" s="11" t="s">
        <v>1297</v>
      </c>
      <c r="K1" s="11" t="s">
        <v>1298</v>
      </c>
      <c r="L1" s="11" t="s">
        <v>1299</v>
      </c>
      <c r="M1" s="11" t="s">
        <v>1300</v>
      </c>
      <c r="N1" s="11" t="s">
        <v>1301</v>
      </c>
    </row>
    <row r="2" spans="1:740" s="21" customFormat="1" x14ac:dyDescent="0.3">
      <c r="A2" s="10"/>
      <c r="B2" s="13">
        <f t="shared" ref="B2:B33" si="0">IF(J2="Não Tratar",4,IF(J2="Ativo",3,IF(J2="Aguardando",2,IF(J2="Certificado",1,IF(J2="Pendencias",0)))))</f>
        <v>3</v>
      </c>
      <c r="C2" s="14" t="e">
        <f t="array" ref="C2">_xlfn._xlws.FILTER('Project Overview'!B:B,('Project Overview'!#REF!="ACTIVE")*('Project Overview'!#REF!="Com Injeção"))</f>
        <v>#REF!</v>
      </c>
      <c r="D2" s="17" t="s">
        <v>158</v>
      </c>
      <c r="E2" s="18"/>
      <c r="F2" s="18"/>
      <c r="G2" s="18"/>
      <c r="H2" s="18"/>
      <c r="I2" s="18"/>
      <c r="J2" s="18" t="s">
        <v>1302</v>
      </c>
      <c r="K2" s="18">
        <v>12</v>
      </c>
      <c r="L2" s="19">
        <v>44223</v>
      </c>
      <c r="M2" s="19">
        <f>EOMONTH(L2,K2)</f>
        <v>44592</v>
      </c>
      <c r="N2" s="2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c r="HX2" s="10"/>
      <c r="HY2" s="10"/>
      <c r="HZ2" s="10"/>
      <c r="IA2" s="10"/>
      <c r="IB2" s="10"/>
      <c r="IC2" s="10"/>
      <c r="ID2" s="10"/>
      <c r="IE2" s="10"/>
      <c r="IF2" s="10"/>
      <c r="IG2" s="10"/>
      <c r="IH2" s="10"/>
      <c r="II2" s="10"/>
      <c r="IJ2" s="10"/>
      <c r="IK2" s="10"/>
      <c r="IL2" s="10"/>
      <c r="IM2" s="10"/>
      <c r="IN2" s="10"/>
      <c r="IO2" s="10"/>
      <c r="IP2" s="10"/>
      <c r="IQ2" s="10"/>
      <c r="IR2" s="10"/>
      <c r="IS2" s="10"/>
      <c r="IT2" s="10"/>
      <c r="IU2" s="10"/>
      <c r="IV2" s="10"/>
      <c r="IW2" s="10"/>
      <c r="IX2" s="10"/>
      <c r="IY2" s="10"/>
      <c r="IZ2" s="10"/>
      <c r="JA2" s="10"/>
      <c r="JB2" s="10"/>
      <c r="JC2" s="10"/>
      <c r="JD2" s="10"/>
      <c r="JE2" s="10"/>
      <c r="JF2" s="10"/>
      <c r="JG2" s="10"/>
      <c r="JH2" s="10"/>
      <c r="JI2" s="10"/>
      <c r="JJ2" s="10"/>
      <c r="JK2" s="10"/>
      <c r="JL2" s="10"/>
      <c r="JM2" s="10"/>
      <c r="JN2" s="10"/>
      <c r="JO2" s="10"/>
      <c r="JP2" s="10"/>
      <c r="JQ2" s="10"/>
      <c r="JR2" s="10"/>
      <c r="JS2" s="10"/>
      <c r="JT2" s="10"/>
      <c r="JU2" s="10"/>
      <c r="JV2" s="10"/>
      <c r="JW2" s="10"/>
      <c r="JX2" s="10"/>
      <c r="JY2" s="10"/>
      <c r="JZ2" s="10"/>
      <c r="KA2" s="10"/>
      <c r="KB2" s="10"/>
      <c r="KC2" s="10"/>
      <c r="KD2" s="10"/>
      <c r="KE2" s="10"/>
      <c r="KF2" s="10"/>
      <c r="KG2" s="10"/>
      <c r="KH2" s="10"/>
      <c r="KI2" s="10"/>
      <c r="KJ2" s="10"/>
      <c r="KK2" s="10"/>
      <c r="KL2" s="10"/>
      <c r="KM2" s="10"/>
      <c r="KN2" s="10"/>
      <c r="KO2" s="10"/>
      <c r="KP2" s="10"/>
      <c r="KQ2" s="10"/>
      <c r="KR2" s="10"/>
      <c r="KS2" s="10"/>
      <c r="KT2" s="10"/>
      <c r="KU2" s="10"/>
      <c r="KV2" s="10"/>
      <c r="KW2" s="10"/>
      <c r="KX2" s="10"/>
      <c r="KY2" s="10"/>
      <c r="KZ2" s="10"/>
      <c r="LA2" s="10"/>
      <c r="LB2" s="10"/>
      <c r="LC2" s="10"/>
      <c r="LD2" s="10"/>
      <c r="LE2" s="10"/>
      <c r="LF2" s="10"/>
      <c r="LG2" s="10"/>
      <c r="LH2" s="10"/>
      <c r="LI2" s="10"/>
      <c r="LJ2" s="10"/>
      <c r="LK2" s="10"/>
      <c r="LL2" s="10"/>
      <c r="LM2" s="10"/>
      <c r="LN2" s="10"/>
      <c r="LO2" s="10"/>
      <c r="LP2" s="10"/>
      <c r="LQ2" s="10"/>
      <c r="LR2" s="10"/>
      <c r="LS2" s="10"/>
      <c r="LT2" s="10"/>
      <c r="LU2" s="10"/>
      <c r="LV2" s="10"/>
      <c r="LW2" s="10"/>
      <c r="LX2" s="10"/>
      <c r="LY2" s="10"/>
      <c r="LZ2" s="10"/>
      <c r="MA2" s="10"/>
      <c r="MB2" s="10"/>
      <c r="MC2" s="10"/>
      <c r="MD2" s="10"/>
      <c r="ME2" s="10"/>
      <c r="MF2" s="10"/>
      <c r="MG2" s="10"/>
      <c r="MH2" s="10"/>
      <c r="MI2" s="10"/>
      <c r="MJ2" s="10"/>
      <c r="MK2" s="10"/>
      <c r="ML2" s="10"/>
      <c r="MM2" s="10"/>
      <c r="MN2" s="10"/>
      <c r="MO2" s="10"/>
      <c r="MP2" s="10"/>
      <c r="MQ2" s="10"/>
      <c r="MR2" s="10"/>
      <c r="MS2" s="10"/>
      <c r="MT2" s="10"/>
      <c r="MU2" s="10"/>
      <c r="MV2" s="10"/>
      <c r="MW2" s="10"/>
      <c r="MX2" s="10"/>
      <c r="MY2" s="10"/>
      <c r="MZ2" s="10"/>
      <c r="NA2" s="10"/>
      <c r="NB2" s="10"/>
      <c r="NC2" s="10"/>
      <c r="ND2" s="10"/>
      <c r="NE2" s="10"/>
      <c r="NF2" s="10"/>
      <c r="NG2" s="10"/>
      <c r="NH2" s="10"/>
      <c r="NI2" s="10"/>
      <c r="NJ2" s="10"/>
      <c r="NK2" s="10"/>
      <c r="NL2" s="10"/>
      <c r="NM2" s="10"/>
      <c r="NN2" s="10"/>
      <c r="NO2" s="10"/>
      <c r="NP2" s="10"/>
      <c r="NQ2" s="10"/>
      <c r="NR2" s="10"/>
      <c r="NS2" s="10"/>
      <c r="NT2" s="10"/>
      <c r="NU2" s="10"/>
      <c r="NV2" s="10"/>
      <c r="NW2" s="10"/>
      <c r="NX2" s="10"/>
      <c r="NY2" s="10"/>
      <c r="NZ2" s="10"/>
      <c r="OA2" s="10"/>
      <c r="OB2" s="10"/>
      <c r="OC2" s="10"/>
      <c r="OD2" s="10"/>
      <c r="OE2" s="10"/>
      <c r="OF2" s="10"/>
      <c r="OG2" s="10"/>
      <c r="OH2" s="10"/>
      <c r="OI2" s="10"/>
      <c r="OJ2" s="10"/>
      <c r="OK2" s="10"/>
      <c r="OL2" s="10"/>
      <c r="OM2" s="10"/>
      <c r="ON2" s="10"/>
      <c r="OO2" s="10"/>
      <c r="OP2" s="10"/>
      <c r="OQ2" s="10"/>
      <c r="OR2" s="10"/>
      <c r="OS2" s="10"/>
      <c r="OT2" s="10"/>
      <c r="OU2" s="10"/>
      <c r="OV2" s="10"/>
      <c r="OW2" s="10"/>
      <c r="OX2" s="10"/>
      <c r="OY2" s="10"/>
      <c r="OZ2" s="10"/>
      <c r="PA2" s="10"/>
      <c r="PB2" s="10"/>
      <c r="PC2" s="10"/>
      <c r="PD2" s="10"/>
      <c r="PE2" s="10"/>
      <c r="PF2" s="10"/>
      <c r="PG2" s="10"/>
      <c r="PH2" s="10"/>
      <c r="PI2" s="10"/>
      <c r="PJ2" s="10"/>
      <c r="PK2" s="10"/>
      <c r="PL2" s="10"/>
      <c r="PM2" s="10"/>
      <c r="PN2" s="10"/>
      <c r="PO2" s="10"/>
      <c r="PP2" s="10"/>
      <c r="PQ2" s="10"/>
      <c r="PR2" s="10"/>
      <c r="PS2" s="10"/>
      <c r="PT2" s="10"/>
      <c r="PU2" s="10"/>
      <c r="PV2" s="10"/>
      <c r="PW2" s="10"/>
      <c r="PX2" s="10"/>
      <c r="PY2" s="10"/>
      <c r="PZ2" s="10"/>
      <c r="QA2" s="10"/>
      <c r="QB2" s="10"/>
      <c r="QC2" s="10"/>
      <c r="QD2" s="10"/>
      <c r="QE2" s="10"/>
      <c r="QF2" s="10"/>
      <c r="QG2" s="10"/>
      <c r="QH2" s="10"/>
      <c r="QI2" s="10"/>
      <c r="QJ2" s="10"/>
      <c r="QK2" s="10"/>
      <c r="QL2" s="10"/>
      <c r="QM2" s="10"/>
      <c r="QN2" s="10"/>
      <c r="QO2" s="10"/>
      <c r="QP2" s="10"/>
      <c r="QQ2" s="10"/>
      <c r="QR2" s="10"/>
      <c r="QS2" s="10"/>
      <c r="QT2" s="10"/>
      <c r="QU2" s="10"/>
      <c r="QV2" s="10"/>
      <c r="QW2" s="10"/>
      <c r="QX2" s="10"/>
      <c r="QY2" s="10"/>
      <c r="QZ2" s="10"/>
      <c r="RA2" s="10"/>
      <c r="RB2" s="10"/>
      <c r="RC2" s="10"/>
      <c r="RD2" s="10"/>
      <c r="RE2" s="10"/>
      <c r="RF2" s="10"/>
      <c r="RG2" s="10"/>
      <c r="RH2" s="10"/>
      <c r="RI2" s="10"/>
      <c r="RJ2" s="10"/>
      <c r="RK2" s="10"/>
      <c r="RL2" s="10"/>
      <c r="RM2" s="10"/>
      <c r="RN2" s="10"/>
      <c r="RO2" s="10"/>
      <c r="RP2" s="10"/>
      <c r="RQ2" s="10"/>
      <c r="RR2" s="10"/>
      <c r="RS2" s="10"/>
      <c r="RT2" s="10"/>
      <c r="RU2" s="10"/>
      <c r="RV2" s="10"/>
      <c r="RW2" s="10"/>
      <c r="RX2" s="10"/>
      <c r="RY2" s="10"/>
      <c r="RZ2" s="10"/>
      <c r="SA2" s="10"/>
      <c r="SB2" s="10"/>
      <c r="SC2" s="10"/>
      <c r="SD2" s="10"/>
      <c r="SE2" s="10"/>
      <c r="SF2" s="10"/>
      <c r="SG2" s="10"/>
      <c r="SH2" s="10"/>
      <c r="SI2" s="10"/>
      <c r="SJ2" s="10"/>
      <c r="SK2" s="10"/>
      <c r="SL2" s="10"/>
      <c r="SM2" s="10"/>
      <c r="SN2" s="10"/>
      <c r="SO2" s="10"/>
      <c r="SP2" s="10"/>
      <c r="SQ2" s="10"/>
      <c r="SR2" s="10"/>
      <c r="SS2" s="10"/>
      <c r="ST2" s="10"/>
      <c r="SU2" s="10"/>
      <c r="SV2" s="10"/>
      <c r="SW2" s="10"/>
      <c r="SX2" s="10"/>
      <c r="SY2" s="10"/>
      <c r="SZ2" s="10"/>
      <c r="TA2" s="10"/>
      <c r="TB2" s="10"/>
      <c r="TC2" s="10"/>
      <c r="TD2" s="10"/>
      <c r="TE2" s="10"/>
      <c r="TF2" s="10"/>
      <c r="TG2" s="10"/>
      <c r="TH2" s="10"/>
      <c r="TI2" s="10"/>
      <c r="TJ2" s="10"/>
      <c r="TK2" s="10"/>
      <c r="TL2" s="10"/>
      <c r="TM2" s="10"/>
      <c r="TN2" s="10"/>
      <c r="TO2" s="10"/>
      <c r="TP2" s="10"/>
      <c r="TQ2" s="10"/>
      <c r="TR2" s="10"/>
      <c r="TS2" s="10"/>
      <c r="TT2" s="10"/>
      <c r="TU2" s="10"/>
      <c r="TV2" s="10"/>
      <c r="TW2" s="10"/>
      <c r="TX2" s="10"/>
      <c r="TY2" s="10"/>
      <c r="TZ2" s="10"/>
      <c r="UA2" s="10"/>
      <c r="UB2" s="10"/>
      <c r="UC2" s="10"/>
      <c r="UD2" s="10"/>
      <c r="UE2" s="10"/>
      <c r="UF2" s="10"/>
      <c r="UG2" s="10"/>
      <c r="UH2" s="10"/>
      <c r="UI2" s="10"/>
      <c r="UJ2" s="10"/>
      <c r="UK2" s="10"/>
      <c r="UL2" s="10"/>
      <c r="UM2" s="10"/>
      <c r="UN2" s="10"/>
      <c r="UO2" s="10"/>
      <c r="UP2" s="10"/>
      <c r="UQ2" s="10"/>
      <c r="UR2" s="10"/>
      <c r="US2" s="10"/>
      <c r="UT2" s="10"/>
      <c r="UU2" s="10"/>
      <c r="UV2" s="10"/>
      <c r="UW2" s="10"/>
      <c r="UX2" s="10"/>
      <c r="UY2" s="10"/>
      <c r="UZ2" s="10"/>
      <c r="VA2" s="10"/>
      <c r="VB2" s="10"/>
      <c r="VC2" s="10"/>
      <c r="VD2" s="10"/>
      <c r="VE2" s="10"/>
      <c r="VF2" s="10"/>
      <c r="VG2" s="10"/>
      <c r="VH2" s="10"/>
      <c r="VI2" s="10"/>
      <c r="VJ2" s="10"/>
      <c r="VK2" s="10"/>
      <c r="VL2" s="10"/>
      <c r="VM2" s="10"/>
      <c r="VN2" s="10"/>
      <c r="VO2" s="10"/>
      <c r="VP2" s="10"/>
      <c r="VQ2" s="10"/>
      <c r="VR2" s="10"/>
      <c r="VS2" s="10"/>
      <c r="VT2" s="10"/>
      <c r="VU2" s="10"/>
      <c r="VV2" s="10"/>
      <c r="VW2" s="10"/>
      <c r="VX2" s="10"/>
      <c r="VY2" s="10"/>
      <c r="VZ2" s="10"/>
      <c r="WA2" s="10"/>
      <c r="WB2" s="10"/>
      <c r="WC2" s="10"/>
      <c r="WD2" s="10"/>
      <c r="WE2" s="10"/>
      <c r="WF2" s="10"/>
      <c r="WG2" s="10"/>
      <c r="WH2" s="10"/>
      <c r="WI2" s="10"/>
      <c r="WJ2" s="10"/>
      <c r="WK2" s="10"/>
      <c r="WL2" s="10"/>
      <c r="WM2" s="10"/>
      <c r="WN2" s="10"/>
      <c r="WO2" s="10"/>
      <c r="WP2" s="10"/>
      <c r="WQ2" s="10"/>
      <c r="WR2" s="10"/>
      <c r="WS2" s="10"/>
      <c r="WT2" s="10"/>
      <c r="WU2" s="10"/>
      <c r="WV2" s="10"/>
      <c r="WW2" s="10"/>
      <c r="WX2" s="10"/>
      <c r="WY2" s="10"/>
      <c r="WZ2" s="10"/>
      <c r="XA2" s="10"/>
      <c r="XB2" s="10"/>
      <c r="XC2" s="10"/>
      <c r="XD2" s="10"/>
      <c r="XE2" s="10"/>
      <c r="XF2" s="10"/>
      <c r="XG2" s="10"/>
      <c r="XH2" s="10"/>
      <c r="XI2" s="10"/>
      <c r="XJ2" s="10"/>
      <c r="XK2" s="10"/>
      <c r="XL2" s="10"/>
      <c r="XM2" s="10"/>
      <c r="XN2" s="10"/>
      <c r="XO2" s="10"/>
      <c r="XP2" s="10"/>
      <c r="XQ2" s="10"/>
      <c r="XR2" s="10"/>
      <c r="XS2" s="10"/>
      <c r="XT2" s="10"/>
      <c r="XU2" s="10"/>
      <c r="XV2" s="10"/>
      <c r="XW2" s="10"/>
      <c r="XX2" s="10"/>
      <c r="XY2" s="10"/>
      <c r="XZ2" s="10"/>
      <c r="YA2" s="10"/>
      <c r="YB2" s="10"/>
      <c r="YC2" s="10"/>
      <c r="YD2" s="10"/>
      <c r="YE2" s="10"/>
      <c r="YF2" s="10"/>
      <c r="YG2" s="10"/>
      <c r="YH2" s="10"/>
      <c r="YI2" s="10"/>
      <c r="YJ2" s="10"/>
      <c r="YK2" s="10"/>
      <c r="YL2" s="10"/>
      <c r="YM2" s="10"/>
      <c r="YN2" s="10"/>
      <c r="YO2" s="10"/>
      <c r="YP2" s="10"/>
      <c r="YQ2" s="10"/>
      <c r="YR2" s="10"/>
      <c r="YS2" s="10"/>
      <c r="YT2" s="10"/>
      <c r="YU2" s="10"/>
      <c r="YV2" s="10"/>
      <c r="YW2" s="10"/>
      <c r="YX2" s="10"/>
      <c r="YY2" s="10"/>
      <c r="YZ2" s="10"/>
      <c r="ZA2" s="10"/>
      <c r="ZB2" s="10"/>
      <c r="ZC2" s="10"/>
      <c r="ZD2" s="10"/>
      <c r="ZE2" s="10"/>
      <c r="ZF2" s="10"/>
      <c r="ZG2" s="10"/>
      <c r="ZH2" s="10"/>
      <c r="ZI2" s="10"/>
      <c r="ZJ2" s="10"/>
      <c r="ZK2" s="10"/>
      <c r="ZL2" s="10"/>
      <c r="ZM2" s="10"/>
      <c r="ZN2" s="10"/>
      <c r="ZO2" s="10"/>
      <c r="ZP2" s="10"/>
      <c r="ZQ2" s="10"/>
      <c r="ZR2" s="10"/>
      <c r="ZS2" s="10"/>
      <c r="ZT2" s="10"/>
      <c r="ZU2" s="10"/>
      <c r="ZV2" s="10"/>
      <c r="ZW2" s="10"/>
      <c r="ZX2" s="10"/>
      <c r="ZY2" s="10"/>
      <c r="ZZ2" s="10"/>
      <c r="AAA2" s="10"/>
      <c r="AAB2" s="10"/>
      <c r="AAC2" s="10"/>
      <c r="AAD2" s="10"/>
      <c r="AAE2" s="10"/>
      <c r="AAF2" s="10"/>
      <c r="AAG2" s="10"/>
      <c r="AAH2" s="10"/>
      <c r="AAI2" s="10"/>
      <c r="AAJ2" s="10"/>
      <c r="AAK2" s="10"/>
      <c r="AAL2" s="10"/>
      <c r="AAM2" s="10"/>
      <c r="AAN2" s="10"/>
      <c r="AAO2" s="10"/>
      <c r="AAP2" s="10"/>
      <c r="AAQ2" s="10"/>
      <c r="AAR2" s="10"/>
      <c r="AAS2" s="10"/>
      <c r="AAT2" s="10"/>
      <c r="AAU2" s="10"/>
      <c r="AAV2" s="10"/>
      <c r="AAW2" s="10"/>
      <c r="AAX2" s="10"/>
      <c r="AAY2" s="10"/>
      <c r="AAZ2" s="10"/>
      <c r="ABA2" s="10"/>
      <c r="ABB2" s="10"/>
      <c r="ABC2" s="10"/>
      <c r="ABD2" s="10"/>
      <c r="ABE2" s="10"/>
      <c r="ABF2" s="10"/>
      <c r="ABG2" s="10"/>
      <c r="ABH2" s="10"/>
      <c r="ABI2" s="10"/>
      <c r="ABJ2" s="10"/>
      <c r="ABK2" s="10"/>
      <c r="ABL2" s="10"/>
    </row>
    <row r="3" spans="1:740" x14ac:dyDescent="0.3">
      <c r="B3" s="22">
        <f t="shared" si="0"/>
        <v>3</v>
      </c>
      <c r="C3" s="15"/>
      <c r="D3" s="23" t="s">
        <v>158</v>
      </c>
      <c r="E3" s="24"/>
      <c r="F3" s="24"/>
      <c r="G3" s="24"/>
      <c r="H3" s="24"/>
      <c r="I3" s="24"/>
      <c r="J3" s="24" t="s">
        <v>1302</v>
      </c>
      <c r="K3" s="24">
        <v>12</v>
      </c>
      <c r="L3" s="25">
        <v>44360</v>
      </c>
      <c r="M3" s="25">
        <f>EOMONTH(L3,K3)</f>
        <v>44742</v>
      </c>
      <c r="N3" s="26"/>
    </row>
    <row r="4" spans="1:740" s="21" customFormat="1" x14ac:dyDescent="0.3">
      <c r="A4" s="10"/>
      <c r="B4" s="13">
        <f t="shared" si="0"/>
        <v>3</v>
      </c>
      <c r="C4" s="16"/>
      <c r="D4" s="17" t="s">
        <v>158</v>
      </c>
      <c r="E4" s="18"/>
      <c r="F4" s="18"/>
      <c r="G4" s="18"/>
      <c r="H4" s="18"/>
      <c r="I4" s="18"/>
      <c r="J4" s="18" t="s">
        <v>1302</v>
      </c>
      <c r="K4" s="18">
        <v>12</v>
      </c>
      <c r="L4" s="19">
        <v>44406</v>
      </c>
      <c r="M4" s="19">
        <f>EOMONTH(L4,K4)</f>
        <v>44773</v>
      </c>
      <c r="N4" s="2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c r="TM4" s="10"/>
      <c r="TN4" s="10"/>
      <c r="TO4" s="10"/>
      <c r="TP4" s="10"/>
      <c r="TQ4" s="10"/>
      <c r="TR4" s="10"/>
      <c r="TS4" s="10"/>
      <c r="TT4" s="10"/>
      <c r="TU4" s="10"/>
      <c r="TV4" s="10"/>
      <c r="TW4" s="10"/>
      <c r="TX4" s="10"/>
      <c r="TY4" s="10"/>
      <c r="TZ4" s="10"/>
      <c r="UA4" s="10"/>
      <c r="UB4" s="10"/>
      <c r="UC4" s="10"/>
      <c r="UD4" s="10"/>
      <c r="UE4" s="10"/>
      <c r="UF4" s="10"/>
      <c r="UG4" s="10"/>
      <c r="UH4" s="10"/>
      <c r="UI4" s="10"/>
      <c r="UJ4" s="10"/>
      <c r="UK4" s="10"/>
      <c r="UL4" s="10"/>
      <c r="UM4" s="10"/>
      <c r="UN4" s="10"/>
      <c r="UO4" s="10"/>
      <c r="UP4" s="10"/>
      <c r="UQ4" s="10"/>
      <c r="UR4" s="10"/>
      <c r="US4" s="10"/>
      <c r="UT4" s="10"/>
      <c r="UU4" s="10"/>
      <c r="UV4" s="10"/>
      <c r="UW4" s="10"/>
      <c r="UX4" s="10"/>
      <c r="UY4" s="10"/>
      <c r="UZ4" s="10"/>
      <c r="VA4" s="10"/>
      <c r="VB4" s="10"/>
      <c r="VC4" s="10"/>
      <c r="VD4" s="10"/>
      <c r="VE4" s="10"/>
      <c r="VF4" s="10"/>
      <c r="VG4" s="10"/>
      <c r="VH4" s="10"/>
      <c r="VI4" s="10"/>
      <c r="VJ4" s="10"/>
      <c r="VK4" s="10"/>
      <c r="VL4" s="10"/>
      <c r="VM4" s="10"/>
      <c r="VN4" s="10"/>
      <c r="VO4" s="10"/>
      <c r="VP4" s="10"/>
      <c r="VQ4" s="10"/>
      <c r="VR4" s="10"/>
      <c r="VS4" s="10"/>
      <c r="VT4" s="10"/>
      <c r="VU4" s="10"/>
      <c r="VV4" s="10"/>
      <c r="VW4" s="10"/>
      <c r="VX4" s="10"/>
      <c r="VY4" s="10"/>
      <c r="VZ4" s="10"/>
      <c r="WA4" s="10"/>
      <c r="WB4" s="10"/>
      <c r="WC4" s="10"/>
      <c r="WD4" s="10"/>
      <c r="WE4" s="10"/>
      <c r="WF4" s="10"/>
      <c r="WG4" s="10"/>
      <c r="WH4" s="10"/>
      <c r="WI4" s="10"/>
      <c r="WJ4" s="10"/>
      <c r="WK4" s="10"/>
      <c r="WL4" s="10"/>
      <c r="WM4" s="10"/>
      <c r="WN4" s="10"/>
      <c r="WO4" s="10"/>
      <c r="WP4" s="10"/>
      <c r="WQ4" s="10"/>
      <c r="WR4" s="10"/>
      <c r="WS4" s="10"/>
      <c r="WT4" s="10"/>
      <c r="WU4" s="10"/>
      <c r="WV4" s="10"/>
      <c r="WW4" s="10"/>
      <c r="WX4" s="10"/>
      <c r="WY4" s="10"/>
      <c r="WZ4" s="10"/>
      <c r="XA4" s="10"/>
      <c r="XB4" s="10"/>
      <c r="XC4" s="10"/>
      <c r="XD4" s="10"/>
      <c r="XE4" s="10"/>
      <c r="XF4" s="10"/>
      <c r="XG4" s="10"/>
      <c r="XH4" s="10"/>
      <c r="XI4" s="10"/>
      <c r="XJ4" s="10"/>
      <c r="XK4" s="10"/>
      <c r="XL4" s="10"/>
      <c r="XM4" s="10"/>
      <c r="XN4" s="10"/>
      <c r="XO4" s="10"/>
      <c r="XP4" s="10"/>
      <c r="XQ4" s="10"/>
      <c r="XR4" s="10"/>
      <c r="XS4" s="10"/>
      <c r="XT4" s="10"/>
      <c r="XU4" s="10"/>
      <c r="XV4" s="10"/>
      <c r="XW4" s="10"/>
      <c r="XX4" s="10"/>
      <c r="XY4" s="10"/>
      <c r="XZ4" s="10"/>
      <c r="YA4" s="10"/>
      <c r="YB4" s="10"/>
      <c r="YC4" s="10"/>
      <c r="YD4" s="10"/>
      <c r="YE4" s="10"/>
      <c r="YF4" s="10"/>
      <c r="YG4" s="10"/>
      <c r="YH4" s="10"/>
      <c r="YI4" s="10"/>
      <c r="YJ4" s="10"/>
      <c r="YK4" s="10"/>
      <c r="YL4" s="10"/>
      <c r="YM4" s="10"/>
      <c r="YN4" s="10"/>
      <c r="YO4" s="10"/>
      <c r="YP4" s="10"/>
      <c r="YQ4" s="10"/>
      <c r="YR4" s="10"/>
      <c r="YS4" s="10"/>
      <c r="YT4" s="10"/>
      <c r="YU4" s="10"/>
      <c r="YV4" s="10"/>
      <c r="YW4" s="10"/>
      <c r="YX4" s="10"/>
      <c r="YY4" s="10"/>
      <c r="YZ4" s="10"/>
      <c r="ZA4" s="10"/>
      <c r="ZB4" s="10"/>
      <c r="ZC4" s="10"/>
      <c r="ZD4" s="10"/>
      <c r="ZE4" s="10"/>
      <c r="ZF4" s="10"/>
      <c r="ZG4" s="10"/>
      <c r="ZH4" s="10"/>
      <c r="ZI4" s="10"/>
      <c r="ZJ4" s="10"/>
      <c r="ZK4" s="10"/>
      <c r="ZL4" s="10"/>
      <c r="ZM4" s="10"/>
      <c r="ZN4" s="10"/>
      <c r="ZO4" s="10"/>
      <c r="ZP4" s="10"/>
      <c r="ZQ4" s="10"/>
      <c r="ZR4" s="10"/>
      <c r="ZS4" s="10"/>
      <c r="ZT4" s="10"/>
      <c r="ZU4" s="10"/>
      <c r="ZV4" s="10"/>
      <c r="ZW4" s="10"/>
      <c r="ZX4" s="10"/>
      <c r="ZY4" s="10"/>
      <c r="ZZ4" s="10"/>
      <c r="AAA4" s="10"/>
      <c r="AAB4" s="10"/>
      <c r="AAC4" s="10"/>
      <c r="AAD4" s="10"/>
      <c r="AAE4" s="10"/>
      <c r="AAF4" s="10"/>
      <c r="AAG4" s="10"/>
      <c r="AAH4" s="10"/>
      <c r="AAI4" s="10"/>
      <c r="AAJ4" s="10"/>
      <c r="AAK4" s="10"/>
      <c r="AAL4" s="10"/>
      <c r="AAM4" s="10"/>
      <c r="AAN4" s="10"/>
      <c r="AAO4" s="10"/>
      <c r="AAP4" s="10"/>
      <c r="AAQ4" s="10"/>
      <c r="AAR4" s="10"/>
      <c r="AAS4" s="10"/>
      <c r="AAT4" s="10"/>
      <c r="AAU4" s="10"/>
      <c r="AAV4" s="10"/>
      <c r="AAW4" s="10"/>
      <c r="AAX4" s="10"/>
      <c r="AAY4" s="10"/>
      <c r="AAZ4" s="10"/>
      <c r="ABA4" s="10"/>
      <c r="ABB4" s="10"/>
      <c r="ABC4" s="10"/>
      <c r="ABD4" s="10"/>
      <c r="ABE4" s="10"/>
      <c r="ABF4" s="10"/>
      <c r="ABG4" s="10"/>
      <c r="ABH4" s="10"/>
      <c r="ABI4" s="10"/>
      <c r="ABJ4" s="10"/>
      <c r="ABK4" s="10"/>
      <c r="ABL4" s="10"/>
    </row>
    <row r="5" spans="1:740" x14ac:dyDescent="0.3">
      <c r="B5" s="22">
        <f t="shared" si="0"/>
        <v>3</v>
      </c>
      <c r="C5" s="15"/>
      <c r="D5" s="23" t="s">
        <v>158</v>
      </c>
      <c r="E5" s="24"/>
      <c r="F5" s="24"/>
      <c r="G5" s="24"/>
      <c r="H5" s="24"/>
      <c r="I5" s="24"/>
      <c r="J5" s="24" t="s">
        <v>1302</v>
      </c>
      <c r="K5" s="24">
        <v>12</v>
      </c>
      <c r="L5" s="25">
        <v>44341</v>
      </c>
      <c r="M5" s="25">
        <f>EOMONTH(L5,K5)</f>
        <v>44712</v>
      </c>
      <c r="N5" s="26"/>
    </row>
    <row r="6" spans="1:740" s="21" customFormat="1" x14ac:dyDescent="0.3">
      <c r="A6" s="10"/>
      <c r="B6" s="13">
        <f t="shared" si="0"/>
        <v>4</v>
      </c>
      <c r="C6" s="16"/>
      <c r="D6" s="17"/>
      <c r="E6" s="18"/>
      <c r="F6" s="18"/>
      <c r="G6" s="18"/>
      <c r="H6" s="18"/>
      <c r="I6" s="18"/>
      <c r="J6" s="18" t="s">
        <v>1303</v>
      </c>
      <c r="K6" s="18"/>
      <c r="L6" s="18"/>
      <c r="M6" s="18"/>
      <c r="N6" s="2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c r="IW6" s="10"/>
      <c r="IX6" s="10"/>
      <c r="IY6" s="10"/>
      <c r="IZ6" s="10"/>
      <c r="JA6" s="10"/>
      <c r="JB6" s="10"/>
      <c r="JC6" s="10"/>
      <c r="JD6" s="10"/>
      <c r="JE6" s="10"/>
      <c r="JF6" s="10"/>
      <c r="JG6" s="10"/>
      <c r="JH6" s="10"/>
      <c r="JI6" s="10"/>
      <c r="JJ6" s="10"/>
      <c r="JK6" s="10"/>
      <c r="JL6" s="10"/>
      <c r="JM6" s="10"/>
      <c r="JN6" s="10"/>
      <c r="JO6" s="10"/>
      <c r="JP6" s="10"/>
      <c r="JQ6" s="10"/>
      <c r="JR6" s="10"/>
      <c r="JS6" s="10"/>
      <c r="JT6" s="10"/>
      <c r="JU6" s="10"/>
      <c r="JV6" s="10"/>
      <c r="JW6" s="10"/>
      <c r="JX6" s="10"/>
      <c r="JY6" s="10"/>
      <c r="JZ6" s="10"/>
      <c r="KA6" s="10"/>
      <c r="KB6" s="10"/>
      <c r="KC6" s="10"/>
      <c r="KD6" s="10"/>
      <c r="KE6" s="10"/>
      <c r="KF6" s="10"/>
      <c r="KG6" s="10"/>
      <c r="KH6" s="10"/>
      <c r="KI6" s="10"/>
      <c r="KJ6" s="10"/>
      <c r="KK6" s="10"/>
      <c r="KL6" s="10"/>
      <c r="KM6" s="10"/>
      <c r="KN6" s="10"/>
      <c r="KO6" s="10"/>
      <c r="KP6" s="10"/>
      <c r="KQ6" s="10"/>
      <c r="KR6" s="10"/>
      <c r="KS6" s="10"/>
      <c r="KT6" s="10"/>
      <c r="KU6" s="10"/>
      <c r="KV6" s="10"/>
      <c r="KW6" s="10"/>
      <c r="KX6" s="10"/>
      <c r="KY6" s="10"/>
      <c r="KZ6" s="10"/>
      <c r="LA6" s="10"/>
      <c r="LB6" s="10"/>
      <c r="LC6" s="10"/>
      <c r="LD6" s="10"/>
      <c r="LE6" s="10"/>
      <c r="LF6" s="10"/>
      <c r="LG6" s="10"/>
      <c r="LH6" s="10"/>
      <c r="LI6" s="10"/>
      <c r="LJ6" s="10"/>
      <c r="LK6" s="10"/>
      <c r="LL6" s="10"/>
      <c r="LM6" s="10"/>
      <c r="LN6" s="10"/>
      <c r="LO6" s="10"/>
      <c r="LP6" s="10"/>
      <c r="LQ6" s="10"/>
      <c r="LR6" s="10"/>
      <c r="LS6" s="10"/>
      <c r="LT6" s="10"/>
      <c r="LU6" s="10"/>
      <c r="LV6" s="10"/>
      <c r="LW6" s="10"/>
      <c r="LX6" s="10"/>
      <c r="LY6" s="10"/>
      <c r="LZ6" s="10"/>
      <c r="MA6" s="10"/>
      <c r="MB6" s="10"/>
      <c r="MC6" s="10"/>
      <c r="MD6" s="10"/>
      <c r="ME6" s="10"/>
      <c r="MF6" s="10"/>
      <c r="MG6" s="10"/>
      <c r="MH6" s="10"/>
      <c r="MI6" s="10"/>
      <c r="MJ6" s="10"/>
      <c r="MK6" s="10"/>
      <c r="ML6" s="10"/>
      <c r="MM6" s="10"/>
      <c r="MN6" s="10"/>
      <c r="MO6" s="10"/>
      <c r="MP6" s="10"/>
      <c r="MQ6" s="10"/>
      <c r="MR6" s="10"/>
      <c r="MS6" s="10"/>
      <c r="MT6" s="10"/>
      <c r="MU6" s="10"/>
      <c r="MV6" s="10"/>
      <c r="MW6" s="10"/>
      <c r="MX6" s="10"/>
      <c r="MY6" s="10"/>
      <c r="MZ6" s="10"/>
      <c r="NA6" s="10"/>
      <c r="NB6" s="10"/>
      <c r="NC6" s="10"/>
      <c r="ND6" s="10"/>
      <c r="NE6" s="10"/>
      <c r="NF6" s="10"/>
      <c r="NG6" s="10"/>
      <c r="NH6" s="10"/>
      <c r="NI6" s="10"/>
      <c r="NJ6" s="10"/>
      <c r="NK6" s="10"/>
      <c r="NL6" s="10"/>
      <c r="NM6" s="10"/>
      <c r="NN6" s="10"/>
      <c r="NO6" s="10"/>
      <c r="NP6" s="10"/>
      <c r="NQ6" s="10"/>
      <c r="NR6" s="10"/>
      <c r="NS6" s="10"/>
      <c r="NT6" s="10"/>
      <c r="NU6" s="10"/>
      <c r="NV6" s="10"/>
      <c r="NW6" s="10"/>
      <c r="NX6" s="10"/>
      <c r="NY6" s="10"/>
      <c r="NZ6" s="10"/>
      <c r="OA6" s="10"/>
      <c r="OB6" s="10"/>
      <c r="OC6" s="10"/>
      <c r="OD6" s="10"/>
      <c r="OE6" s="10"/>
      <c r="OF6" s="10"/>
      <c r="OG6" s="10"/>
      <c r="OH6" s="10"/>
      <c r="OI6" s="10"/>
      <c r="OJ6" s="10"/>
      <c r="OK6" s="10"/>
      <c r="OL6" s="10"/>
      <c r="OM6" s="10"/>
      <c r="ON6" s="10"/>
      <c r="OO6" s="10"/>
      <c r="OP6" s="10"/>
      <c r="OQ6" s="10"/>
      <c r="OR6" s="10"/>
      <c r="OS6" s="10"/>
      <c r="OT6" s="10"/>
      <c r="OU6" s="10"/>
      <c r="OV6" s="10"/>
      <c r="OW6" s="10"/>
      <c r="OX6" s="10"/>
      <c r="OY6" s="10"/>
      <c r="OZ6" s="10"/>
      <c r="PA6" s="10"/>
      <c r="PB6" s="10"/>
      <c r="PC6" s="10"/>
      <c r="PD6" s="10"/>
      <c r="PE6" s="10"/>
      <c r="PF6" s="10"/>
      <c r="PG6" s="10"/>
      <c r="PH6" s="10"/>
      <c r="PI6" s="10"/>
      <c r="PJ6" s="10"/>
      <c r="PK6" s="10"/>
      <c r="PL6" s="10"/>
      <c r="PM6" s="10"/>
      <c r="PN6" s="10"/>
      <c r="PO6" s="10"/>
      <c r="PP6" s="10"/>
      <c r="PQ6" s="10"/>
      <c r="PR6" s="10"/>
      <c r="PS6" s="10"/>
      <c r="PT6" s="10"/>
      <c r="PU6" s="10"/>
      <c r="PV6" s="10"/>
      <c r="PW6" s="10"/>
      <c r="PX6" s="10"/>
      <c r="PY6" s="10"/>
      <c r="PZ6" s="10"/>
      <c r="QA6" s="10"/>
      <c r="QB6" s="10"/>
      <c r="QC6" s="10"/>
      <c r="QD6" s="10"/>
      <c r="QE6" s="10"/>
      <c r="QF6" s="10"/>
      <c r="QG6" s="10"/>
      <c r="QH6" s="10"/>
      <c r="QI6" s="10"/>
      <c r="QJ6" s="10"/>
      <c r="QK6" s="10"/>
      <c r="QL6" s="10"/>
      <c r="QM6" s="10"/>
      <c r="QN6" s="10"/>
      <c r="QO6" s="10"/>
      <c r="QP6" s="10"/>
      <c r="QQ6" s="10"/>
      <c r="QR6" s="10"/>
      <c r="QS6" s="10"/>
      <c r="QT6" s="10"/>
      <c r="QU6" s="10"/>
      <c r="QV6" s="10"/>
      <c r="QW6" s="10"/>
      <c r="QX6" s="10"/>
      <c r="QY6" s="10"/>
      <c r="QZ6" s="10"/>
      <c r="RA6" s="10"/>
      <c r="RB6" s="10"/>
      <c r="RC6" s="10"/>
      <c r="RD6" s="10"/>
      <c r="RE6" s="10"/>
      <c r="RF6" s="10"/>
      <c r="RG6" s="10"/>
      <c r="RH6" s="10"/>
      <c r="RI6" s="10"/>
      <c r="RJ6" s="10"/>
      <c r="RK6" s="10"/>
      <c r="RL6" s="10"/>
      <c r="RM6" s="10"/>
      <c r="RN6" s="10"/>
      <c r="RO6" s="10"/>
      <c r="RP6" s="10"/>
      <c r="RQ6" s="10"/>
      <c r="RR6" s="10"/>
      <c r="RS6" s="10"/>
      <c r="RT6" s="10"/>
      <c r="RU6" s="10"/>
      <c r="RV6" s="10"/>
      <c r="RW6" s="10"/>
      <c r="RX6" s="10"/>
      <c r="RY6" s="10"/>
      <c r="RZ6" s="10"/>
      <c r="SA6" s="10"/>
      <c r="SB6" s="10"/>
      <c r="SC6" s="10"/>
      <c r="SD6" s="10"/>
      <c r="SE6" s="10"/>
      <c r="SF6" s="10"/>
      <c r="SG6" s="10"/>
      <c r="SH6" s="10"/>
      <c r="SI6" s="10"/>
      <c r="SJ6" s="10"/>
      <c r="SK6" s="10"/>
      <c r="SL6" s="10"/>
      <c r="SM6" s="10"/>
      <c r="SN6" s="10"/>
      <c r="SO6" s="10"/>
      <c r="SP6" s="10"/>
      <c r="SQ6" s="10"/>
      <c r="SR6" s="10"/>
      <c r="SS6" s="10"/>
      <c r="ST6" s="10"/>
      <c r="SU6" s="10"/>
      <c r="SV6" s="10"/>
      <c r="SW6" s="10"/>
      <c r="SX6" s="10"/>
      <c r="SY6" s="10"/>
      <c r="SZ6" s="10"/>
      <c r="TA6" s="10"/>
      <c r="TB6" s="10"/>
      <c r="TC6" s="10"/>
      <c r="TD6" s="10"/>
      <c r="TE6" s="10"/>
      <c r="TF6" s="10"/>
      <c r="TG6" s="10"/>
      <c r="TH6" s="10"/>
      <c r="TI6" s="10"/>
      <c r="TJ6" s="10"/>
      <c r="TK6" s="10"/>
      <c r="TL6" s="10"/>
      <c r="TM6" s="10"/>
      <c r="TN6" s="10"/>
      <c r="TO6" s="10"/>
      <c r="TP6" s="10"/>
      <c r="TQ6" s="10"/>
      <c r="TR6" s="10"/>
      <c r="TS6" s="10"/>
      <c r="TT6" s="10"/>
      <c r="TU6" s="10"/>
      <c r="TV6" s="10"/>
      <c r="TW6" s="10"/>
      <c r="TX6" s="10"/>
      <c r="TY6" s="10"/>
      <c r="TZ6" s="10"/>
      <c r="UA6" s="10"/>
      <c r="UB6" s="10"/>
      <c r="UC6" s="10"/>
      <c r="UD6" s="10"/>
      <c r="UE6" s="10"/>
      <c r="UF6" s="10"/>
      <c r="UG6" s="10"/>
      <c r="UH6" s="10"/>
      <c r="UI6" s="10"/>
      <c r="UJ6" s="10"/>
      <c r="UK6" s="10"/>
      <c r="UL6" s="10"/>
      <c r="UM6" s="10"/>
      <c r="UN6" s="10"/>
      <c r="UO6" s="10"/>
      <c r="UP6" s="10"/>
      <c r="UQ6" s="10"/>
      <c r="UR6" s="10"/>
      <c r="US6" s="10"/>
      <c r="UT6" s="10"/>
      <c r="UU6" s="10"/>
      <c r="UV6" s="10"/>
      <c r="UW6" s="10"/>
      <c r="UX6" s="10"/>
      <c r="UY6" s="10"/>
      <c r="UZ6" s="10"/>
      <c r="VA6" s="10"/>
      <c r="VB6" s="10"/>
      <c r="VC6" s="10"/>
      <c r="VD6" s="10"/>
      <c r="VE6" s="10"/>
      <c r="VF6" s="10"/>
      <c r="VG6" s="10"/>
      <c r="VH6" s="10"/>
      <c r="VI6" s="10"/>
      <c r="VJ6" s="10"/>
      <c r="VK6" s="10"/>
      <c r="VL6" s="10"/>
      <c r="VM6" s="10"/>
      <c r="VN6" s="10"/>
      <c r="VO6" s="10"/>
      <c r="VP6" s="10"/>
      <c r="VQ6" s="10"/>
      <c r="VR6" s="10"/>
      <c r="VS6" s="10"/>
      <c r="VT6" s="10"/>
      <c r="VU6" s="10"/>
      <c r="VV6" s="10"/>
      <c r="VW6" s="10"/>
      <c r="VX6" s="10"/>
      <c r="VY6" s="10"/>
      <c r="VZ6" s="10"/>
      <c r="WA6" s="10"/>
      <c r="WB6" s="10"/>
      <c r="WC6" s="10"/>
      <c r="WD6" s="10"/>
      <c r="WE6" s="10"/>
      <c r="WF6" s="10"/>
      <c r="WG6" s="10"/>
      <c r="WH6" s="10"/>
      <c r="WI6" s="10"/>
      <c r="WJ6" s="10"/>
      <c r="WK6" s="10"/>
      <c r="WL6" s="10"/>
      <c r="WM6" s="10"/>
      <c r="WN6" s="10"/>
      <c r="WO6" s="10"/>
      <c r="WP6" s="10"/>
      <c r="WQ6" s="10"/>
      <c r="WR6" s="10"/>
      <c r="WS6" s="10"/>
      <c r="WT6" s="10"/>
      <c r="WU6" s="10"/>
      <c r="WV6" s="10"/>
      <c r="WW6" s="10"/>
      <c r="WX6" s="10"/>
      <c r="WY6" s="10"/>
      <c r="WZ6" s="10"/>
      <c r="XA6" s="10"/>
      <c r="XB6" s="10"/>
      <c r="XC6" s="10"/>
      <c r="XD6" s="10"/>
      <c r="XE6" s="10"/>
      <c r="XF6" s="10"/>
      <c r="XG6" s="10"/>
      <c r="XH6" s="10"/>
      <c r="XI6" s="10"/>
      <c r="XJ6" s="10"/>
      <c r="XK6" s="10"/>
      <c r="XL6" s="10"/>
      <c r="XM6" s="10"/>
      <c r="XN6" s="10"/>
      <c r="XO6" s="10"/>
      <c r="XP6" s="10"/>
      <c r="XQ6" s="10"/>
      <c r="XR6" s="10"/>
      <c r="XS6" s="10"/>
      <c r="XT6" s="10"/>
      <c r="XU6" s="10"/>
      <c r="XV6" s="10"/>
      <c r="XW6" s="10"/>
      <c r="XX6" s="10"/>
      <c r="XY6" s="10"/>
      <c r="XZ6" s="10"/>
      <c r="YA6" s="10"/>
      <c r="YB6" s="10"/>
      <c r="YC6" s="10"/>
      <c r="YD6" s="10"/>
      <c r="YE6" s="10"/>
      <c r="YF6" s="10"/>
      <c r="YG6" s="10"/>
      <c r="YH6" s="10"/>
      <c r="YI6" s="10"/>
      <c r="YJ6" s="10"/>
      <c r="YK6" s="10"/>
      <c r="YL6" s="10"/>
      <c r="YM6" s="10"/>
      <c r="YN6" s="10"/>
      <c r="YO6" s="10"/>
      <c r="YP6" s="10"/>
      <c r="YQ6" s="10"/>
      <c r="YR6" s="10"/>
      <c r="YS6" s="10"/>
      <c r="YT6" s="10"/>
      <c r="YU6" s="10"/>
      <c r="YV6" s="10"/>
      <c r="YW6" s="10"/>
      <c r="YX6" s="10"/>
      <c r="YY6" s="10"/>
      <c r="YZ6" s="10"/>
      <c r="ZA6" s="10"/>
      <c r="ZB6" s="10"/>
      <c r="ZC6" s="10"/>
      <c r="ZD6" s="10"/>
      <c r="ZE6" s="10"/>
      <c r="ZF6" s="10"/>
      <c r="ZG6" s="10"/>
      <c r="ZH6" s="10"/>
      <c r="ZI6" s="10"/>
      <c r="ZJ6" s="10"/>
      <c r="ZK6" s="10"/>
      <c r="ZL6" s="10"/>
      <c r="ZM6" s="10"/>
      <c r="ZN6" s="10"/>
      <c r="ZO6" s="10"/>
      <c r="ZP6" s="10"/>
      <c r="ZQ6" s="10"/>
      <c r="ZR6" s="10"/>
      <c r="ZS6" s="10"/>
      <c r="ZT6" s="10"/>
      <c r="ZU6" s="10"/>
      <c r="ZV6" s="10"/>
      <c r="ZW6" s="10"/>
      <c r="ZX6" s="10"/>
      <c r="ZY6" s="10"/>
      <c r="ZZ6" s="10"/>
      <c r="AAA6" s="10"/>
      <c r="AAB6" s="10"/>
      <c r="AAC6" s="10"/>
      <c r="AAD6" s="10"/>
      <c r="AAE6" s="10"/>
      <c r="AAF6" s="10"/>
      <c r="AAG6" s="10"/>
      <c r="AAH6" s="10"/>
      <c r="AAI6" s="10"/>
      <c r="AAJ6" s="10"/>
      <c r="AAK6" s="10"/>
      <c r="AAL6" s="10"/>
      <c r="AAM6" s="10"/>
      <c r="AAN6" s="10"/>
      <c r="AAO6" s="10"/>
      <c r="AAP6" s="10"/>
      <c r="AAQ6" s="10"/>
      <c r="AAR6" s="10"/>
      <c r="AAS6" s="10"/>
      <c r="AAT6" s="10"/>
      <c r="AAU6" s="10"/>
      <c r="AAV6" s="10"/>
      <c r="AAW6" s="10"/>
      <c r="AAX6" s="10"/>
      <c r="AAY6" s="10"/>
      <c r="AAZ6" s="10"/>
      <c r="ABA6" s="10"/>
      <c r="ABB6" s="10"/>
      <c r="ABC6" s="10"/>
      <c r="ABD6" s="10"/>
      <c r="ABE6" s="10"/>
      <c r="ABF6" s="10"/>
      <c r="ABG6" s="10"/>
      <c r="ABH6" s="10"/>
      <c r="ABI6" s="10"/>
      <c r="ABJ6" s="10"/>
      <c r="ABK6" s="10"/>
      <c r="ABL6" s="10"/>
    </row>
    <row r="7" spans="1:740" x14ac:dyDescent="0.3">
      <c r="B7" s="22">
        <f t="shared" si="0"/>
        <v>3</v>
      </c>
      <c r="C7" s="15"/>
      <c r="D7" s="23" t="s">
        <v>158</v>
      </c>
      <c r="E7" s="24"/>
      <c r="F7" s="24"/>
      <c r="G7" s="24"/>
      <c r="H7" s="24"/>
      <c r="I7" s="24"/>
      <c r="J7" s="24" t="s">
        <v>1302</v>
      </c>
      <c r="K7" s="24">
        <v>12</v>
      </c>
      <c r="L7" s="25">
        <v>44295</v>
      </c>
      <c r="M7" s="25">
        <f>EOMONTH(L7,K7)</f>
        <v>44681</v>
      </c>
      <c r="N7" s="26"/>
    </row>
    <row r="8" spans="1:740" s="21" customFormat="1" x14ac:dyDescent="0.3">
      <c r="A8" s="10"/>
      <c r="B8" s="13">
        <f t="shared" si="0"/>
        <v>3</v>
      </c>
      <c r="C8" s="16"/>
      <c r="D8" s="17" t="s">
        <v>158</v>
      </c>
      <c r="E8" s="18"/>
      <c r="F8" s="18"/>
      <c r="G8" s="18"/>
      <c r="H8" s="18"/>
      <c r="I8" s="18"/>
      <c r="J8" s="18" t="s">
        <v>1302</v>
      </c>
      <c r="K8" s="18">
        <v>12</v>
      </c>
      <c r="L8" s="19">
        <v>44370</v>
      </c>
      <c r="M8" s="19">
        <f>EOMONTH(L8,K8)</f>
        <v>44742</v>
      </c>
      <c r="N8" s="2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c r="IW8" s="10"/>
      <c r="IX8" s="10"/>
      <c r="IY8" s="10"/>
      <c r="IZ8" s="10"/>
      <c r="JA8" s="10"/>
      <c r="JB8" s="10"/>
      <c r="JC8" s="10"/>
      <c r="JD8" s="10"/>
      <c r="JE8" s="10"/>
      <c r="JF8" s="10"/>
      <c r="JG8" s="10"/>
      <c r="JH8" s="10"/>
      <c r="JI8" s="10"/>
      <c r="JJ8" s="10"/>
      <c r="JK8" s="10"/>
      <c r="JL8" s="10"/>
      <c r="JM8" s="10"/>
      <c r="JN8" s="10"/>
      <c r="JO8" s="10"/>
      <c r="JP8" s="10"/>
      <c r="JQ8" s="10"/>
      <c r="JR8" s="10"/>
      <c r="JS8" s="10"/>
      <c r="JT8" s="10"/>
      <c r="JU8" s="10"/>
      <c r="JV8" s="10"/>
      <c r="JW8" s="10"/>
      <c r="JX8" s="10"/>
      <c r="JY8" s="10"/>
      <c r="JZ8" s="10"/>
      <c r="KA8" s="10"/>
      <c r="KB8" s="10"/>
      <c r="KC8" s="10"/>
      <c r="KD8" s="10"/>
      <c r="KE8" s="10"/>
      <c r="KF8" s="10"/>
      <c r="KG8" s="10"/>
      <c r="KH8" s="10"/>
      <c r="KI8" s="10"/>
      <c r="KJ8" s="10"/>
      <c r="KK8" s="10"/>
      <c r="KL8" s="10"/>
      <c r="KM8" s="10"/>
      <c r="KN8" s="10"/>
      <c r="KO8" s="10"/>
      <c r="KP8" s="10"/>
      <c r="KQ8" s="10"/>
      <c r="KR8" s="10"/>
      <c r="KS8" s="10"/>
      <c r="KT8" s="10"/>
      <c r="KU8" s="10"/>
      <c r="KV8" s="10"/>
      <c r="KW8" s="10"/>
      <c r="KX8" s="10"/>
      <c r="KY8" s="10"/>
      <c r="KZ8" s="10"/>
      <c r="LA8" s="10"/>
      <c r="LB8" s="10"/>
      <c r="LC8" s="10"/>
      <c r="LD8" s="10"/>
      <c r="LE8" s="10"/>
      <c r="LF8" s="10"/>
      <c r="LG8" s="10"/>
      <c r="LH8" s="10"/>
      <c r="LI8" s="10"/>
      <c r="LJ8" s="10"/>
      <c r="LK8" s="10"/>
      <c r="LL8" s="10"/>
      <c r="LM8" s="10"/>
      <c r="LN8" s="10"/>
      <c r="LO8" s="10"/>
      <c r="LP8" s="10"/>
      <c r="LQ8" s="10"/>
      <c r="LR8" s="10"/>
      <c r="LS8" s="10"/>
      <c r="LT8" s="10"/>
      <c r="LU8" s="10"/>
      <c r="LV8" s="10"/>
      <c r="LW8" s="10"/>
      <c r="LX8" s="10"/>
      <c r="LY8" s="10"/>
      <c r="LZ8" s="10"/>
      <c r="MA8" s="10"/>
      <c r="MB8" s="10"/>
      <c r="MC8" s="10"/>
      <c r="MD8" s="10"/>
      <c r="ME8" s="10"/>
      <c r="MF8" s="10"/>
      <c r="MG8" s="10"/>
      <c r="MH8" s="10"/>
      <c r="MI8" s="10"/>
      <c r="MJ8" s="10"/>
      <c r="MK8" s="10"/>
      <c r="ML8" s="10"/>
      <c r="MM8" s="10"/>
      <c r="MN8" s="10"/>
      <c r="MO8" s="10"/>
      <c r="MP8" s="10"/>
      <c r="MQ8" s="10"/>
      <c r="MR8" s="10"/>
      <c r="MS8" s="10"/>
      <c r="MT8" s="10"/>
      <c r="MU8" s="10"/>
      <c r="MV8" s="10"/>
      <c r="MW8" s="10"/>
      <c r="MX8" s="10"/>
      <c r="MY8" s="10"/>
      <c r="MZ8" s="10"/>
      <c r="NA8" s="10"/>
      <c r="NB8" s="10"/>
      <c r="NC8" s="10"/>
      <c r="ND8" s="10"/>
      <c r="NE8" s="10"/>
      <c r="NF8" s="10"/>
      <c r="NG8" s="10"/>
      <c r="NH8" s="10"/>
      <c r="NI8" s="10"/>
      <c r="NJ8" s="10"/>
      <c r="NK8" s="10"/>
      <c r="NL8" s="10"/>
      <c r="NM8" s="10"/>
      <c r="NN8" s="10"/>
      <c r="NO8" s="10"/>
      <c r="NP8" s="10"/>
      <c r="NQ8" s="10"/>
      <c r="NR8" s="10"/>
      <c r="NS8" s="10"/>
      <c r="NT8" s="10"/>
      <c r="NU8" s="10"/>
      <c r="NV8" s="10"/>
      <c r="NW8" s="10"/>
      <c r="NX8" s="10"/>
      <c r="NY8" s="10"/>
      <c r="NZ8" s="10"/>
      <c r="OA8" s="10"/>
      <c r="OB8" s="10"/>
      <c r="OC8" s="10"/>
      <c r="OD8" s="10"/>
      <c r="OE8" s="10"/>
      <c r="OF8" s="10"/>
      <c r="OG8" s="10"/>
      <c r="OH8" s="10"/>
      <c r="OI8" s="10"/>
      <c r="OJ8" s="10"/>
      <c r="OK8" s="10"/>
      <c r="OL8" s="10"/>
      <c r="OM8" s="10"/>
      <c r="ON8" s="10"/>
      <c r="OO8" s="10"/>
      <c r="OP8" s="10"/>
      <c r="OQ8" s="10"/>
      <c r="OR8" s="10"/>
      <c r="OS8" s="10"/>
      <c r="OT8" s="10"/>
      <c r="OU8" s="10"/>
      <c r="OV8" s="10"/>
      <c r="OW8" s="10"/>
      <c r="OX8" s="10"/>
      <c r="OY8" s="10"/>
      <c r="OZ8" s="10"/>
      <c r="PA8" s="10"/>
      <c r="PB8" s="10"/>
      <c r="PC8" s="10"/>
      <c r="PD8" s="10"/>
      <c r="PE8" s="10"/>
      <c r="PF8" s="10"/>
      <c r="PG8" s="10"/>
      <c r="PH8" s="10"/>
      <c r="PI8" s="10"/>
      <c r="PJ8" s="10"/>
      <c r="PK8" s="10"/>
      <c r="PL8" s="10"/>
      <c r="PM8" s="10"/>
      <c r="PN8" s="10"/>
      <c r="PO8" s="10"/>
      <c r="PP8" s="10"/>
      <c r="PQ8" s="10"/>
      <c r="PR8" s="10"/>
      <c r="PS8" s="10"/>
      <c r="PT8" s="10"/>
      <c r="PU8" s="10"/>
      <c r="PV8" s="10"/>
      <c r="PW8" s="10"/>
      <c r="PX8" s="10"/>
      <c r="PY8" s="10"/>
      <c r="PZ8" s="10"/>
      <c r="QA8" s="10"/>
      <c r="QB8" s="10"/>
      <c r="QC8" s="10"/>
      <c r="QD8" s="10"/>
      <c r="QE8" s="10"/>
      <c r="QF8" s="10"/>
      <c r="QG8" s="10"/>
      <c r="QH8" s="10"/>
      <c r="QI8" s="10"/>
      <c r="QJ8" s="10"/>
      <c r="QK8" s="10"/>
      <c r="QL8" s="10"/>
      <c r="QM8" s="10"/>
      <c r="QN8" s="10"/>
      <c r="QO8" s="10"/>
      <c r="QP8" s="10"/>
      <c r="QQ8" s="10"/>
      <c r="QR8" s="10"/>
      <c r="QS8" s="10"/>
      <c r="QT8" s="10"/>
      <c r="QU8" s="10"/>
      <c r="QV8" s="10"/>
      <c r="QW8" s="10"/>
      <c r="QX8" s="10"/>
      <c r="QY8" s="10"/>
      <c r="QZ8" s="10"/>
      <c r="RA8" s="10"/>
      <c r="RB8" s="10"/>
      <c r="RC8" s="10"/>
      <c r="RD8" s="10"/>
      <c r="RE8" s="10"/>
      <c r="RF8" s="10"/>
      <c r="RG8" s="10"/>
      <c r="RH8" s="10"/>
      <c r="RI8" s="10"/>
      <c r="RJ8" s="10"/>
      <c r="RK8" s="10"/>
      <c r="RL8" s="10"/>
      <c r="RM8" s="10"/>
      <c r="RN8" s="10"/>
      <c r="RO8" s="10"/>
      <c r="RP8" s="10"/>
      <c r="RQ8" s="10"/>
      <c r="RR8" s="10"/>
      <c r="RS8" s="10"/>
      <c r="RT8" s="10"/>
      <c r="RU8" s="10"/>
      <c r="RV8" s="10"/>
      <c r="RW8" s="10"/>
      <c r="RX8" s="10"/>
      <c r="RY8" s="10"/>
      <c r="RZ8" s="10"/>
      <c r="SA8" s="10"/>
      <c r="SB8" s="10"/>
      <c r="SC8" s="10"/>
      <c r="SD8" s="10"/>
      <c r="SE8" s="10"/>
      <c r="SF8" s="10"/>
      <c r="SG8" s="10"/>
      <c r="SH8" s="10"/>
      <c r="SI8" s="10"/>
      <c r="SJ8" s="10"/>
      <c r="SK8" s="10"/>
      <c r="SL8" s="10"/>
      <c r="SM8" s="10"/>
      <c r="SN8" s="10"/>
      <c r="SO8" s="10"/>
      <c r="SP8" s="10"/>
      <c r="SQ8" s="10"/>
      <c r="SR8" s="10"/>
      <c r="SS8" s="10"/>
      <c r="ST8" s="10"/>
      <c r="SU8" s="10"/>
      <c r="SV8" s="10"/>
      <c r="SW8" s="10"/>
      <c r="SX8" s="10"/>
      <c r="SY8" s="10"/>
      <c r="SZ8" s="10"/>
      <c r="TA8" s="10"/>
      <c r="TB8" s="10"/>
      <c r="TC8" s="10"/>
      <c r="TD8" s="10"/>
      <c r="TE8" s="10"/>
      <c r="TF8" s="10"/>
      <c r="TG8" s="10"/>
      <c r="TH8" s="10"/>
      <c r="TI8" s="10"/>
      <c r="TJ8" s="10"/>
      <c r="TK8" s="10"/>
      <c r="TL8" s="10"/>
      <c r="TM8" s="10"/>
      <c r="TN8" s="10"/>
      <c r="TO8" s="10"/>
      <c r="TP8" s="10"/>
      <c r="TQ8" s="10"/>
      <c r="TR8" s="10"/>
      <c r="TS8" s="10"/>
      <c r="TT8" s="10"/>
      <c r="TU8" s="10"/>
      <c r="TV8" s="10"/>
      <c r="TW8" s="10"/>
      <c r="TX8" s="10"/>
      <c r="TY8" s="10"/>
      <c r="TZ8" s="10"/>
      <c r="UA8" s="10"/>
      <c r="UB8" s="10"/>
      <c r="UC8" s="10"/>
      <c r="UD8" s="10"/>
      <c r="UE8" s="10"/>
      <c r="UF8" s="10"/>
      <c r="UG8" s="10"/>
      <c r="UH8" s="10"/>
      <c r="UI8" s="10"/>
      <c r="UJ8" s="10"/>
      <c r="UK8" s="10"/>
      <c r="UL8" s="10"/>
      <c r="UM8" s="10"/>
      <c r="UN8" s="10"/>
      <c r="UO8" s="10"/>
      <c r="UP8" s="10"/>
      <c r="UQ8" s="10"/>
      <c r="UR8" s="10"/>
      <c r="US8" s="10"/>
      <c r="UT8" s="10"/>
      <c r="UU8" s="10"/>
      <c r="UV8" s="10"/>
      <c r="UW8" s="10"/>
      <c r="UX8" s="10"/>
      <c r="UY8" s="10"/>
      <c r="UZ8" s="10"/>
      <c r="VA8" s="10"/>
      <c r="VB8" s="10"/>
      <c r="VC8" s="10"/>
      <c r="VD8" s="10"/>
      <c r="VE8" s="10"/>
      <c r="VF8" s="10"/>
      <c r="VG8" s="10"/>
      <c r="VH8" s="10"/>
      <c r="VI8" s="10"/>
      <c r="VJ8" s="10"/>
      <c r="VK8" s="10"/>
      <c r="VL8" s="10"/>
      <c r="VM8" s="10"/>
      <c r="VN8" s="10"/>
      <c r="VO8" s="10"/>
      <c r="VP8" s="10"/>
      <c r="VQ8" s="10"/>
      <c r="VR8" s="10"/>
      <c r="VS8" s="10"/>
      <c r="VT8" s="10"/>
      <c r="VU8" s="10"/>
      <c r="VV8" s="10"/>
      <c r="VW8" s="10"/>
      <c r="VX8" s="10"/>
      <c r="VY8" s="10"/>
      <c r="VZ8" s="10"/>
      <c r="WA8" s="10"/>
      <c r="WB8" s="10"/>
      <c r="WC8" s="10"/>
      <c r="WD8" s="10"/>
      <c r="WE8" s="10"/>
      <c r="WF8" s="10"/>
      <c r="WG8" s="10"/>
      <c r="WH8" s="10"/>
      <c r="WI8" s="10"/>
      <c r="WJ8" s="10"/>
      <c r="WK8" s="10"/>
      <c r="WL8" s="10"/>
      <c r="WM8" s="10"/>
      <c r="WN8" s="10"/>
      <c r="WO8" s="10"/>
      <c r="WP8" s="10"/>
      <c r="WQ8" s="10"/>
      <c r="WR8" s="10"/>
      <c r="WS8" s="10"/>
      <c r="WT8" s="10"/>
      <c r="WU8" s="10"/>
      <c r="WV8" s="10"/>
      <c r="WW8" s="10"/>
      <c r="WX8" s="10"/>
      <c r="WY8" s="10"/>
      <c r="WZ8" s="10"/>
      <c r="XA8" s="10"/>
      <c r="XB8" s="10"/>
      <c r="XC8" s="10"/>
      <c r="XD8" s="10"/>
      <c r="XE8" s="10"/>
      <c r="XF8" s="10"/>
      <c r="XG8" s="10"/>
      <c r="XH8" s="10"/>
      <c r="XI8" s="10"/>
      <c r="XJ8" s="10"/>
      <c r="XK8" s="10"/>
      <c r="XL8" s="10"/>
      <c r="XM8" s="10"/>
      <c r="XN8" s="10"/>
      <c r="XO8" s="10"/>
      <c r="XP8" s="10"/>
      <c r="XQ8" s="10"/>
      <c r="XR8" s="10"/>
      <c r="XS8" s="10"/>
      <c r="XT8" s="10"/>
      <c r="XU8" s="10"/>
      <c r="XV8" s="10"/>
      <c r="XW8" s="10"/>
      <c r="XX8" s="10"/>
      <c r="XY8" s="10"/>
      <c r="XZ8" s="10"/>
      <c r="YA8" s="10"/>
      <c r="YB8" s="10"/>
      <c r="YC8" s="10"/>
      <c r="YD8" s="10"/>
      <c r="YE8" s="10"/>
      <c r="YF8" s="10"/>
      <c r="YG8" s="10"/>
      <c r="YH8" s="10"/>
      <c r="YI8" s="10"/>
      <c r="YJ8" s="10"/>
      <c r="YK8" s="10"/>
      <c r="YL8" s="10"/>
      <c r="YM8" s="10"/>
      <c r="YN8" s="10"/>
      <c r="YO8" s="10"/>
      <c r="YP8" s="10"/>
      <c r="YQ8" s="10"/>
      <c r="YR8" s="10"/>
      <c r="YS8" s="10"/>
      <c r="YT8" s="10"/>
      <c r="YU8" s="10"/>
      <c r="YV8" s="10"/>
      <c r="YW8" s="10"/>
      <c r="YX8" s="10"/>
      <c r="YY8" s="10"/>
      <c r="YZ8" s="10"/>
      <c r="ZA8" s="10"/>
      <c r="ZB8" s="10"/>
      <c r="ZC8" s="10"/>
      <c r="ZD8" s="10"/>
      <c r="ZE8" s="10"/>
      <c r="ZF8" s="10"/>
      <c r="ZG8" s="10"/>
      <c r="ZH8" s="10"/>
      <c r="ZI8" s="10"/>
      <c r="ZJ8" s="10"/>
      <c r="ZK8" s="10"/>
      <c r="ZL8" s="10"/>
      <c r="ZM8" s="10"/>
      <c r="ZN8" s="10"/>
      <c r="ZO8" s="10"/>
      <c r="ZP8" s="10"/>
      <c r="ZQ8" s="10"/>
      <c r="ZR8" s="10"/>
      <c r="ZS8" s="10"/>
      <c r="ZT8" s="10"/>
      <c r="ZU8" s="10"/>
      <c r="ZV8" s="10"/>
      <c r="ZW8" s="10"/>
      <c r="ZX8" s="10"/>
      <c r="ZY8" s="10"/>
      <c r="ZZ8" s="10"/>
      <c r="AAA8" s="10"/>
      <c r="AAB8" s="10"/>
      <c r="AAC8" s="10"/>
      <c r="AAD8" s="10"/>
      <c r="AAE8" s="10"/>
      <c r="AAF8" s="10"/>
      <c r="AAG8" s="10"/>
      <c r="AAH8" s="10"/>
      <c r="AAI8" s="10"/>
      <c r="AAJ8" s="10"/>
      <c r="AAK8" s="10"/>
      <c r="AAL8" s="10"/>
      <c r="AAM8" s="10"/>
      <c r="AAN8" s="10"/>
      <c r="AAO8" s="10"/>
      <c r="AAP8" s="10"/>
      <c r="AAQ8" s="10"/>
      <c r="AAR8" s="10"/>
      <c r="AAS8" s="10"/>
      <c r="AAT8" s="10"/>
      <c r="AAU8" s="10"/>
      <c r="AAV8" s="10"/>
      <c r="AAW8" s="10"/>
      <c r="AAX8" s="10"/>
      <c r="AAY8" s="10"/>
      <c r="AAZ8" s="10"/>
      <c r="ABA8" s="10"/>
      <c r="ABB8" s="10"/>
      <c r="ABC8" s="10"/>
      <c r="ABD8" s="10"/>
      <c r="ABE8" s="10"/>
      <c r="ABF8" s="10"/>
      <c r="ABG8" s="10"/>
      <c r="ABH8" s="10"/>
      <c r="ABI8" s="10"/>
      <c r="ABJ8" s="10"/>
      <c r="ABK8" s="10"/>
      <c r="ABL8" s="10"/>
    </row>
    <row r="9" spans="1:740" x14ac:dyDescent="0.3">
      <c r="B9" s="22">
        <f t="shared" si="0"/>
        <v>4</v>
      </c>
      <c r="C9" s="15"/>
      <c r="D9" s="23" t="s">
        <v>158</v>
      </c>
      <c r="E9" s="24"/>
      <c r="F9" s="24"/>
      <c r="G9" s="25">
        <v>44309</v>
      </c>
      <c r="H9" s="24"/>
      <c r="I9" s="24"/>
      <c r="J9" s="24" t="s">
        <v>1303</v>
      </c>
      <c r="K9" s="24">
        <v>12</v>
      </c>
      <c r="L9" s="24"/>
      <c r="M9" s="24"/>
      <c r="N9" s="41" t="s">
        <v>1304</v>
      </c>
    </row>
    <row r="10" spans="1:740" s="21" customFormat="1" x14ac:dyDescent="0.3">
      <c r="A10" s="10"/>
      <c r="B10" s="13">
        <f t="shared" si="0"/>
        <v>3</v>
      </c>
      <c r="C10" s="16"/>
      <c r="D10" s="17" t="s">
        <v>1305</v>
      </c>
      <c r="E10" s="18" t="s">
        <v>1306</v>
      </c>
      <c r="F10" s="18"/>
      <c r="G10" s="19">
        <v>44519</v>
      </c>
      <c r="H10" s="19">
        <v>44586</v>
      </c>
      <c r="I10" s="19">
        <v>44586</v>
      </c>
      <c r="J10" s="18" t="s">
        <v>1302</v>
      </c>
      <c r="K10" s="18">
        <v>12</v>
      </c>
      <c r="L10" s="19">
        <v>44611</v>
      </c>
      <c r="M10" s="19">
        <f>EOMONTH(L10,K10)</f>
        <v>44985</v>
      </c>
      <c r="N10" s="27" t="s">
        <v>1307</v>
      </c>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10"/>
      <c r="GC10" s="10"/>
      <c r="GD10" s="10"/>
      <c r="GE10" s="10"/>
      <c r="GF10" s="10"/>
      <c r="GG10" s="10"/>
      <c r="GH10" s="10"/>
      <c r="GI10" s="10"/>
      <c r="GJ10" s="10"/>
      <c r="GK10" s="10"/>
      <c r="GL10" s="10"/>
      <c r="GM10" s="10"/>
      <c r="GN10" s="10"/>
      <c r="GO10" s="10"/>
      <c r="GP10" s="10"/>
      <c r="GQ10" s="10"/>
      <c r="GR10" s="10"/>
      <c r="GS10" s="10"/>
      <c r="GT10" s="10"/>
      <c r="GU10" s="10"/>
      <c r="GV10" s="10"/>
      <c r="GW10" s="10"/>
      <c r="GX10" s="10"/>
      <c r="GY10" s="10"/>
      <c r="GZ10" s="10"/>
      <c r="HA10" s="10"/>
      <c r="HB10" s="10"/>
      <c r="HC10" s="10"/>
      <c r="HD10" s="10"/>
      <c r="HE10" s="10"/>
      <c r="HF10" s="10"/>
      <c r="HG10" s="10"/>
      <c r="HH10" s="10"/>
      <c r="HI10" s="10"/>
      <c r="HJ10" s="10"/>
      <c r="HK10" s="10"/>
      <c r="HL10" s="10"/>
      <c r="HM10" s="10"/>
      <c r="HN10" s="10"/>
      <c r="HO10" s="10"/>
      <c r="HP10" s="10"/>
      <c r="HQ10" s="10"/>
      <c r="HR10" s="10"/>
      <c r="HS10" s="10"/>
      <c r="HT10" s="10"/>
      <c r="HU10" s="10"/>
      <c r="HV10" s="10"/>
      <c r="HW10" s="10"/>
      <c r="HX10" s="10"/>
      <c r="HY10" s="10"/>
      <c r="HZ10" s="10"/>
      <c r="IA10" s="10"/>
      <c r="IB10" s="10"/>
      <c r="IC10" s="10"/>
      <c r="ID10" s="10"/>
      <c r="IE10" s="10"/>
      <c r="IF10" s="10"/>
      <c r="IG10" s="10"/>
      <c r="IH10" s="10"/>
      <c r="II10" s="10"/>
      <c r="IJ10" s="10"/>
      <c r="IK10" s="10"/>
      <c r="IL10" s="10"/>
      <c r="IM10" s="10"/>
      <c r="IN10" s="10"/>
      <c r="IO10" s="10"/>
      <c r="IP10" s="10"/>
      <c r="IQ10" s="10"/>
      <c r="IR10" s="10"/>
      <c r="IS10" s="10"/>
      <c r="IT10" s="10"/>
      <c r="IU10" s="10"/>
      <c r="IV10" s="10"/>
      <c r="IW10" s="10"/>
      <c r="IX10" s="10"/>
      <c r="IY10" s="10"/>
      <c r="IZ10" s="10"/>
      <c r="JA10" s="10"/>
      <c r="JB10" s="10"/>
      <c r="JC10" s="10"/>
      <c r="JD10" s="10"/>
      <c r="JE10" s="10"/>
      <c r="JF10" s="10"/>
      <c r="JG10" s="10"/>
      <c r="JH10" s="10"/>
      <c r="JI10" s="10"/>
      <c r="JJ10" s="10"/>
      <c r="JK10" s="10"/>
      <c r="JL10" s="10"/>
      <c r="JM10" s="10"/>
      <c r="JN10" s="10"/>
      <c r="JO10" s="10"/>
      <c r="JP10" s="10"/>
      <c r="JQ10" s="10"/>
      <c r="JR10" s="10"/>
      <c r="JS10" s="10"/>
      <c r="JT10" s="10"/>
      <c r="JU10" s="10"/>
      <c r="JV10" s="10"/>
      <c r="JW10" s="10"/>
      <c r="JX10" s="10"/>
      <c r="JY10" s="10"/>
      <c r="JZ10" s="10"/>
      <c r="KA10" s="10"/>
      <c r="KB10" s="10"/>
      <c r="KC10" s="10"/>
      <c r="KD10" s="10"/>
      <c r="KE10" s="10"/>
      <c r="KF10" s="10"/>
      <c r="KG10" s="10"/>
      <c r="KH10" s="10"/>
      <c r="KI10" s="10"/>
      <c r="KJ10" s="10"/>
      <c r="KK10" s="10"/>
      <c r="KL10" s="10"/>
      <c r="KM10" s="10"/>
      <c r="KN10" s="10"/>
      <c r="KO10" s="10"/>
      <c r="KP10" s="10"/>
      <c r="KQ10" s="10"/>
      <c r="KR10" s="10"/>
      <c r="KS10" s="10"/>
      <c r="KT10" s="10"/>
      <c r="KU10" s="10"/>
      <c r="KV10" s="10"/>
      <c r="KW10" s="10"/>
      <c r="KX10" s="10"/>
      <c r="KY10" s="10"/>
      <c r="KZ10" s="10"/>
      <c r="LA10" s="10"/>
      <c r="LB10" s="10"/>
      <c r="LC10" s="10"/>
      <c r="LD10" s="10"/>
      <c r="LE10" s="10"/>
      <c r="LF10" s="10"/>
      <c r="LG10" s="10"/>
      <c r="LH10" s="10"/>
      <c r="LI10" s="10"/>
      <c r="LJ10" s="10"/>
      <c r="LK10" s="10"/>
      <c r="LL10" s="10"/>
      <c r="LM10" s="10"/>
      <c r="LN10" s="10"/>
      <c r="LO10" s="10"/>
      <c r="LP10" s="10"/>
      <c r="LQ10" s="10"/>
      <c r="LR10" s="10"/>
      <c r="LS10" s="10"/>
      <c r="LT10" s="10"/>
      <c r="LU10" s="10"/>
      <c r="LV10" s="10"/>
      <c r="LW10" s="10"/>
      <c r="LX10" s="10"/>
      <c r="LY10" s="10"/>
      <c r="LZ10" s="10"/>
      <c r="MA10" s="10"/>
      <c r="MB10" s="10"/>
      <c r="MC10" s="10"/>
      <c r="MD10" s="10"/>
      <c r="ME10" s="10"/>
      <c r="MF10" s="10"/>
      <c r="MG10" s="10"/>
      <c r="MH10" s="10"/>
      <c r="MI10" s="10"/>
      <c r="MJ10" s="10"/>
      <c r="MK10" s="10"/>
      <c r="ML10" s="10"/>
      <c r="MM10" s="10"/>
      <c r="MN10" s="10"/>
      <c r="MO10" s="10"/>
      <c r="MP10" s="10"/>
      <c r="MQ10" s="10"/>
      <c r="MR10" s="10"/>
      <c r="MS10" s="10"/>
      <c r="MT10" s="10"/>
      <c r="MU10" s="10"/>
      <c r="MV10" s="10"/>
      <c r="MW10" s="10"/>
      <c r="MX10" s="10"/>
      <c r="MY10" s="10"/>
      <c r="MZ10" s="10"/>
      <c r="NA10" s="10"/>
      <c r="NB10" s="10"/>
      <c r="NC10" s="10"/>
      <c r="ND10" s="10"/>
      <c r="NE10" s="10"/>
      <c r="NF10" s="10"/>
      <c r="NG10" s="10"/>
      <c r="NH10" s="10"/>
      <c r="NI10" s="10"/>
      <c r="NJ10" s="10"/>
      <c r="NK10" s="10"/>
      <c r="NL10" s="10"/>
      <c r="NM10" s="10"/>
      <c r="NN10" s="10"/>
      <c r="NO10" s="10"/>
      <c r="NP10" s="10"/>
      <c r="NQ10" s="10"/>
      <c r="NR10" s="10"/>
      <c r="NS10" s="10"/>
      <c r="NT10" s="10"/>
      <c r="NU10" s="10"/>
      <c r="NV10" s="10"/>
      <c r="NW10" s="10"/>
      <c r="NX10" s="10"/>
      <c r="NY10" s="10"/>
      <c r="NZ10" s="10"/>
      <c r="OA10" s="10"/>
      <c r="OB10" s="10"/>
      <c r="OC10" s="10"/>
      <c r="OD10" s="10"/>
      <c r="OE10" s="10"/>
      <c r="OF10" s="10"/>
      <c r="OG10" s="10"/>
      <c r="OH10" s="10"/>
      <c r="OI10" s="10"/>
      <c r="OJ10" s="10"/>
      <c r="OK10" s="10"/>
      <c r="OL10" s="10"/>
      <c r="OM10" s="10"/>
      <c r="ON10" s="10"/>
      <c r="OO10" s="10"/>
      <c r="OP10" s="10"/>
      <c r="OQ10" s="10"/>
      <c r="OR10" s="10"/>
      <c r="OS10" s="10"/>
      <c r="OT10" s="10"/>
      <c r="OU10" s="10"/>
      <c r="OV10" s="10"/>
      <c r="OW10" s="10"/>
      <c r="OX10" s="10"/>
      <c r="OY10" s="10"/>
      <c r="OZ10" s="10"/>
      <c r="PA10" s="10"/>
      <c r="PB10" s="10"/>
      <c r="PC10" s="10"/>
      <c r="PD10" s="10"/>
      <c r="PE10" s="10"/>
      <c r="PF10" s="10"/>
      <c r="PG10" s="10"/>
      <c r="PH10" s="10"/>
      <c r="PI10" s="10"/>
      <c r="PJ10" s="10"/>
      <c r="PK10" s="10"/>
      <c r="PL10" s="10"/>
      <c r="PM10" s="10"/>
      <c r="PN10" s="10"/>
      <c r="PO10" s="10"/>
      <c r="PP10" s="10"/>
      <c r="PQ10" s="10"/>
      <c r="PR10" s="10"/>
      <c r="PS10" s="10"/>
      <c r="PT10" s="10"/>
      <c r="PU10" s="10"/>
      <c r="PV10" s="10"/>
      <c r="PW10" s="10"/>
      <c r="PX10" s="10"/>
      <c r="PY10" s="10"/>
      <c r="PZ10" s="10"/>
      <c r="QA10" s="10"/>
      <c r="QB10" s="10"/>
      <c r="QC10" s="10"/>
      <c r="QD10" s="10"/>
      <c r="QE10" s="10"/>
      <c r="QF10" s="10"/>
      <c r="QG10" s="10"/>
      <c r="QH10" s="10"/>
      <c r="QI10" s="10"/>
      <c r="QJ10" s="10"/>
      <c r="QK10" s="10"/>
      <c r="QL10" s="10"/>
      <c r="QM10" s="10"/>
      <c r="QN10" s="10"/>
      <c r="QO10" s="10"/>
      <c r="QP10" s="10"/>
      <c r="QQ10" s="10"/>
      <c r="QR10" s="10"/>
      <c r="QS10" s="10"/>
      <c r="QT10" s="10"/>
      <c r="QU10" s="10"/>
      <c r="QV10" s="10"/>
      <c r="QW10" s="10"/>
      <c r="QX10" s="10"/>
      <c r="QY10" s="10"/>
      <c r="QZ10" s="10"/>
      <c r="RA10" s="10"/>
      <c r="RB10" s="10"/>
      <c r="RC10" s="10"/>
      <c r="RD10" s="10"/>
      <c r="RE10" s="10"/>
      <c r="RF10" s="10"/>
      <c r="RG10" s="10"/>
      <c r="RH10" s="10"/>
      <c r="RI10" s="10"/>
      <c r="RJ10" s="10"/>
      <c r="RK10" s="10"/>
      <c r="RL10" s="10"/>
      <c r="RM10" s="10"/>
      <c r="RN10" s="10"/>
      <c r="RO10" s="10"/>
      <c r="RP10" s="10"/>
      <c r="RQ10" s="10"/>
      <c r="RR10" s="10"/>
      <c r="RS10" s="10"/>
      <c r="RT10" s="10"/>
      <c r="RU10" s="10"/>
      <c r="RV10" s="10"/>
      <c r="RW10" s="10"/>
      <c r="RX10" s="10"/>
      <c r="RY10" s="10"/>
      <c r="RZ10" s="10"/>
      <c r="SA10" s="10"/>
      <c r="SB10" s="10"/>
      <c r="SC10" s="10"/>
      <c r="SD10" s="10"/>
      <c r="SE10" s="10"/>
      <c r="SF10" s="10"/>
      <c r="SG10" s="10"/>
      <c r="SH10" s="10"/>
      <c r="SI10" s="10"/>
      <c r="SJ10" s="10"/>
      <c r="SK10" s="10"/>
      <c r="SL10" s="10"/>
      <c r="SM10" s="10"/>
      <c r="SN10" s="10"/>
      <c r="SO10" s="10"/>
      <c r="SP10" s="10"/>
      <c r="SQ10" s="10"/>
      <c r="SR10" s="10"/>
      <c r="SS10" s="10"/>
      <c r="ST10" s="10"/>
      <c r="SU10" s="10"/>
      <c r="SV10" s="10"/>
      <c r="SW10" s="10"/>
      <c r="SX10" s="10"/>
      <c r="SY10" s="10"/>
      <c r="SZ10" s="10"/>
      <c r="TA10" s="10"/>
      <c r="TB10" s="10"/>
      <c r="TC10" s="10"/>
      <c r="TD10" s="10"/>
      <c r="TE10" s="10"/>
      <c r="TF10" s="10"/>
      <c r="TG10" s="10"/>
      <c r="TH10" s="10"/>
      <c r="TI10" s="10"/>
      <c r="TJ10" s="10"/>
      <c r="TK10" s="10"/>
      <c r="TL10" s="10"/>
      <c r="TM10" s="10"/>
      <c r="TN10" s="10"/>
      <c r="TO10" s="10"/>
      <c r="TP10" s="10"/>
      <c r="TQ10" s="10"/>
      <c r="TR10" s="10"/>
      <c r="TS10" s="10"/>
      <c r="TT10" s="10"/>
      <c r="TU10" s="10"/>
      <c r="TV10" s="10"/>
      <c r="TW10" s="10"/>
      <c r="TX10" s="10"/>
      <c r="TY10" s="10"/>
      <c r="TZ10" s="10"/>
      <c r="UA10" s="10"/>
      <c r="UB10" s="10"/>
      <c r="UC10" s="10"/>
      <c r="UD10" s="10"/>
      <c r="UE10" s="10"/>
      <c r="UF10" s="10"/>
      <c r="UG10" s="10"/>
      <c r="UH10" s="10"/>
      <c r="UI10" s="10"/>
      <c r="UJ10" s="10"/>
      <c r="UK10" s="10"/>
      <c r="UL10" s="10"/>
      <c r="UM10" s="10"/>
      <c r="UN10" s="10"/>
      <c r="UO10" s="10"/>
      <c r="UP10" s="10"/>
      <c r="UQ10" s="10"/>
      <c r="UR10" s="10"/>
      <c r="US10" s="10"/>
      <c r="UT10" s="10"/>
      <c r="UU10" s="10"/>
      <c r="UV10" s="10"/>
      <c r="UW10" s="10"/>
      <c r="UX10" s="10"/>
      <c r="UY10" s="10"/>
      <c r="UZ10" s="10"/>
      <c r="VA10" s="10"/>
      <c r="VB10" s="10"/>
      <c r="VC10" s="10"/>
      <c r="VD10" s="10"/>
      <c r="VE10" s="10"/>
      <c r="VF10" s="10"/>
      <c r="VG10" s="10"/>
      <c r="VH10" s="10"/>
      <c r="VI10" s="10"/>
      <c r="VJ10" s="10"/>
      <c r="VK10" s="10"/>
      <c r="VL10" s="10"/>
      <c r="VM10" s="10"/>
      <c r="VN10" s="10"/>
      <c r="VO10" s="10"/>
      <c r="VP10" s="10"/>
      <c r="VQ10" s="10"/>
      <c r="VR10" s="10"/>
      <c r="VS10" s="10"/>
      <c r="VT10" s="10"/>
      <c r="VU10" s="10"/>
      <c r="VV10" s="10"/>
      <c r="VW10" s="10"/>
      <c r="VX10" s="10"/>
      <c r="VY10" s="10"/>
      <c r="VZ10" s="10"/>
      <c r="WA10" s="10"/>
      <c r="WB10" s="10"/>
      <c r="WC10" s="10"/>
      <c r="WD10" s="10"/>
      <c r="WE10" s="10"/>
      <c r="WF10" s="10"/>
      <c r="WG10" s="10"/>
      <c r="WH10" s="10"/>
      <c r="WI10" s="10"/>
      <c r="WJ10" s="10"/>
      <c r="WK10" s="10"/>
      <c r="WL10" s="10"/>
      <c r="WM10" s="10"/>
      <c r="WN10" s="10"/>
      <c r="WO10" s="10"/>
      <c r="WP10" s="10"/>
      <c r="WQ10" s="10"/>
      <c r="WR10" s="10"/>
      <c r="WS10" s="10"/>
      <c r="WT10" s="10"/>
      <c r="WU10" s="10"/>
      <c r="WV10" s="10"/>
      <c r="WW10" s="10"/>
      <c r="WX10" s="10"/>
      <c r="WY10" s="10"/>
      <c r="WZ10" s="10"/>
      <c r="XA10" s="10"/>
      <c r="XB10" s="10"/>
      <c r="XC10" s="10"/>
      <c r="XD10" s="10"/>
      <c r="XE10" s="10"/>
      <c r="XF10" s="10"/>
      <c r="XG10" s="10"/>
      <c r="XH10" s="10"/>
      <c r="XI10" s="10"/>
      <c r="XJ10" s="10"/>
      <c r="XK10" s="10"/>
      <c r="XL10" s="10"/>
      <c r="XM10" s="10"/>
      <c r="XN10" s="10"/>
      <c r="XO10" s="10"/>
      <c r="XP10" s="10"/>
      <c r="XQ10" s="10"/>
      <c r="XR10" s="10"/>
      <c r="XS10" s="10"/>
      <c r="XT10" s="10"/>
      <c r="XU10" s="10"/>
      <c r="XV10" s="10"/>
      <c r="XW10" s="10"/>
      <c r="XX10" s="10"/>
      <c r="XY10" s="10"/>
      <c r="XZ10" s="10"/>
      <c r="YA10" s="10"/>
      <c r="YB10" s="10"/>
      <c r="YC10" s="10"/>
      <c r="YD10" s="10"/>
      <c r="YE10" s="10"/>
      <c r="YF10" s="10"/>
      <c r="YG10" s="10"/>
      <c r="YH10" s="10"/>
      <c r="YI10" s="10"/>
      <c r="YJ10" s="10"/>
      <c r="YK10" s="10"/>
      <c r="YL10" s="10"/>
      <c r="YM10" s="10"/>
      <c r="YN10" s="10"/>
      <c r="YO10" s="10"/>
      <c r="YP10" s="10"/>
      <c r="YQ10" s="10"/>
      <c r="YR10" s="10"/>
      <c r="YS10" s="10"/>
      <c r="YT10" s="10"/>
      <c r="YU10" s="10"/>
      <c r="YV10" s="10"/>
      <c r="YW10" s="10"/>
      <c r="YX10" s="10"/>
      <c r="YY10" s="10"/>
      <c r="YZ10" s="10"/>
      <c r="ZA10" s="10"/>
      <c r="ZB10" s="10"/>
      <c r="ZC10" s="10"/>
      <c r="ZD10" s="10"/>
      <c r="ZE10" s="10"/>
      <c r="ZF10" s="10"/>
      <c r="ZG10" s="10"/>
      <c r="ZH10" s="10"/>
      <c r="ZI10" s="10"/>
      <c r="ZJ10" s="10"/>
      <c r="ZK10" s="10"/>
      <c r="ZL10" s="10"/>
      <c r="ZM10" s="10"/>
      <c r="ZN10" s="10"/>
      <c r="ZO10" s="10"/>
      <c r="ZP10" s="10"/>
      <c r="ZQ10" s="10"/>
      <c r="ZR10" s="10"/>
      <c r="ZS10" s="10"/>
      <c r="ZT10" s="10"/>
      <c r="ZU10" s="10"/>
      <c r="ZV10" s="10"/>
      <c r="ZW10" s="10"/>
      <c r="ZX10" s="10"/>
      <c r="ZY10" s="10"/>
      <c r="ZZ10" s="10"/>
      <c r="AAA10" s="10"/>
      <c r="AAB10" s="10"/>
      <c r="AAC10" s="10"/>
      <c r="AAD10" s="10"/>
      <c r="AAE10" s="10"/>
      <c r="AAF10" s="10"/>
      <c r="AAG10" s="10"/>
      <c r="AAH10" s="10"/>
      <c r="AAI10" s="10"/>
      <c r="AAJ10" s="10"/>
      <c r="AAK10" s="10"/>
      <c r="AAL10" s="10"/>
      <c r="AAM10" s="10"/>
      <c r="AAN10" s="10"/>
      <c r="AAO10" s="10"/>
      <c r="AAP10" s="10"/>
      <c r="AAQ10" s="10"/>
      <c r="AAR10" s="10"/>
      <c r="AAS10" s="10"/>
      <c r="AAT10" s="10"/>
      <c r="AAU10" s="10"/>
      <c r="AAV10" s="10"/>
      <c r="AAW10" s="10"/>
      <c r="AAX10" s="10"/>
      <c r="AAY10" s="10"/>
      <c r="AAZ10" s="10"/>
      <c r="ABA10" s="10"/>
      <c r="ABB10" s="10"/>
      <c r="ABC10" s="10"/>
      <c r="ABD10" s="10"/>
      <c r="ABE10" s="10"/>
      <c r="ABF10" s="10"/>
      <c r="ABG10" s="10"/>
      <c r="ABH10" s="10"/>
      <c r="ABI10" s="10"/>
      <c r="ABJ10" s="10"/>
      <c r="ABK10" s="10"/>
      <c r="ABL10" s="10"/>
    </row>
    <row r="11" spans="1:740" x14ac:dyDescent="0.3">
      <c r="B11" s="22">
        <f t="shared" si="0"/>
        <v>3</v>
      </c>
      <c r="C11" s="15"/>
      <c r="D11" s="23" t="s">
        <v>158</v>
      </c>
      <c r="E11" s="24"/>
      <c r="F11" s="24"/>
      <c r="G11" s="24"/>
      <c r="H11" s="24"/>
      <c r="I11" s="24"/>
      <c r="J11" s="24" t="s">
        <v>1302</v>
      </c>
      <c r="K11" s="24">
        <v>12</v>
      </c>
      <c r="L11" s="25">
        <v>44379</v>
      </c>
      <c r="M11" s="25">
        <f>EOMONTH(L11,K11)</f>
        <v>44773</v>
      </c>
      <c r="N11" s="26"/>
    </row>
    <row r="12" spans="1:740" s="21" customFormat="1" x14ac:dyDescent="0.3">
      <c r="A12" s="10"/>
      <c r="B12" s="13">
        <f t="shared" si="0"/>
        <v>4</v>
      </c>
      <c r="C12" s="16"/>
      <c r="D12" s="28" t="s">
        <v>1308</v>
      </c>
      <c r="E12" s="18"/>
      <c r="F12" s="18"/>
      <c r="G12" s="18"/>
      <c r="H12" s="18"/>
      <c r="I12" s="18"/>
      <c r="J12" s="18" t="s">
        <v>1303</v>
      </c>
      <c r="K12" s="18">
        <v>12</v>
      </c>
      <c r="L12" s="18"/>
      <c r="M12" s="18"/>
      <c r="N12" s="20" t="s">
        <v>1309</v>
      </c>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c r="GJ12" s="10"/>
      <c r="GK12" s="10"/>
      <c r="GL12" s="10"/>
      <c r="GM12" s="10"/>
      <c r="GN12" s="10"/>
      <c r="GO12" s="10"/>
      <c r="GP12" s="10"/>
      <c r="GQ12" s="10"/>
      <c r="GR12" s="10"/>
      <c r="GS12" s="10"/>
      <c r="GT12" s="10"/>
      <c r="GU12" s="10"/>
      <c r="GV12" s="10"/>
      <c r="GW12" s="10"/>
      <c r="GX12" s="10"/>
      <c r="GY12" s="10"/>
      <c r="GZ12" s="10"/>
      <c r="HA12" s="10"/>
      <c r="HB12" s="10"/>
      <c r="HC12" s="10"/>
      <c r="HD12" s="10"/>
      <c r="HE12" s="10"/>
      <c r="HF12" s="10"/>
      <c r="HG12" s="10"/>
      <c r="HH12" s="10"/>
      <c r="HI12" s="10"/>
      <c r="HJ12" s="10"/>
      <c r="HK12" s="10"/>
      <c r="HL12" s="10"/>
      <c r="HM12" s="10"/>
      <c r="HN12" s="10"/>
      <c r="HO12" s="10"/>
      <c r="HP12" s="10"/>
      <c r="HQ12" s="10"/>
      <c r="HR12" s="10"/>
      <c r="HS12" s="10"/>
      <c r="HT12" s="10"/>
      <c r="HU12" s="10"/>
      <c r="HV12" s="10"/>
      <c r="HW12" s="10"/>
      <c r="HX12" s="10"/>
      <c r="HY12" s="10"/>
      <c r="HZ12" s="10"/>
      <c r="IA12" s="10"/>
      <c r="IB12" s="10"/>
      <c r="IC12" s="10"/>
      <c r="ID12" s="10"/>
      <c r="IE12" s="10"/>
      <c r="IF12" s="10"/>
      <c r="IG12" s="10"/>
      <c r="IH12" s="10"/>
      <c r="II12" s="10"/>
      <c r="IJ12" s="10"/>
      <c r="IK12" s="10"/>
      <c r="IL12" s="10"/>
      <c r="IM12" s="10"/>
      <c r="IN12" s="10"/>
      <c r="IO12" s="10"/>
      <c r="IP12" s="10"/>
      <c r="IQ12" s="10"/>
      <c r="IR12" s="10"/>
      <c r="IS12" s="10"/>
      <c r="IT12" s="10"/>
      <c r="IU12" s="10"/>
      <c r="IV12" s="10"/>
      <c r="IW12" s="10"/>
      <c r="IX12" s="10"/>
      <c r="IY12" s="10"/>
      <c r="IZ12" s="10"/>
      <c r="JA12" s="10"/>
      <c r="JB12" s="10"/>
      <c r="JC12" s="10"/>
      <c r="JD12" s="10"/>
      <c r="JE12" s="10"/>
      <c r="JF12" s="10"/>
      <c r="JG12" s="10"/>
      <c r="JH12" s="10"/>
      <c r="JI12" s="10"/>
      <c r="JJ12" s="10"/>
      <c r="JK12" s="10"/>
      <c r="JL12" s="10"/>
      <c r="JM12" s="10"/>
      <c r="JN12" s="10"/>
      <c r="JO12" s="10"/>
      <c r="JP12" s="10"/>
      <c r="JQ12" s="10"/>
      <c r="JR12" s="10"/>
      <c r="JS12" s="10"/>
      <c r="JT12" s="10"/>
      <c r="JU12" s="10"/>
      <c r="JV12" s="10"/>
      <c r="JW12" s="10"/>
      <c r="JX12" s="10"/>
      <c r="JY12" s="10"/>
      <c r="JZ12" s="10"/>
      <c r="KA12" s="10"/>
      <c r="KB12" s="10"/>
      <c r="KC12" s="10"/>
      <c r="KD12" s="10"/>
      <c r="KE12" s="10"/>
      <c r="KF12" s="10"/>
      <c r="KG12" s="10"/>
      <c r="KH12" s="10"/>
      <c r="KI12" s="10"/>
      <c r="KJ12" s="10"/>
      <c r="KK12" s="10"/>
      <c r="KL12" s="10"/>
      <c r="KM12" s="10"/>
      <c r="KN12" s="10"/>
      <c r="KO12" s="10"/>
      <c r="KP12" s="10"/>
      <c r="KQ12" s="10"/>
      <c r="KR12" s="10"/>
      <c r="KS12" s="10"/>
      <c r="KT12" s="10"/>
      <c r="KU12" s="10"/>
      <c r="KV12" s="10"/>
      <c r="KW12" s="10"/>
      <c r="KX12" s="10"/>
      <c r="KY12" s="10"/>
      <c r="KZ12" s="10"/>
      <c r="LA12" s="10"/>
      <c r="LB12" s="10"/>
      <c r="LC12" s="10"/>
      <c r="LD12" s="10"/>
      <c r="LE12" s="10"/>
      <c r="LF12" s="10"/>
      <c r="LG12" s="10"/>
      <c r="LH12" s="10"/>
      <c r="LI12" s="10"/>
      <c r="LJ12" s="10"/>
      <c r="LK12" s="10"/>
      <c r="LL12" s="10"/>
      <c r="LM12" s="10"/>
      <c r="LN12" s="10"/>
      <c r="LO12" s="10"/>
      <c r="LP12" s="10"/>
      <c r="LQ12" s="10"/>
      <c r="LR12" s="10"/>
      <c r="LS12" s="10"/>
      <c r="LT12" s="10"/>
      <c r="LU12" s="10"/>
      <c r="LV12" s="10"/>
      <c r="LW12" s="10"/>
      <c r="LX12" s="10"/>
      <c r="LY12" s="10"/>
      <c r="LZ12" s="10"/>
      <c r="MA12" s="10"/>
      <c r="MB12" s="10"/>
      <c r="MC12" s="10"/>
      <c r="MD12" s="10"/>
      <c r="ME12" s="10"/>
      <c r="MF12" s="10"/>
      <c r="MG12" s="10"/>
      <c r="MH12" s="10"/>
      <c r="MI12" s="10"/>
      <c r="MJ12" s="10"/>
      <c r="MK12" s="10"/>
      <c r="ML12" s="10"/>
      <c r="MM12" s="10"/>
      <c r="MN12" s="10"/>
      <c r="MO12" s="10"/>
      <c r="MP12" s="10"/>
      <c r="MQ12" s="10"/>
      <c r="MR12" s="10"/>
      <c r="MS12" s="10"/>
      <c r="MT12" s="10"/>
      <c r="MU12" s="10"/>
      <c r="MV12" s="10"/>
      <c r="MW12" s="10"/>
      <c r="MX12" s="10"/>
      <c r="MY12" s="10"/>
      <c r="MZ12" s="10"/>
      <c r="NA12" s="10"/>
      <c r="NB12" s="10"/>
      <c r="NC12" s="10"/>
      <c r="ND12" s="10"/>
      <c r="NE12" s="10"/>
      <c r="NF12" s="10"/>
      <c r="NG12" s="10"/>
      <c r="NH12" s="10"/>
      <c r="NI12" s="10"/>
      <c r="NJ12" s="10"/>
      <c r="NK12" s="10"/>
      <c r="NL12" s="10"/>
      <c r="NM12" s="10"/>
      <c r="NN12" s="10"/>
      <c r="NO12" s="10"/>
      <c r="NP12" s="10"/>
      <c r="NQ12" s="10"/>
      <c r="NR12" s="10"/>
      <c r="NS12" s="10"/>
      <c r="NT12" s="10"/>
      <c r="NU12" s="10"/>
      <c r="NV12" s="10"/>
      <c r="NW12" s="10"/>
      <c r="NX12" s="10"/>
      <c r="NY12" s="10"/>
      <c r="NZ12" s="10"/>
      <c r="OA12" s="10"/>
      <c r="OB12" s="10"/>
      <c r="OC12" s="10"/>
      <c r="OD12" s="10"/>
      <c r="OE12" s="10"/>
      <c r="OF12" s="10"/>
      <c r="OG12" s="10"/>
      <c r="OH12" s="10"/>
      <c r="OI12" s="10"/>
      <c r="OJ12" s="10"/>
      <c r="OK12" s="10"/>
      <c r="OL12" s="10"/>
      <c r="OM12" s="10"/>
      <c r="ON12" s="10"/>
      <c r="OO12" s="10"/>
      <c r="OP12" s="10"/>
      <c r="OQ12" s="10"/>
      <c r="OR12" s="10"/>
      <c r="OS12" s="10"/>
      <c r="OT12" s="10"/>
      <c r="OU12" s="10"/>
      <c r="OV12" s="10"/>
      <c r="OW12" s="10"/>
      <c r="OX12" s="10"/>
      <c r="OY12" s="10"/>
      <c r="OZ12" s="10"/>
      <c r="PA12" s="10"/>
      <c r="PB12" s="10"/>
      <c r="PC12" s="10"/>
      <c r="PD12" s="10"/>
      <c r="PE12" s="10"/>
      <c r="PF12" s="10"/>
      <c r="PG12" s="10"/>
      <c r="PH12" s="10"/>
      <c r="PI12" s="10"/>
      <c r="PJ12" s="10"/>
      <c r="PK12" s="10"/>
      <c r="PL12" s="10"/>
      <c r="PM12" s="10"/>
      <c r="PN12" s="10"/>
      <c r="PO12" s="10"/>
      <c r="PP12" s="10"/>
      <c r="PQ12" s="10"/>
      <c r="PR12" s="10"/>
      <c r="PS12" s="10"/>
      <c r="PT12" s="10"/>
      <c r="PU12" s="10"/>
      <c r="PV12" s="10"/>
      <c r="PW12" s="10"/>
      <c r="PX12" s="10"/>
      <c r="PY12" s="10"/>
      <c r="PZ12" s="10"/>
      <c r="QA12" s="10"/>
      <c r="QB12" s="10"/>
      <c r="QC12" s="10"/>
      <c r="QD12" s="10"/>
      <c r="QE12" s="10"/>
      <c r="QF12" s="10"/>
      <c r="QG12" s="10"/>
      <c r="QH12" s="10"/>
      <c r="QI12" s="10"/>
      <c r="QJ12" s="10"/>
      <c r="QK12" s="10"/>
      <c r="QL12" s="10"/>
      <c r="QM12" s="10"/>
      <c r="QN12" s="10"/>
      <c r="QO12" s="10"/>
      <c r="QP12" s="10"/>
      <c r="QQ12" s="10"/>
      <c r="QR12" s="10"/>
      <c r="QS12" s="10"/>
      <c r="QT12" s="10"/>
      <c r="QU12" s="10"/>
      <c r="QV12" s="10"/>
      <c r="QW12" s="10"/>
      <c r="QX12" s="10"/>
      <c r="QY12" s="10"/>
      <c r="QZ12" s="10"/>
      <c r="RA12" s="10"/>
      <c r="RB12" s="10"/>
      <c r="RC12" s="10"/>
      <c r="RD12" s="10"/>
      <c r="RE12" s="10"/>
      <c r="RF12" s="10"/>
      <c r="RG12" s="10"/>
      <c r="RH12" s="10"/>
      <c r="RI12" s="10"/>
      <c r="RJ12" s="10"/>
      <c r="RK12" s="10"/>
      <c r="RL12" s="10"/>
      <c r="RM12" s="10"/>
      <c r="RN12" s="10"/>
      <c r="RO12" s="10"/>
      <c r="RP12" s="10"/>
      <c r="RQ12" s="10"/>
      <c r="RR12" s="10"/>
      <c r="RS12" s="10"/>
      <c r="RT12" s="10"/>
      <c r="RU12" s="10"/>
      <c r="RV12" s="10"/>
      <c r="RW12" s="10"/>
      <c r="RX12" s="10"/>
      <c r="RY12" s="10"/>
      <c r="RZ12" s="10"/>
      <c r="SA12" s="10"/>
      <c r="SB12" s="10"/>
      <c r="SC12" s="10"/>
      <c r="SD12" s="10"/>
      <c r="SE12" s="10"/>
      <c r="SF12" s="10"/>
      <c r="SG12" s="10"/>
      <c r="SH12" s="10"/>
      <c r="SI12" s="10"/>
      <c r="SJ12" s="10"/>
      <c r="SK12" s="10"/>
      <c r="SL12" s="10"/>
      <c r="SM12" s="10"/>
      <c r="SN12" s="10"/>
      <c r="SO12" s="10"/>
      <c r="SP12" s="10"/>
      <c r="SQ12" s="10"/>
      <c r="SR12" s="10"/>
      <c r="SS12" s="10"/>
      <c r="ST12" s="10"/>
      <c r="SU12" s="10"/>
      <c r="SV12" s="10"/>
      <c r="SW12" s="10"/>
      <c r="SX12" s="10"/>
      <c r="SY12" s="10"/>
      <c r="SZ12" s="10"/>
      <c r="TA12" s="10"/>
      <c r="TB12" s="10"/>
      <c r="TC12" s="10"/>
      <c r="TD12" s="10"/>
      <c r="TE12" s="10"/>
      <c r="TF12" s="10"/>
      <c r="TG12" s="10"/>
      <c r="TH12" s="10"/>
      <c r="TI12" s="10"/>
      <c r="TJ12" s="10"/>
      <c r="TK12" s="10"/>
      <c r="TL12" s="10"/>
      <c r="TM12" s="10"/>
      <c r="TN12" s="10"/>
      <c r="TO12" s="10"/>
      <c r="TP12" s="10"/>
      <c r="TQ12" s="10"/>
      <c r="TR12" s="10"/>
      <c r="TS12" s="10"/>
      <c r="TT12" s="10"/>
      <c r="TU12" s="10"/>
      <c r="TV12" s="10"/>
      <c r="TW12" s="10"/>
      <c r="TX12" s="10"/>
      <c r="TY12" s="10"/>
      <c r="TZ12" s="10"/>
      <c r="UA12" s="10"/>
      <c r="UB12" s="10"/>
      <c r="UC12" s="10"/>
      <c r="UD12" s="10"/>
      <c r="UE12" s="10"/>
      <c r="UF12" s="10"/>
      <c r="UG12" s="10"/>
      <c r="UH12" s="10"/>
      <c r="UI12" s="10"/>
      <c r="UJ12" s="10"/>
      <c r="UK12" s="10"/>
      <c r="UL12" s="10"/>
      <c r="UM12" s="10"/>
      <c r="UN12" s="10"/>
      <c r="UO12" s="10"/>
      <c r="UP12" s="10"/>
      <c r="UQ12" s="10"/>
      <c r="UR12" s="10"/>
      <c r="US12" s="10"/>
      <c r="UT12" s="10"/>
      <c r="UU12" s="10"/>
      <c r="UV12" s="10"/>
      <c r="UW12" s="10"/>
      <c r="UX12" s="10"/>
      <c r="UY12" s="10"/>
      <c r="UZ12" s="10"/>
      <c r="VA12" s="10"/>
      <c r="VB12" s="10"/>
      <c r="VC12" s="10"/>
      <c r="VD12" s="10"/>
      <c r="VE12" s="10"/>
      <c r="VF12" s="10"/>
      <c r="VG12" s="10"/>
      <c r="VH12" s="10"/>
      <c r="VI12" s="10"/>
      <c r="VJ12" s="10"/>
      <c r="VK12" s="10"/>
      <c r="VL12" s="10"/>
      <c r="VM12" s="10"/>
      <c r="VN12" s="10"/>
      <c r="VO12" s="10"/>
      <c r="VP12" s="10"/>
      <c r="VQ12" s="10"/>
      <c r="VR12" s="10"/>
      <c r="VS12" s="10"/>
      <c r="VT12" s="10"/>
      <c r="VU12" s="10"/>
      <c r="VV12" s="10"/>
      <c r="VW12" s="10"/>
      <c r="VX12" s="10"/>
      <c r="VY12" s="10"/>
      <c r="VZ12" s="10"/>
      <c r="WA12" s="10"/>
      <c r="WB12" s="10"/>
      <c r="WC12" s="10"/>
      <c r="WD12" s="10"/>
      <c r="WE12" s="10"/>
      <c r="WF12" s="10"/>
      <c r="WG12" s="10"/>
      <c r="WH12" s="10"/>
      <c r="WI12" s="10"/>
      <c r="WJ12" s="10"/>
      <c r="WK12" s="10"/>
      <c r="WL12" s="10"/>
      <c r="WM12" s="10"/>
      <c r="WN12" s="10"/>
      <c r="WO12" s="10"/>
      <c r="WP12" s="10"/>
      <c r="WQ12" s="10"/>
      <c r="WR12" s="10"/>
      <c r="WS12" s="10"/>
      <c r="WT12" s="10"/>
      <c r="WU12" s="10"/>
      <c r="WV12" s="10"/>
      <c r="WW12" s="10"/>
      <c r="WX12" s="10"/>
      <c r="WY12" s="10"/>
      <c r="WZ12" s="10"/>
      <c r="XA12" s="10"/>
      <c r="XB12" s="10"/>
      <c r="XC12" s="10"/>
      <c r="XD12" s="10"/>
      <c r="XE12" s="10"/>
      <c r="XF12" s="10"/>
      <c r="XG12" s="10"/>
      <c r="XH12" s="10"/>
      <c r="XI12" s="10"/>
      <c r="XJ12" s="10"/>
      <c r="XK12" s="10"/>
      <c r="XL12" s="10"/>
      <c r="XM12" s="10"/>
      <c r="XN12" s="10"/>
      <c r="XO12" s="10"/>
      <c r="XP12" s="10"/>
      <c r="XQ12" s="10"/>
      <c r="XR12" s="10"/>
      <c r="XS12" s="10"/>
      <c r="XT12" s="10"/>
      <c r="XU12" s="10"/>
      <c r="XV12" s="10"/>
      <c r="XW12" s="10"/>
      <c r="XX12" s="10"/>
      <c r="XY12" s="10"/>
      <c r="XZ12" s="10"/>
      <c r="YA12" s="10"/>
      <c r="YB12" s="10"/>
      <c r="YC12" s="10"/>
      <c r="YD12" s="10"/>
      <c r="YE12" s="10"/>
      <c r="YF12" s="10"/>
      <c r="YG12" s="10"/>
      <c r="YH12" s="10"/>
      <c r="YI12" s="10"/>
      <c r="YJ12" s="10"/>
      <c r="YK12" s="10"/>
      <c r="YL12" s="10"/>
      <c r="YM12" s="10"/>
      <c r="YN12" s="10"/>
      <c r="YO12" s="10"/>
      <c r="YP12" s="10"/>
      <c r="YQ12" s="10"/>
      <c r="YR12" s="10"/>
      <c r="YS12" s="10"/>
      <c r="YT12" s="10"/>
      <c r="YU12" s="10"/>
      <c r="YV12" s="10"/>
      <c r="YW12" s="10"/>
      <c r="YX12" s="10"/>
      <c r="YY12" s="10"/>
      <c r="YZ12" s="10"/>
      <c r="ZA12" s="10"/>
      <c r="ZB12" s="10"/>
      <c r="ZC12" s="10"/>
      <c r="ZD12" s="10"/>
      <c r="ZE12" s="10"/>
      <c r="ZF12" s="10"/>
      <c r="ZG12" s="10"/>
      <c r="ZH12" s="10"/>
      <c r="ZI12" s="10"/>
      <c r="ZJ12" s="10"/>
      <c r="ZK12" s="10"/>
      <c r="ZL12" s="10"/>
      <c r="ZM12" s="10"/>
      <c r="ZN12" s="10"/>
      <c r="ZO12" s="10"/>
      <c r="ZP12" s="10"/>
      <c r="ZQ12" s="10"/>
      <c r="ZR12" s="10"/>
      <c r="ZS12" s="10"/>
      <c r="ZT12" s="10"/>
      <c r="ZU12" s="10"/>
      <c r="ZV12" s="10"/>
      <c r="ZW12" s="10"/>
      <c r="ZX12" s="10"/>
      <c r="ZY12" s="10"/>
      <c r="ZZ12" s="10"/>
      <c r="AAA12" s="10"/>
      <c r="AAB12" s="10"/>
      <c r="AAC12" s="10"/>
      <c r="AAD12" s="10"/>
      <c r="AAE12" s="10"/>
      <c r="AAF12" s="10"/>
      <c r="AAG12" s="10"/>
      <c r="AAH12" s="10"/>
      <c r="AAI12" s="10"/>
      <c r="AAJ12" s="10"/>
      <c r="AAK12" s="10"/>
      <c r="AAL12" s="10"/>
      <c r="AAM12" s="10"/>
      <c r="AAN12" s="10"/>
      <c r="AAO12" s="10"/>
      <c r="AAP12" s="10"/>
      <c r="AAQ12" s="10"/>
      <c r="AAR12" s="10"/>
      <c r="AAS12" s="10"/>
      <c r="AAT12" s="10"/>
      <c r="AAU12" s="10"/>
      <c r="AAV12" s="10"/>
      <c r="AAW12" s="10"/>
      <c r="AAX12" s="10"/>
      <c r="AAY12" s="10"/>
      <c r="AAZ12" s="10"/>
      <c r="ABA12" s="10"/>
      <c r="ABB12" s="10"/>
      <c r="ABC12" s="10"/>
      <c r="ABD12" s="10"/>
      <c r="ABE12" s="10"/>
      <c r="ABF12" s="10"/>
      <c r="ABG12" s="10"/>
      <c r="ABH12" s="10"/>
      <c r="ABI12" s="10"/>
      <c r="ABJ12" s="10"/>
      <c r="ABK12" s="10"/>
      <c r="ABL12" s="10"/>
    </row>
    <row r="13" spans="1:740" x14ac:dyDescent="0.3">
      <c r="B13" s="22">
        <f t="shared" si="0"/>
        <v>3</v>
      </c>
      <c r="C13" s="15"/>
      <c r="D13" s="23" t="s">
        <v>158</v>
      </c>
      <c r="E13" s="24"/>
      <c r="F13" s="24"/>
      <c r="G13" s="25">
        <v>44293</v>
      </c>
      <c r="H13" s="25">
        <v>44321</v>
      </c>
      <c r="I13" s="25">
        <v>44326</v>
      </c>
      <c r="J13" s="24" t="s">
        <v>1302</v>
      </c>
      <c r="K13" s="24">
        <v>12</v>
      </c>
      <c r="L13" s="25">
        <v>44363</v>
      </c>
      <c r="M13" s="25">
        <f>EOMONTH(L13,K13)</f>
        <v>44742</v>
      </c>
      <c r="N13" s="26"/>
    </row>
    <row r="14" spans="1:740" s="21" customFormat="1" x14ac:dyDescent="0.3">
      <c r="A14" s="10"/>
      <c r="B14" s="13">
        <f t="shared" si="0"/>
        <v>3</v>
      </c>
      <c r="C14" s="16"/>
      <c r="D14" s="17" t="s">
        <v>158</v>
      </c>
      <c r="E14" s="18" t="s">
        <v>1306</v>
      </c>
      <c r="F14" s="18"/>
      <c r="G14" s="19">
        <v>44519</v>
      </c>
      <c r="H14" s="18"/>
      <c r="I14" s="18"/>
      <c r="J14" s="18" t="s">
        <v>1302</v>
      </c>
      <c r="K14" s="18">
        <v>12</v>
      </c>
      <c r="L14" s="19">
        <v>44572</v>
      </c>
      <c r="M14" s="19">
        <f>EOMONTH(L14,K14)</f>
        <v>44957</v>
      </c>
      <c r="N14" s="2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c r="GJ14" s="10"/>
      <c r="GK14" s="10"/>
      <c r="GL14" s="10"/>
      <c r="GM14" s="10"/>
      <c r="GN14" s="10"/>
      <c r="GO14" s="10"/>
      <c r="GP14" s="10"/>
      <c r="GQ14" s="10"/>
      <c r="GR14" s="10"/>
      <c r="GS14" s="10"/>
      <c r="GT14" s="10"/>
      <c r="GU14" s="10"/>
      <c r="GV14" s="10"/>
      <c r="GW14" s="10"/>
      <c r="GX14" s="10"/>
      <c r="GY14" s="10"/>
      <c r="GZ14" s="10"/>
      <c r="HA14" s="10"/>
      <c r="HB14" s="10"/>
      <c r="HC14" s="10"/>
      <c r="HD14" s="10"/>
      <c r="HE14" s="10"/>
      <c r="HF14" s="10"/>
      <c r="HG14" s="10"/>
      <c r="HH14" s="10"/>
      <c r="HI14" s="10"/>
      <c r="HJ14" s="10"/>
      <c r="HK14" s="10"/>
      <c r="HL14" s="10"/>
      <c r="HM14" s="10"/>
      <c r="HN14" s="10"/>
      <c r="HO14" s="10"/>
      <c r="HP14" s="10"/>
      <c r="HQ14" s="10"/>
      <c r="HR14" s="10"/>
      <c r="HS14" s="10"/>
      <c r="HT14" s="10"/>
      <c r="HU14" s="10"/>
      <c r="HV14" s="10"/>
      <c r="HW14" s="10"/>
      <c r="HX14" s="10"/>
      <c r="HY14" s="10"/>
      <c r="HZ14" s="10"/>
      <c r="IA14" s="10"/>
      <c r="IB14" s="10"/>
      <c r="IC14" s="10"/>
      <c r="ID14" s="10"/>
      <c r="IE14" s="10"/>
      <c r="IF14" s="10"/>
      <c r="IG14" s="10"/>
      <c r="IH14" s="10"/>
      <c r="II14" s="10"/>
      <c r="IJ14" s="10"/>
      <c r="IK14" s="10"/>
      <c r="IL14" s="10"/>
      <c r="IM14" s="10"/>
      <c r="IN14" s="10"/>
      <c r="IO14" s="10"/>
      <c r="IP14" s="10"/>
      <c r="IQ14" s="10"/>
      <c r="IR14" s="10"/>
      <c r="IS14" s="10"/>
      <c r="IT14" s="10"/>
      <c r="IU14" s="10"/>
      <c r="IV14" s="10"/>
      <c r="IW14" s="10"/>
      <c r="IX14" s="10"/>
      <c r="IY14" s="10"/>
      <c r="IZ14" s="10"/>
      <c r="JA14" s="10"/>
      <c r="JB14" s="10"/>
      <c r="JC14" s="10"/>
      <c r="JD14" s="10"/>
      <c r="JE14" s="10"/>
      <c r="JF14" s="10"/>
      <c r="JG14" s="10"/>
      <c r="JH14" s="10"/>
      <c r="JI14" s="10"/>
      <c r="JJ14" s="10"/>
      <c r="JK14" s="10"/>
      <c r="JL14" s="10"/>
      <c r="JM14" s="10"/>
      <c r="JN14" s="10"/>
      <c r="JO14" s="10"/>
      <c r="JP14" s="10"/>
      <c r="JQ14" s="10"/>
      <c r="JR14" s="10"/>
      <c r="JS14" s="10"/>
      <c r="JT14" s="10"/>
      <c r="JU14" s="10"/>
      <c r="JV14" s="10"/>
      <c r="JW14" s="10"/>
      <c r="JX14" s="10"/>
      <c r="JY14" s="10"/>
      <c r="JZ14" s="10"/>
      <c r="KA14" s="10"/>
      <c r="KB14" s="10"/>
      <c r="KC14" s="10"/>
      <c r="KD14" s="10"/>
      <c r="KE14" s="10"/>
      <c r="KF14" s="10"/>
      <c r="KG14" s="10"/>
      <c r="KH14" s="10"/>
      <c r="KI14" s="10"/>
      <c r="KJ14" s="10"/>
      <c r="KK14" s="10"/>
      <c r="KL14" s="10"/>
      <c r="KM14" s="10"/>
      <c r="KN14" s="10"/>
      <c r="KO14" s="10"/>
      <c r="KP14" s="10"/>
      <c r="KQ14" s="10"/>
      <c r="KR14" s="10"/>
      <c r="KS14" s="10"/>
      <c r="KT14" s="10"/>
      <c r="KU14" s="10"/>
      <c r="KV14" s="10"/>
      <c r="KW14" s="10"/>
      <c r="KX14" s="10"/>
      <c r="KY14" s="10"/>
      <c r="KZ14" s="10"/>
      <c r="LA14" s="10"/>
      <c r="LB14" s="10"/>
      <c r="LC14" s="10"/>
      <c r="LD14" s="10"/>
      <c r="LE14" s="10"/>
      <c r="LF14" s="10"/>
      <c r="LG14" s="10"/>
      <c r="LH14" s="10"/>
      <c r="LI14" s="10"/>
      <c r="LJ14" s="10"/>
      <c r="LK14" s="10"/>
      <c r="LL14" s="10"/>
      <c r="LM14" s="10"/>
      <c r="LN14" s="10"/>
      <c r="LO14" s="10"/>
      <c r="LP14" s="10"/>
      <c r="LQ14" s="10"/>
      <c r="LR14" s="10"/>
      <c r="LS14" s="10"/>
      <c r="LT14" s="10"/>
      <c r="LU14" s="10"/>
      <c r="LV14" s="10"/>
      <c r="LW14" s="10"/>
      <c r="LX14" s="10"/>
      <c r="LY14" s="10"/>
      <c r="LZ14" s="10"/>
      <c r="MA14" s="10"/>
      <c r="MB14" s="10"/>
      <c r="MC14" s="10"/>
      <c r="MD14" s="10"/>
      <c r="ME14" s="10"/>
      <c r="MF14" s="10"/>
      <c r="MG14" s="10"/>
      <c r="MH14" s="10"/>
      <c r="MI14" s="10"/>
      <c r="MJ14" s="10"/>
      <c r="MK14" s="10"/>
      <c r="ML14" s="10"/>
      <c r="MM14" s="10"/>
      <c r="MN14" s="10"/>
      <c r="MO14" s="10"/>
      <c r="MP14" s="10"/>
      <c r="MQ14" s="10"/>
      <c r="MR14" s="10"/>
      <c r="MS14" s="10"/>
      <c r="MT14" s="10"/>
      <c r="MU14" s="10"/>
      <c r="MV14" s="10"/>
      <c r="MW14" s="10"/>
      <c r="MX14" s="10"/>
      <c r="MY14" s="10"/>
      <c r="MZ14" s="10"/>
      <c r="NA14" s="10"/>
      <c r="NB14" s="10"/>
      <c r="NC14" s="10"/>
      <c r="ND14" s="10"/>
      <c r="NE14" s="10"/>
      <c r="NF14" s="10"/>
      <c r="NG14" s="10"/>
      <c r="NH14" s="10"/>
      <c r="NI14" s="10"/>
      <c r="NJ14" s="10"/>
      <c r="NK14" s="10"/>
      <c r="NL14" s="10"/>
      <c r="NM14" s="10"/>
      <c r="NN14" s="10"/>
      <c r="NO14" s="10"/>
      <c r="NP14" s="10"/>
      <c r="NQ14" s="10"/>
      <c r="NR14" s="10"/>
      <c r="NS14" s="10"/>
      <c r="NT14" s="10"/>
      <c r="NU14" s="10"/>
      <c r="NV14" s="10"/>
      <c r="NW14" s="10"/>
      <c r="NX14" s="10"/>
      <c r="NY14" s="10"/>
      <c r="NZ14" s="10"/>
      <c r="OA14" s="10"/>
      <c r="OB14" s="10"/>
      <c r="OC14" s="10"/>
      <c r="OD14" s="10"/>
      <c r="OE14" s="10"/>
      <c r="OF14" s="10"/>
      <c r="OG14" s="10"/>
      <c r="OH14" s="10"/>
      <c r="OI14" s="10"/>
      <c r="OJ14" s="10"/>
      <c r="OK14" s="10"/>
      <c r="OL14" s="10"/>
      <c r="OM14" s="10"/>
      <c r="ON14" s="10"/>
      <c r="OO14" s="10"/>
      <c r="OP14" s="10"/>
      <c r="OQ14" s="10"/>
      <c r="OR14" s="10"/>
      <c r="OS14" s="10"/>
      <c r="OT14" s="10"/>
      <c r="OU14" s="10"/>
      <c r="OV14" s="10"/>
      <c r="OW14" s="10"/>
      <c r="OX14" s="10"/>
      <c r="OY14" s="10"/>
      <c r="OZ14" s="10"/>
      <c r="PA14" s="10"/>
      <c r="PB14" s="10"/>
      <c r="PC14" s="10"/>
      <c r="PD14" s="10"/>
      <c r="PE14" s="10"/>
      <c r="PF14" s="10"/>
      <c r="PG14" s="10"/>
      <c r="PH14" s="10"/>
      <c r="PI14" s="10"/>
      <c r="PJ14" s="10"/>
      <c r="PK14" s="10"/>
      <c r="PL14" s="10"/>
      <c r="PM14" s="10"/>
      <c r="PN14" s="10"/>
      <c r="PO14" s="10"/>
      <c r="PP14" s="10"/>
      <c r="PQ14" s="10"/>
      <c r="PR14" s="10"/>
      <c r="PS14" s="10"/>
      <c r="PT14" s="10"/>
      <c r="PU14" s="10"/>
      <c r="PV14" s="10"/>
      <c r="PW14" s="10"/>
      <c r="PX14" s="10"/>
      <c r="PY14" s="10"/>
      <c r="PZ14" s="10"/>
      <c r="QA14" s="10"/>
      <c r="QB14" s="10"/>
      <c r="QC14" s="10"/>
      <c r="QD14" s="10"/>
      <c r="QE14" s="10"/>
      <c r="QF14" s="10"/>
      <c r="QG14" s="10"/>
      <c r="QH14" s="10"/>
      <c r="QI14" s="10"/>
      <c r="QJ14" s="10"/>
      <c r="QK14" s="10"/>
      <c r="QL14" s="10"/>
      <c r="QM14" s="10"/>
      <c r="QN14" s="10"/>
      <c r="QO14" s="10"/>
      <c r="QP14" s="10"/>
      <c r="QQ14" s="10"/>
      <c r="QR14" s="10"/>
      <c r="QS14" s="10"/>
      <c r="QT14" s="10"/>
      <c r="QU14" s="10"/>
      <c r="QV14" s="10"/>
      <c r="QW14" s="10"/>
      <c r="QX14" s="10"/>
      <c r="QY14" s="10"/>
      <c r="QZ14" s="10"/>
      <c r="RA14" s="10"/>
      <c r="RB14" s="10"/>
      <c r="RC14" s="10"/>
      <c r="RD14" s="10"/>
      <c r="RE14" s="10"/>
      <c r="RF14" s="10"/>
      <c r="RG14" s="10"/>
      <c r="RH14" s="10"/>
      <c r="RI14" s="10"/>
      <c r="RJ14" s="10"/>
      <c r="RK14" s="10"/>
      <c r="RL14" s="10"/>
      <c r="RM14" s="10"/>
      <c r="RN14" s="10"/>
      <c r="RO14" s="10"/>
      <c r="RP14" s="10"/>
      <c r="RQ14" s="10"/>
      <c r="RR14" s="10"/>
      <c r="RS14" s="10"/>
      <c r="RT14" s="10"/>
      <c r="RU14" s="10"/>
      <c r="RV14" s="10"/>
      <c r="RW14" s="10"/>
      <c r="RX14" s="10"/>
      <c r="RY14" s="10"/>
      <c r="RZ14" s="10"/>
      <c r="SA14" s="10"/>
      <c r="SB14" s="10"/>
      <c r="SC14" s="10"/>
      <c r="SD14" s="10"/>
      <c r="SE14" s="10"/>
      <c r="SF14" s="10"/>
      <c r="SG14" s="10"/>
      <c r="SH14" s="10"/>
      <c r="SI14" s="10"/>
      <c r="SJ14" s="10"/>
      <c r="SK14" s="10"/>
      <c r="SL14" s="10"/>
      <c r="SM14" s="10"/>
      <c r="SN14" s="10"/>
      <c r="SO14" s="10"/>
      <c r="SP14" s="10"/>
      <c r="SQ14" s="10"/>
      <c r="SR14" s="10"/>
      <c r="SS14" s="10"/>
      <c r="ST14" s="10"/>
      <c r="SU14" s="10"/>
      <c r="SV14" s="10"/>
      <c r="SW14" s="10"/>
      <c r="SX14" s="10"/>
      <c r="SY14" s="10"/>
      <c r="SZ14" s="10"/>
      <c r="TA14" s="10"/>
      <c r="TB14" s="10"/>
      <c r="TC14" s="10"/>
      <c r="TD14" s="10"/>
      <c r="TE14" s="10"/>
      <c r="TF14" s="10"/>
      <c r="TG14" s="10"/>
      <c r="TH14" s="10"/>
      <c r="TI14" s="10"/>
      <c r="TJ14" s="10"/>
      <c r="TK14" s="10"/>
      <c r="TL14" s="10"/>
      <c r="TM14" s="10"/>
      <c r="TN14" s="10"/>
      <c r="TO14" s="10"/>
      <c r="TP14" s="10"/>
      <c r="TQ14" s="10"/>
      <c r="TR14" s="10"/>
      <c r="TS14" s="10"/>
      <c r="TT14" s="10"/>
      <c r="TU14" s="10"/>
      <c r="TV14" s="10"/>
      <c r="TW14" s="10"/>
      <c r="TX14" s="10"/>
      <c r="TY14" s="10"/>
      <c r="TZ14" s="10"/>
      <c r="UA14" s="10"/>
      <c r="UB14" s="10"/>
      <c r="UC14" s="10"/>
      <c r="UD14" s="10"/>
      <c r="UE14" s="10"/>
      <c r="UF14" s="10"/>
      <c r="UG14" s="10"/>
      <c r="UH14" s="10"/>
      <c r="UI14" s="10"/>
      <c r="UJ14" s="10"/>
      <c r="UK14" s="10"/>
      <c r="UL14" s="10"/>
      <c r="UM14" s="10"/>
      <c r="UN14" s="10"/>
      <c r="UO14" s="10"/>
      <c r="UP14" s="10"/>
      <c r="UQ14" s="10"/>
      <c r="UR14" s="10"/>
      <c r="US14" s="10"/>
      <c r="UT14" s="10"/>
      <c r="UU14" s="10"/>
      <c r="UV14" s="10"/>
      <c r="UW14" s="10"/>
      <c r="UX14" s="10"/>
      <c r="UY14" s="10"/>
      <c r="UZ14" s="10"/>
      <c r="VA14" s="10"/>
      <c r="VB14" s="10"/>
      <c r="VC14" s="10"/>
      <c r="VD14" s="10"/>
      <c r="VE14" s="10"/>
      <c r="VF14" s="10"/>
      <c r="VG14" s="10"/>
      <c r="VH14" s="10"/>
      <c r="VI14" s="10"/>
      <c r="VJ14" s="10"/>
      <c r="VK14" s="10"/>
      <c r="VL14" s="10"/>
      <c r="VM14" s="10"/>
      <c r="VN14" s="10"/>
      <c r="VO14" s="10"/>
      <c r="VP14" s="10"/>
      <c r="VQ14" s="10"/>
      <c r="VR14" s="10"/>
      <c r="VS14" s="10"/>
      <c r="VT14" s="10"/>
      <c r="VU14" s="10"/>
      <c r="VV14" s="10"/>
      <c r="VW14" s="10"/>
      <c r="VX14" s="10"/>
      <c r="VY14" s="10"/>
      <c r="VZ14" s="10"/>
      <c r="WA14" s="10"/>
      <c r="WB14" s="10"/>
      <c r="WC14" s="10"/>
      <c r="WD14" s="10"/>
      <c r="WE14" s="10"/>
      <c r="WF14" s="10"/>
      <c r="WG14" s="10"/>
      <c r="WH14" s="10"/>
      <c r="WI14" s="10"/>
      <c r="WJ14" s="10"/>
      <c r="WK14" s="10"/>
      <c r="WL14" s="10"/>
      <c r="WM14" s="10"/>
      <c r="WN14" s="10"/>
      <c r="WO14" s="10"/>
      <c r="WP14" s="10"/>
      <c r="WQ14" s="10"/>
      <c r="WR14" s="10"/>
      <c r="WS14" s="10"/>
      <c r="WT14" s="10"/>
      <c r="WU14" s="10"/>
      <c r="WV14" s="10"/>
      <c r="WW14" s="10"/>
      <c r="WX14" s="10"/>
      <c r="WY14" s="10"/>
      <c r="WZ14" s="10"/>
      <c r="XA14" s="10"/>
      <c r="XB14" s="10"/>
      <c r="XC14" s="10"/>
      <c r="XD14" s="10"/>
      <c r="XE14" s="10"/>
      <c r="XF14" s="10"/>
      <c r="XG14" s="10"/>
      <c r="XH14" s="10"/>
      <c r="XI14" s="10"/>
      <c r="XJ14" s="10"/>
      <c r="XK14" s="10"/>
      <c r="XL14" s="10"/>
      <c r="XM14" s="10"/>
      <c r="XN14" s="10"/>
      <c r="XO14" s="10"/>
      <c r="XP14" s="10"/>
      <c r="XQ14" s="10"/>
      <c r="XR14" s="10"/>
      <c r="XS14" s="10"/>
      <c r="XT14" s="10"/>
      <c r="XU14" s="10"/>
      <c r="XV14" s="10"/>
      <c r="XW14" s="10"/>
      <c r="XX14" s="10"/>
      <c r="XY14" s="10"/>
      <c r="XZ14" s="10"/>
      <c r="YA14" s="10"/>
      <c r="YB14" s="10"/>
      <c r="YC14" s="10"/>
      <c r="YD14" s="10"/>
      <c r="YE14" s="10"/>
      <c r="YF14" s="10"/>
      <c r="YG14" s="10"/>
      <c r="YH14" s="10"/>
      <c r="YI14" s="10"/>
      <c r="YJ14" s="10"/>
      <c r="YK14" s="10"/>
      <c r="YL14" s="10"/>
      <c r="YM14" s="10"/>
      <c r="YN14" s="10"/>
      <c r="YO14" s="10"/>
      <c r="YP14" s="10"/>
      <c r="YQ14" s="10"/>
      <c r="YR14" s="10"/>
      <c r="YS14" s="10"/>
      <c r="YT14" s="10"/>
      <c r="YU14" s="10"/>
      <c r="YV14" s="10"/>
      <c r="YW14" s="10"/>
      <c r="YX14" s="10"/>
      <c r="YY14" s="10"/>
      <c r="YZ14" s="10"/>
      <c r="ZA14" s="10"/>
      <c r="ZB14" s="10"/>
      <c r="ZC14" s="10"/>
      <c r="ZD14" s="10"/>
      <c r="ZE14" s="10"/>
      <c r="ZF14" s="10"/>
      <c r="ZG14" s="10"/>
      <c r="ZH14" s="10"/>
      <c r="ZI14" s="10"/>
      <c r="ZJ14" s="10"/>
      <c r="ZK14" s="10"/>
      <c r="ZL14" s="10"/>
      <c r="ZM14" s="10"/>
      <c r="ZN14" s="10"/>
      <c r="ZO14" s="10"/>
      <c r="ZP14" s="10"/>
      <c r="ZQ14" s="10"/>
      <c r="ZR14" s="10"/>
      <c r="ZS14" s="10"/>
      <c r="ZT14" s="10"/>
      <c r="ZU14" s="10"/>
      <c r="ZV14" s="10"/>
      <c r="ZW14" s="10"/>
      <c r="ZX14" s="10"/>
      <c r="ZY14" s="10"/>
      <c r="ZZ14" s="10"/>
      <c r="AAA14" s="10"/>
      <c r="AAB14" s="10"/>
      <c r="AAC14" s="10"/>
      <c r="AAD14" s="10"/>
      <c r="AAE14" s="10"/>
      <c r="AAF14" s="10"/>
      <c r="AAG14" s="10"/>
      <c r="AAH14" s="10"/>
      <c r="AAI14" s="10"/>
      <c r="AAJ14" s="10"/>
      <c r="AAK14" s="10"/>
      <c r="AAL14" s="10"/>
      <c r="AAM14" s="10"/>
      <c r="AAN14" s="10"/>
      <c r="AAO14" s="10"/>
      <c r="AAP14" s="10"/>
      <c r="AAQ14" s="10"/>
      <c r="AAR14" s="10"/>
      <c r="AAS14" s="10"/>
      <c r="AAT14" s="10"/>
      <c r="AAU14" s="10"/>
      <c r="AAV14" s="10"/>
      <c r="AAW14" s="10"/>
      <c r="AAX14" s="10"/>
      <c r="AAY14" s="10"/>
      <c r="AAZ14" s="10"/>
      <c r="ABA14" s="10"/>
      <c r="ABB14" s="10"/>
      <c r="ABC14" s="10"/>
      <c r="ABD14" s="10"/>
      <c r="ABE14" s="10"/>
      <c r="ABF14" s="10"/>
      <c r="ABG14" s="10"/>
      <c r="ABH14" s="10"/>
      <c r="ABI14" s="10"/>
      <c r="ABJ14" s="10"/>
      <c r="ABK14" s="10"/>
      <c r="ABL14" s="10"/>
    </row>
    <row r="15" spans="1:740" x14ac:dyDescent="0.3">
      <c r="B15" s="22">
        <f t="shared" si="0"/>
        <v>3</v>
      </c>
      <c r="C15" s="15"/>
      <c r="D15" s="23" t="s">
        <v>1310</v>
      </c>
      <c r="E15" s="24" t="s">
        <v>1306</v>
      </c>
      <c r="F15" s="24"/>
      <c r="G15" s="24"/>
      <c r="H15" s="24"/>
      <c r="I15" s="24"/>
      <c r="J15" s="24" t="s">
        <v>1302</v>
      </c>
      <c r="K15" s="24">
        <v>12</v>
      </c>
      <c r="L15" s="25">
        <v>44712</v>
      </c>
      <c r="M15" s="25">
        <f>EOMONTH(L15,K15)</f>
        <v>45077</v>
      </c>
      <c r="N15" s="26"/>
    </row>
    <row r="16" spans="1:740" s="21" customFormat="1" x14ac:dyDescent="0.3">
      <c r="A16" s="10"/>
      <c r="B16" s="13">
        <f t="shared" si="0"/>
        <v>3</v>
      </c>
      <c r="C16" s="16"/>
      <c r="D16" s="17" t="s">
        <v>1310</v>
      </c>
      <c r="E16" s="18" t="s">
        <v>1306</v>
      </c>
      <c r="F16" s="18"/>
      <c r="G16" s="19">
        <v>44522</v>
      </c>
      <c r="H16" s="19">
        <v>44533</v>
      </c>
      <c r="I16" s="19">
        <v>44536</v>
      </c>
      <c r="J16" s="18" t="s">
        <v>1302</v>
      </c>
      <c r="K16" s="18">
        <v>12</v>
      </c>
      <c r="L16" s="19">
        <v>44561</v>
      </c>
      <c r="M16" s="19">
        <f>EOMONTH(L16,K16)</f>
        <v>44926</v>
      </c>
      <c r="N16" s="2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c r="GL16" s="10"/>
      <c r="GM16" s="10"/>
      <c r="GN16" s="10"/>
      <c r="GO16" s="10"/>
      <c r="GP16" s="10"/>
      <c r="GQ16" s="10"/>
      <c r="GR16" s="10"/>
      <c r="GS16" s="10"/>
      <c r="GT16" s="10"/>
      <c r="GU16" s="10"/>
      <c r="GV16" s="10"/>
      <c r="GW16" s="10"/>
      <c r="GX16" s="10"/>
      <c r="GY16" s="10"/>
      <c r="GZ16" s="10"/>
      <c r="HA16" s="10"/>
      <c r="HB16" s="10"/>
      <c r="HC16" s="10"/>
      <c r="HD16" s="10"/>
      <c r="HE16" s="10"/>
      <c r="HF16" s="10"/>
      <c r="HG16" s="10"/>
      <c r="HH16" s="10"/>
      <c r="HI16" s="10"/>
      <c r="HJ16" s="10"/>
      <c r="HK16" s="10"/>
      <c r="HL16" s="10"/>
      <c r="HM16" s="10"/>
      <c r="HN16" s="10"/>
      <c r="HO16" s="10"/>
      <c r="HP16" s="10"/>
      <c r="HQ16" s="10"/>
      <c r="HR16" s="10"/>
      <c r="HS16" s="10"/>
      <c r="HT16" s="10"/>
      <c r="HU16" s="10"/>
      <c r="HV16" s="10"/>
      <c r="HW16" s="10"/>
      <c r="HX16" s="10"/>
      <c r="HY16" s="10"/>
      <c r="HZ16" s="10"/>
      <c r="IA16" s="10"/>
      <c r="IB16" s="10"/>
      <c r="IC16" s="10"/>
      <c r="ID16" s="10"/>
      <c r="IE16" s="10"/>
      <c r="IF16" s="10"/>
      <c r="IG16" s="10"/>
      <c r="IH16" s="10"/>
      <c r="II16" s="10"/>
      <c r="IJ16" s="10"/>
      <c r="IK16" s="10"/>
      <c r="IL16" s="10"/>
      <c r="IM16" s="10"/>
      <c r="IN16" s="10"/>
      <c r="IO16" s="10"/>
      <c r="IP16" s="10"/>
      <c r="IQ16" s="10"/>
      <c r="IR16" s="10"/>
      <c r="IS16" s="10"/>
      <c r="IT16" s="10"/>
      <c r="IU16" s="10"/>
      <c r="IV16" s="10"/>
      <c r="IW16" s="10"/>
      <c r="IX16" s="10"/>
      <c r="IY16" s="10"/>
      <c r="IZ16" s="10"/>
      <c r="JA16" s="10"/>
      <c r="JB16" s="10"/>
      <c r="JC16" s="10"/>
      <c r="JD16" s="10"/>
      <c r="JE16" s="10"/>
      <c r="JF16" s="10"/>
      <c r="JG16" s="10"/>
      <c r="JH16" s="10"/>
      <c r="JI16" s="10"/>
      <c r="JJ16" s="10"/>
      <c r="JK16" s="10"/>
      <c r="JL16" s="10"/>
      <c r="JM16" s="10"/>
      <c r="JN16" s="10"/>
      <c r="JO16" s="10"/>
      <c r="JP16" s="10"/>
      <c r="JQ16" s="10"/>
      <c r="JR16" s="10"/>
      <c r="JS16" s="10"/>
      <c r="JT16" s="10"/>
      <c r="JU16" s="10"/>
      <c r="JV16" s="10"/>
      <c r="JW16" s="10"/>
      <c r="JX16" s="10"/>
      <c r="JY16" s="10"/>
      <c r="JZ16" s="10"/>
      <c r="KA16" s="10"/>
      <c r="KB16" s="10"/>
      <c r="KC16" s="10"/>
      <c r="KD16" s="10"/>
      <c r="KE16" s="10"/>
      <c r="KF16" s="10"/>
      <c r="KG16" s="10"/>
      <c r="KH16" s="10"/>
      <c r="KI16" s="10"/>
      <c r="KJ16" s="10"/>
      <c r="KK16" s="10"/>
      <c r="KL16" s="10"/>
      <c r="KM16" s="10"/>
      <c r="KN16" s="10"/>
      <c r="KO16" s="10"/>
      <c r="KP16" s="10"/>
      <c r="KQ16" s="10"/>
      <c r="KR16" s="10"/>
      <c r="KS16" s="10"/>
      <c r="KT16" s="10"/>
      <c r="KU16" s="10"/>
      <c r="KV16" s="10"/>
      <c r="KW16" s="10"/>
      <c r="KX16" s="10"/>
      <c r="KY16" s="10"/>
      <c r="KZ16" s="10"/>
      <c r="LA16" s="10"/>
      <c r="LB16" s="10"/>
      <c r="LC16" s="10"/>
      <c r="LD16" s="10"/>
      <c r="LE16" s="10"/>
      <c r="LF16" s="10"/>
      <c r="LG16" s="10"/>
      <c r="LH16" s="10"/>
      <c r="LI16" s="10"/>
      <c r="LJ16" s="10"/>
      <c r="LK16" s="10"/>
      <c r="LL16" s="10"/>
      <c r="LM16" s="10"/>
      <c r="LN16" s="10"/>
      <c r="LO16" s="10"/>
      <c r="LP16" s="10"/>
      <c r="LQ16" s="10"/>
      <c r="LR16" s="10"/>
      <c r="LS16" s="10"/>
      <c r="LT16" s="10"/>
      <c r="LU16" s="10"/>
      <c r="LV16" s="10"/>
      <c r="LW16" s="10"/>
      <c r="LX16" s="10"/>
      <c r="LY16" s="10"/>
      <c r="LZ16" s="10"/>
      <c r="MA16" s="10"/>
      <c r="MB16" s="10"/>
      <c r="MC16" s="10"/>
      <c r="MD16" s="10"/>
      <c r="ME16" s="10"/>
      <c r="MF16" s="10"/>
      <c r="MG16" s="10"/>
      <c r="MH16" s="10"/>
      <c r="MI16" s="10"/>
      <c r="MJ16" s="10"/>
      <c r="MK16" s="10"/>
      <c r="ML16" s="10"/>
      <c r="MM16" s="10"/>
      <c r="MN16" s="10"/>
      <c r="MO16" s="10"/>
      <c r="MP16" s="10"/>
      <c r="MQ16" s="10"/>
      <c r="MR16" s="10"/>
      <c r="MS16" s="10"/>
      <c r="MT16" s="10"/>
      <c r="MU16" s="10"/>
      <c r="MV16" s="10"/>
      <c r="MW16" s="10"/>
      <c r="MX16" s="10"/>
      <c r="MY16" s="10"/>
      <c r="MZ16" s="10"/>
      <c r="NA16" s="10"/>
      <c r="NB16" s="10"/>
      <c r="NC16" s="10"/>
      <c r="ND16" s="10"/>
      <c r="NE16" s="10"/>
      <c r="NF16" s="10"/>
      <c r="NG16" s="10"/>
      <c r="NH16" s="10"/>
      <c r="NI16" s="10"/>
      <c r="NJ16" s="10"/>
      <c r="NK16" s="10"/>
      <c r="NL16" s="10"/>
      <c r="NM16" s="10"/>
      <c r="NN16" s="10"/>
      <c r="NO16" s="10"/>
      <c r="NP16" s="10"/>
      <c r="NQ16" s="10"/>
      <c r="NR16" s="10"/>
      <c r="NS16" s="10"/>
      <c r="NT16" s="10"/>
      <c r="NU16" s="10"/>
      <c r="NV16" s="10"/>
      <c r="NW16" s="10"/>
      <c r="NX16" s="10"/>
      <c r="NY16" s="10"/>
      <c r="NZ16" s="10"/>
      <c r="OA16" s="10"/>
      <c r="OB16" s="10"/>
      <c r="OC16" s="10"/>
      <c r="OD16" s="10"/>
      <c r="OE16" s="10"/>
      <c r="OF16" s="10"/>
      <c r="OG16" s="10"/>
      <c r="OH16" s="10"/>
      <c r="OI16" s="10"/>
      <c r="OJ16" s="10"/>
      <c r="OK16" s="10"/>
      <c r="OL16" s="10"/>
      <c r="OM16" s="10"/>
      <c r="ON16" s="10"/>
      <c r="OO16" s="10"/>
      <c r="OP16" s="10"/>
      <c r="OQ16" s="10"/>
      <c r="OR16" s="10"/>
      <c r="OS16" s="10"/>
      <c r="OT16" s="10"/>
      <c r="OU16" s="10"/>
      <c r="OV16" s="10"/>
      <c r="OW16" s="10"/>
      <c r="OX16" s="10"/>
      <c r="OY16" s="10"/>
      <c r="OZ16" s="10"/>
      <c r="PA16" s="10"/>
      <c r="PB16" s="10"/>
      <c r="PC16" s="10"/>
      <c r="PD16" s="10"/>
      <c r="PE16" s="10"/>
      <c r="PF16" s="10"/>
      <c r="PG16" s="10"/>
      <c r="PH16" s="10"/>
      <c r="PI16" s="10"/>
      <c r="PJ16" s="10"/>
      <c r="PK16" s="10"/>
      <c r="PL16" s="10"/>
      <c r="PM16" s="10"/>
      <c r="PN16" s="10"/>
      <c r="PO16" s="10"/>
      <c r="PP16" s="10"/>
      <c r="PQ16" s="10"/>
      <c r="PR16" s="10"/>
      <c r="PS16" s="10"/>
      <c r="PT16" s="10"/>
      <c r="PU16" s="10"/>
      <c r="PV16" s="10"/>
      <c r="PW16" s="10"/>
      <c r="PX16" s="10"/>
      <c r="PY16" s="10"/>
      <c r="PZ16" s="10"/>
      <c r="QA16" s="10"/>
      <c r="QB16" s="10"/>
      <c r="QC16" s="10"/>
      <c r="QD16" s="10"/>
      <c r="QE16" s="10"/>
      <c r="QF16" s="10"/>
      <c r="QG16" s="10"/>
      <c r="QH16" s="10"/>
      <c r="QI16" s="10"/>
      <c r="QJ16" s="10"/>
      <c r="QK16" s="10"/>
      <c r="QL16" s="10"/>
      <c r="QM16" s="10"/>
      <c r="QN16" s="10"/>
      <c r="QO16" s="10"/>
      <c r="QP16" s="10"/>
      <c r="QQ16" s="10"/>
      <c r="QR16" s="10"/>
      <c r="QS16" s="10"/>
      <c r="QT16" s="10"/>
      <c r="QU16" s="10"/>
      <c r="QV16" s="10"/>
      <c r="QW16" s="10"/>
      <c r="QX16" s="10"/>
      <c r="QY16" s="10"/>
      <c r="QZ16" s="10"/>
      <c r="RA16" s="10"/>
      <c r="RB16" s="10"/>
      <c r="RC16" s="10"/>
      <c r="RD16" s="10"/>
      <c r="RE16" s="10"/>
      <c r="RF16" s="10"/>
      <c r="RG16" s="10"/>
      <c r="RH16" s="10"/>
      <c r="RI16" s="10"/>
      <c r="RJ16" s="10"/>
      <c r="RK16" s="10"/>
      <c r="RL16" s="10"/>
      <c r="RM16" s="10"/>
      <c r="RN16" s="10"/>
      <c r="RO16" s="10"/>
      <c r="RP16" s="10"/>
      <c r="RQ16" s="10"/>
      <c r="RR16" s="10"/>
      <c r="RS16" s="10"/>
      <c r="RT16" s="10"/>
      <c r="RU16" s="10"/>
      <c r="RV16" s="10"/>
      <c r="RW16" s="10"/>
      <c r="RX16" s="10"/>
      <c r="RY16" s="10"/>
      <c r="RZ16" s="10"/>
      <c r="SA16" s="10"/>
      <c r="SB16" s="10"/>
      <c r="SC16" s="10"/>
      <c r="SD16" s="10"/>
      <c r="SE16" s="10"/>
      <c r="SF16" s="10"/>
      <c r="SG16" s="10"/>
      <c r="SH16" s="10"/>
      <c r="SI16" s="10"/>
      <c r="SJ16" s="10"/>
      <c r="SK16" s="10"/>
      <c r="SL16" s="10"/>
      <c r="SM16" s="10"/>
      <c r="SN16" s="10"/>
      <c r="SO16" s="10"/>
      <c r="SP16" s="10"/>
      <c r="SQ16" s="10"/>
      <c r="SR16" s="10"/>
      <c r="SS16" s="10"/>
      <c r="ST16" s="10"/>
      <c r="SU16" s="10"/>
      <c r="SV16" s="10"/>
      <c r="SW16" s="10"/>
      <c r="SX16" s="10"/>
      <c r="SY16" s="10"/>
      <c r="SZ16" s="10"/>
      <c r="TA16" s="10"/>
      <c r="TB16" s="10"/>
      <c r="TC16" s="10"/>
      <c r="TD16" s="10"/>
      <c r="TE16" s="10"/>
      <c r="TF16" s="10"/>
      <c r="TG16" s="10"/>
      <c r="TH16" s="10"/>
      <c r="TI16" s="10"/>
      <c r="TJ16" s="10"/>
      <c r="TK16" s="10"/>
      <c r="TL16" s="10"/>
      <c r="TM16" s="10"/>
      <c r="TN16" s="10"/>
      <c r="TO16" s="10"/>
      <c r="TP16" s="10"/>
      <c r="TQ16" s="10"/>
      <c r="TR16" s="10"/>
      <c r="TS16" s="10"/>
      <c r="TT16" s="10"/>
      <c r="TU16" s="10"/>
      <c r="TV16" s="10"/>
      <c r="TW16" s="10"/>
      <c r="TX16" s="10"/>
      <c r="TY16" s="10"/>
      <c r="TZ16" s="10"/>
      <c r="UA16" s="10"/>
      <c r="UB16" s="10"/>
      <c r="UC16" s="10"/>
      <c r="UD16" s="10"/>
      <c r="UE16" s="10"/>
      <c r="UF16" s="10"/>
      <c r="UG16" s="10"/>
      <c r="UH16" s="10"/>
      <c r="UI16" s="10"/>
      <c r="UJ16" s="10"/>
      <c r="UK16" s="10"/>
      <c r="UL16" s="10"/>
      <c r="UM16" s="10"/>
      <c r="UN16" s="10"/>
      <c r="UO16" s="10"/>
      <c r="UP16" s="10"/>
      <c r="UQ16" s="10"/>
      <c r="UR16" s="10"/>
      <c r="US16" s="10"/>
      <c r="UT16" s="10"/>
      <c r="UU16" s="10"/>
      <c r="UV16" s="10"/>
      <c r="UW16" s="10"/>
      <c r="UX16" s="10"/>
      <c r="UY16" s="10"/>
      <c r="UZ16" s="10"/>
      <c r="VA16" s="10"/>
      <c r="VB16" s="10"/>
      <c r="VC16" s="10"/>
      <c r="VD16" s="10"/>
      <c r="VE16" s="10"/>
      <c r="VF16" s="10"/>
      <c r="VG16" s="10"/>
      <c r="VH16" s="10"/>
      <c r="VI16" s="10"/>
      <c r="VJ16" s="10"/>
      <c r="VK16" s="10"/>
      <c r="VL16" s="10"/>
      <c r="VM16" s="10"/>
      <c r="VN16" s="10"/>
      <c r="VO16" s="10"/>
      <c r="VP16" s="10"/>
      <c r="VQ16" s="10"/>
      <c r="VR16" s="10"/>
      <c r="VS16" s="10"/>
      <c r="VT16" s="10"/>
      <c r="VU16" s="10"/>
      <c r="VV16" s="10"/>
      <c r="VW16" s="10"/>
      <c r="VX16" s="10"/>
      <c r="VY16" s="10"/>
      <c r="VZ16" s="10"/>
      <c r="WA16" s="10"/>
      <c r="WB16" s="10"/>
      <c r="WC16" s="10"/>
      <c r="WD16" s="10"/>
      <c r="WE16" s="10"/>
      <c r="WF16" s="10"/>
      <c r="WG16" s="10"/>
      <c r="WH16" s="10"/>
      <c r="WI16" s="10"/>
      <c r="WJ16" s="10"/>
      <c r="WK16" s="10"/>
      <c r="WL16" s="10"/>
      <c r="WM16" s="10"/>
      <c r="WN16" s="10"/>
      <c r="WO16" s="10"/>
      <c r="WP16" s="10"/>
      <c r="WQ16" s="10"/>
      <c r="WR16" s="10"/>
      <c r="WS16" s="10"/>
      <c r="WT16" s="10"/>
      <c r="WU16" s="10"/>
      <c r="WV16" s="10"/>
      <c r="WW16" s="10"/>
      <c r="WX16" s="10"/>
      <c r="WY16" s="10"/>
      <c r="WZ16" s="10"/>
      <c r="XA16" s="10"/>
      <c r="XB16" s="10"/>
      <c r="XC16" s="10"/>
      <c r="XD16" s="10"/>
      <c r="XE16" s="10"/>
      <c r="XF16" s="10"/>
      <c r="XG16" s="10"/>
      <c r="XH16" s="10"/>
      <c r="XI16" s="10"/>
      <c r="XJ16" s="10"/>
      <c r="XK16" s="10"/>
      <c r="XL16" s="10"/>
      <c r="XM16" s="10"/>
      <c r="XN16" s="10"/>
      <c r="XO16" s="10"/>
      <c r="XP16" s="10"/>
      <c r="XQ16" s="10"/>
      <c r="XR16" s="10"/>
      <c r="XS16" s="10"/>
      <c r="XT16" s="10"/>
      <c r="XU16" s="10"/>
      <c r="XV16" s="10"/>
      <c r="XW16" s="10"/>
      <c r="XX16" s="10"/>
      <c r="XY16" s="10"/>
      <c r="XZ16" s="10"/>
      <c r="YA16" s="10"/>
      <c r="YB16" s="10"/>
      <c r="YC16" s="10"/>
      <c r="YD16" s="10"/>
      <c r="YE16" s="10"/>
      <c r="YF16" s="10"/>
      <c r="YG16" s="10"/>
      <c r="YH16" s="10"/>
      <c r="YI16" s="10"/>
      <c r="YJ16" s="10"/>
      <c r="YK16" s="10"/>
      <c r="YL16" s="10"/>
      <c r="YM16" s="10"/>
      <c r="YN16" s="10"/>
      <c r="YO16" s="10"/>
      <c r="YP16" s="10"/>
      <c r="YQ16" s="10"/>
      <c r="YR16" s="10"/>
      <c r="YS16" s="10"/>
      <c r="YT16" s="10"/>
      <c r="YU16" s="10"/>
      <c r="YV16" s="10"/>
      <c r="YW16" s="10"/>
      <c r="YX16" s="10"/>
      <c r="YY16" s="10"/>
      <c r="YZ16" s="10"/>
      <c r="ZA16" s="10"/>
      <c r="ZB16" s="10"/>
      <c r="ZC16" s="10"/>
      <c r="ZD16" s="10"/>
      <c r="ZE16" s="10"/>
      <c r="ZF16" s="10"/>
      <c r="ZG16" s="10"/>
      <c r="ZH16" s="10"/>
      <c r="ZI16" s="10"/>
      <c r="ZJ16" s="10"/>
      <c r="ZK16" s="10"/>
      <c r="ZL16" s="10"/>
      <c r="ZM16" s="10"/>
      <c r="ZN16" s="10"/>
      <c r="ZO16" s="10"/>
      <c r="ZP16" s="10"/>
      <c r="ZQ16" s="10"/>
      <c r="ZR16" s="10"/>
      <c r="ZS16" s="10"/>
      <c r="ZT16" s="10"/>
      <c r="ZU16" s="10"/>
      <c r="ZV16" s="10"/>
      <c r="ZW16" s="10"/>
      <c r="ZX16" s="10"/>
      <c r="ZY16" s="10"/>
      <c r="ZZ16" s="10"/>
      <c r="AAA16" s="10"/>
      <c r="AAB16" s="10"/>
      <c r="AAC16" s="10"/>
      <c r="AAD16" s="10"/>
      <c r="AAE16" s="10"/>
      <c r="AAF16" s="10"/>
      <c r="AAG16" s="10"/>
      <c r="AAH16" s="10"/>
      <c r="AAI16" s="10"/>
      <c r="AAJ16" s="10"/>
      <c r="AAK16" s="10"/>
      <c r="AAL16" s="10"/>
      <c r="AAM16" s="10"/>
      <c r="AAN16" s="10"/>
      <c r="AAO16" s="10"/>
      <c r="AAP16" s="10"/>
      <c r="AAQ16" s="10"/>
      <c r="AAR16" s="10"/>
      <c r="AAS16" s="10"/>
      <c r="AAT16" s="10"/>
      <c r="AAU16" s="10"/>
      <c r="AAV16" s="10"/>
      <c r="AAW16" s="10"/>
      <c r="AAX16" s="10"/>
      <c r="AAY16" s="10"/>
      <c r="AAZ16" s="10"/>
      <c r="ABA16" s="10"/>
      <c r="ABB16" s="10"/>
      <c r="ABC16" s="10"/>
      <c r="ABD16" s="10"/>
      <c r="ABE16" s="10"/>
      <c r="ABF16" s="10"/>
      <c r="ABG16" s="10"/>
      <c r="ABH16" s="10"/>
      <c r="ABI16" s="10"/>
      <c r="ABJ16" s="10"/>
      <c r="ABK16" s="10"/>
      <c r="ABL16" s="10"/>
    </row>
    <row r="17" spans="1:740" x14ac:dyDescent="0.3">
      <c r="B17" s="22">
        <f t="shared" si="0"/>
        <v>3</v>
      </c>
      <c r="C17" s="15"/>
      <c r="D17" s="23" t="s">
        <v>1310</v>
      </c>
      <c r="E17" s="24" t="s">
        <v>1306</v>
      </c>
      <c r="F17" s="24"/>
      <c r="G17" s="25">
        <v>44605</v>
      </c>
      <c r="H17" s="24"/>
      <c r="I17" s="24"/>
      <c r="J17" s="24" t="s">
        <v>1302</v>
      </c>
      <c r="K17" s="24">
        <v>12</v>
      </c>
      <c r="L17" s="25">
        <v>44653</v>
      </c>
      <c r="M17" s="25">
        <f>EOMONTH(L17,K17)</f>
        <v>45046</v>
      </c>
      <c r="N17" s="26"/>
    </row>
    <row r="18" spans="1:740" s="21" customFormat="1" x14ac:dyDescent="0.3">
      <c r="A18" s="10"/>
      <c r="B18" s="13">
        <f t="shared" si="0"/>
        <v>4</v>
      </c>
      <c r="C18" s="16"/>
      <c r="D18" s="17"/>
      <c r="E18" s="18"/>
      <c r="F18" s="18"/>
      <c r="G18" s="18"/>
      <c r="H18" s="18"/>
      <c r="I18" s="18"/>
      <c r="J18" s="18" t="s">
        <v>1303</v>
      </c>
      <c r="K18" s="18"/>
      <c r="L18" s="18"/>
      <c r="M18" s="18"/>
      <c r="N18" s="2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10"/>
      <c r="GC18" s="10"/>
      <c r="GD18" s="10"/>
      <c r="GE18" s="10"/>
      <c r="GF18" s="10"/>
      <c r="GG18" s="10"/>
      <c r="GH18" s="10"/>
      <c r="GI18" s="10"/>
      <c r="GJ18" s="10"/>
      <c r="GK18" s="10"/>
      <c r="GL18" s="10"/>
      <c r="GM18" s="10"/>
      <c r="GN18" s="10"/>
      <c r="GO18" s="10"/>
      <c r="GP18" s="10"/>
      <c r="GQ18" s="10"/>
      <c r="GR18" s="10"/>
      <c r="GS18" s="10"/>
      <c r="GT18" s="10"/>
      <c r="GU18" s="10"/>
      <c r="GV18" s="10"/>
      <c r="GW18" s="10"/>
      <c r="GX18" s="10"/>
      <c r="GY18" s="10"/>
      <c r="GZ18" s="10"/>
      <c r="HA18" s="10"/>
      <c r="HB18" s="10"/>
      <c r="HC18" s="10"/>
      <c r="HD18" s="10"/>
      <c r="HE18" s="10"/>
      <c r="HF18" s="10"/>
      <c r="HG18" s="10"/>
      <c r="HH18" s="10"/>
      <c r="HI18" s="10"/>
      <c r="HJ18" s="10"/>
      <c r="HK18" s="10"/>
      <c r="HL18" s="10"/>
      <c r="HM18" s="10"/>
      <c r="HN18" s="10"/>
      <c r="HO18" s="10"/>
      <c r="HP18" s="10"/>
      <c r="HQ18" s="10"/>
      <c r="HR18" s="10"/>
      <c r="HS18" s="10"/>
      <c r="HT18" s="10"/>
      <c r="HU18" s="10"/>
      <c r="HV18" s="10"/>
      <c r="HW18" s="10"/>
      <c r="HX18" s="10"/>
      <c r="HY18" s="10"/>
      <c r="HZ18" s="10"/>
      <c r="IA18" s="10"/>
      <c r="IB18" s="10"/>
      <c r="IC18" s="10"/>
      <c r="ID18" s="10"/>
      <c r="IE18" s="10"/>
      <c r="IF18" s="10"/>
      <c r="IG18" s="10"/>
      <c r="IH18" s="10"/>
      <c r="II18" s="10"/>
      <c r="IJ18" s="10"/>
      <c r="IK18" s="10"/>
      <c r="IL18" s="10"/>
      <c r="IM18" s="10"/>
      <c r="IN18" s="10"/>
      <c r="IO18" s="10"/>
      <c r="IP18" s="10"/>
      <c r="IQ18" s="10"/>
      <c r="IR18" s="10"/>
      <c r="IS18" s="10"/>
      <c r="IT18" s="10"/>
      <c r="IU18" s="10"/>
      <c r="IV18" s="10"/>
      <c r="IW18" s="10"/>
      <c r="IX18" s="10"/>
      <c r="IY18" s="10"/>
      <c r="IZ18" s="10"/>
      <c r="JA18" s="10"/>
      <c r="JB18" s="10"/>
      <c r="JC18" s="10"/>
      <c r="JD18" s="10"/>
      <c r="JE18" s="10"/>
      <c r="JF18" s="10"/>
      <c r="JG18" s="10"/>
      <c r="JH18" s="10"/>
      <c r="JI18" s="10"/>
      <c r="JJ18" s="10"/>
      <c r="JK18" s="10"/>
      <c r="JL18" s="10"/>
      <c r="JM18" s="10"/>
      <c r="JN18" s="10"/>
      <c r="JO18" s="10"/>
      <c r="JP18" s="10"/>
      <c r="JQ18" s="10"/>
      <c r="JR18" s="10"/>
      <c r="JS18" s="10"/>
      <c r="JT18" s="10"/>
      <c r="JU18" s="10"/>
      <c r="JV18" s="10"/>
      <c r="JW18" s="10"/>
      <c r="JX18" s="10"/>
      <c r="JY18" s="10"/>
      <c r="JZ18" s="10"/>
      <c r="KA18" s="10"/>
      <c r="KB18" s="10"/>
      <c r="KC18" s="10"/>
      <c r="KD18" s="10"/>
      <c r="KE18" s="10"/>
      <c r="KF18" s="10"/>
      <c r="KG18" s="10"/>
      <c r="KH18" s="10"/>
      <c r="KI18" s="10"/>
      <c r="KJ18" s="10"/>
      <c r="KK18" s="10"/>
      <c r="KL18" s="10"/>
      <c r="KM18" s="10"/>
      <c r="KN18" s="10"/>
      <c r="KO18" s="10"/>
      <c r="KP18" s="10"/>
      <c r="KQ18" s="10"/>
      <c r="KR18" s="10"/>
      <c r="KS18" s="10"/>
      <c r="KT18" s="10"/>
      <c r="KU18" s="10"/>
      <c r="KV18" s="10"/>
      <c r="KW18" s="10"/>
      <c r="KX18" s="10"/>
      <c r="KY18" s="10"/>
      <c r="KZ18" s="10"/>
      <c r="LA18" s="10"/>
      <c r="LB18" s="10"/>
      <c r="LC18" s="10"/>
      <c r="LD18" s="10"/>
      <c r="LE18" s="10"/>
      <c r="LF18" s="10"/>
      <c r="LG18" s="10"/>
      <c r="LH18" s="10"/>
      <c r="LI18" s="10"/>
      <c r="LJ18" s="10"/>
      <c r="LK18" s="10"/>
      <c r="LL18" s="10"/>
      <c r="LM18" s="10"/>
      <c r="LN18" s="10"/>
      <c r="LO18" s="10"/>
      <c r="LP18" s="10"/>
      <c r="LQ18" s="10"/>
      <c r="LR18" s="10"/>
      <c r="LS18" s="10"/>
      <c r="LT18" s="10"/>
      <c r="LU18" s="10"/>
      <c r="LV18" s="10"/>
      <c r="LW18" s="10"/>
      <c r="LX18" s="10"/>
      <c r="LY18" s="10"/>
      <c r="LZ18" s="10"/>
      <c r="MA18" s="10"/>
      <c r="MB18" s="10"/>
      <c r="MC18" s="10"/>
      <c r="MD18" s="10"/>
      <c r="ME18" s="10"/>
      <c r="MF18" s="10"/>
      <c r="MG18" s="10"/>
      <c r="MH18" s="10"/>
      <c r="MI18" s="10"/>
      <c r="MJ18" s="10"/>
      <c r="MK18" s="10"/>
      <c r="ML18" s="10"/>
      <c r="MM18" s="10"/>
      <c r="MN18" s="10"/>
      <c r="MO18" s="10"/>
      <c r="MP18" s="10"/>
      <c r="MQ18" s="10"/>
      <c r="MR18" s="10"/>
      <c r="MS18" s="10"/>
      <c r="MT18" s="10"/>
      <c r="MU18" s="10"/>
      <c r="MV18" s="10"/>
      <c r="MW18" s="10"/>
      <c r="MX18" s="10"/>
      <c r="MY18" s="10"/>
      <c r="MZ18" s="10"/>
      <c r="NA18" s="10"/>
      <c r="NB18" s="10"/>
      <c r="NC18" s="10"/>
      <c r="ND18" s="10"/>
      <c r="NE18" s="10"/>
      <c r="NF18" s="10"/>
      <c r="NG18" s="10"/>
      <c r="NH18" s="10"/>
      <c r="NI18" s="10"/>
      <c r="NJ18" s="10"/>
      <c r="NK18" s="10"/>
      <c r="NL18" s="10"/>
      <c r="NM18" s="10"/>
      <c r="NN18" s="10"/>
      <c r="NO18" s="10"/>
      <c r="NP18" s="10"/>
      <c r="NQ18" s="10"/>
      <c r="NR18" s="10"/>
      <c r="NS18" s="10"/>
      <c r="NT18" s="10"/>
      <c r="NU18" s="10"/>
      <c r="NV18" s="10"/>
      <c r="NW18" s="10"/>
      <c r="NX18" s="10"/>
      <c r="NY18" s="10"/>
      <c r="NZ18" s="10"/>
      <c r="OA18" s="10"/>
      <c r="OB18" s="10"/>
      <c r="OC18" s="10"/>
      <c r="OD18" s="10"/>
      <c r="OE18" s="10"/>
      <c r="OF18" s="10"/>
      <c r="OG18" s="10"/>
      <c r="OH18" s="10"/>
      <c r="OI18" s="10"/>
      <c r="OJ18" s="10"/>
      <c r="OK18" s="10"/>
      <c r="OL18" s="10"/>
      <c r="OM18" s="10"/>
      <c r="ON18" s="10"/>
      <c r="OO18" s="10"/>
      <c r="OP18" s="10"/>
      <c r="OQ18" s="10"/>
      <c r="OR18" s="10"/>
      <c r="OS18" s="10"/>
      <c r="OT18" s="10"/>
      <c r="OU18" s="10"/>
      <c r="OV18" s="10"/>
      <c r="OW18" s="10"/>
      <c r="OX18" s="10"/>
      <c r="OY18" s="10"/>
      <c r="OZ18" s="10"/>
      <c r="PA18" s="10"/>
      <c r="PB18" s="10"/>
      <c r="PC18" s="10"/>
      <c r="PD18" s="10"/>
      <c r="PE18" s="10"/>
      <c r="PF18" s="10"/>
      <c r="PG18" s="10"/>
      <c r="PH18" s="10"/>
      <c r="PI18" s="10"/>
      <c r="PJ18" s="10"/>
      <c r="PK18" s="10"/>
      <c r="PL18" s="10"/>
      <c r="PM18" s="10"/>
      <c r="PN18" s="10"/>
      <c r="PO18" s="10"/>
      <c r="PP18" s="10"/>
      <c r="PQ18" s="10"/>
      <c r="PR18" s="10"/>
      <c r="PS18" s="10"/>
      <c r="PT18" s="10"/>
      <c r="PU18" s="10"/>
      <c r="PV18" s="10"/>
      <c r="PW18" s="10"/>
      <c r="PX18" s="10"/>
      <c r="PY18" s="10"/>
      <c r="PZ18" s="10"/>
      <c r="QA18" s="10"/>
      <c r="QB18" s="10"/>
      <c r="QC18" s="10"/>
      <c r="QD18" s="10"/>
      <c r="QE18" s="10"/>
      <c r="QF18" s="10"/>
      <c r="QG18" s="10"/>
      <c r="QH18" s="10"/>
      <c r="QI18" s="10"/>
      <c r="QJ18" s="10"/>
      <c r="QK18" s="10"/>
      <c r="QL18" s="10"/>
      <c r="QM18" s="10"/>
      <c r="QN18" s="10"/>
      <c r="QO18" s="10"/>
      <c r="QP18" s="10"/>
      <c r="QQ18" s="10"/>
      <c r="QR18" s="10"/>
      <c r="QS18" s="10"/>
      <c r="QT18" s="10"/>
      <c r="QU18" s="10"/>
      <c r="QV18" s="10"/>
      <c r="QW18" s="10"/>
      <c r="QX18" s="10"/>
      <c r="QY18" s="10"/>
      <c r="QZ18" s="10"/>
      <c r="RA18" s="10"/>
      <c r="RB18" s="10"/>
      <c r="RC18" s="10"/>
      <c r="RD18" s="10"/>
      <c r="RE18" s="10"/>
      <c r="RF18" s="10"/>
      <c r="RG18" s="10"/>
      <c r="RH18" s="10"/>
      <c r="RI18" s="10"/>
      <c r="RJ18" s="10"/>
      <c r="RK18" s="10"/>
      <c r="RL18" s="10"/>
      <c r="RM18" s="10"/>
      <c r="RN18" s="10"/>
      <c r="RO18" s="10"/>
      <c r="RP18" s="10"/>
      <c r="RQ18" s="10"/>
      <c r="RR18" s="10"/>
      <c r="RS18" s="10"/>
      <c r="RT18" s="10"/>
      <c r="RU18" s="10"/>
      <c r="RV18" s="10"/>
      <c r="RW18" s="10"/>
      <c r="RX18" s="10"/>
      <c r="RY18" s="10"/>
      <c r="RZ18" s="10"/>
      <c r="SA18" s="10"/>
      <c r="SB18" s="10"/>
      <c r="SC18" s="10"/>
      <c r="SD18" s="10"/>
      <c r="SE18" s="10"/>
      <c r="SF18" s="10"/>
      <c r="SG18" s="10"/>
      <c r="SH18" s="10"/>
      <c r="SI18" s="10"/>
      <c r="SJ18" s="10"/>
      <c r="SK18" s="10"/>
      <c r="SL18" s="10"/>
      <c r="SM18" s="10"/>
      <c r="SN18" s="10"/>
      <c r="SO18" s="10"/>
      <c r="SP18" s="10"/>
      <c r="SQ18" s="10"/>
      <c r="SR18" s="10"/>
      <c r="SS18" s="10"/>
      <c r="ST18" s="10"/>
      <c r="SU18" s="10"/>
      <c r="SV18" s="10"/>
      <c r="SW18" s="10"/>
      <c r="SX18" s="10"/>
      <c r="SY18" s="10"/>
      <c r="SZ18" s="10"/>
      <c r="TA18" s="10"/>
      <c r="TB18" s="10"/>
      <c r="TC18" s="10"/>
      <c r="TD18" s="10"/>
      <c r="TE18" s="10"/>
      <c r="TF18" s="10"/>
      <c r="TG18" s="10"/>
      <c r="TH18" s="10"/>
      <c r="TI18" s="10"/>
      <c r="TJ18" s="10"/>
      <c r="TK18" s="10"/>
      <c r="TL18" s="10"/>
      <c r="TM18" s="10"/>
      <c r="TN18" s="10"/>
      <c r="TO18" s="10"/>
      <c r="TP18" s="10"/>
      <c r="TQ18" s="10"/>
      <c r="TR18" s="10"/>
      <c r="TS18" s="10"/>
      <c r="TT18" s="10"/>
      <c r="TU18" s="10"/>
      <c r="TV18" s="10"/>
      <c r="TW18" s="10"/>
      <c r="TX18" s="10"/>
      <c r="TY18" s="10"/>
      <c r="TZ18" s="10"/>
      <c r="UA18" s="10"/>
      <c r="UB18" s="10"/>
      <c r="UC18" s="10"/>
      <c r="UD18" s="10"/>
      <c r="UE18" s="10"/>
      <c r="UF18" s="10"/>
      <c r="UG18" s="10"/>
      <c r="UH18" s="10"/>
      <c r="UI18" s="10"/>
      <c r="UJ18" s="10"/>
      <c r="UK18" s="10"/>
      <c r="UL18" s="10"/>
      <c r="UM18" s="10"/>
      <c r="UN18" s="10"/>
      <c r="UO18" s="10"/>
      <c r="UP18" s="10"/>
      <c r="UQ18" s="10"/>
      <c r="UR18" s="10"/>
      <c r="US18" s="10"/>
      <c r="UT18" s="10"/>
      <c r="UU18" s="10"/>
      <c r="UV18" s="10"/>
      <c r="UW18" s="10"/>
      <c r="UX18" s="10"/>
      <c r="UY18" s="10"/>
      <c r="UZ18" s="10"/>
      <c r="VA18" s="10"/>
      <c r="VB18" s="10"/>
      <c r="VC18" s="10"/>
      <c r="VD18" s="10"/>
      <c r="VE18" s="10"/>
      <c r="VF18" s="10"/>
      <c r="VG18" s="10"/>
      <c r="VH18" s="10"/>
      <c r="VI18" s="10"/>
      <c r="VJ18" s="10"/>
      <c r="VK18" s="10"/>
      <c r="VL18" s="10"/>
      <c r="VM18" s="10"/>
      <c r="VN18" s="10"/>
      <c r="VO18" s="10"/>
      <c r="VP18" s="10"/>
      <c r="VQ18" s="10"/>
      <c r="VR18" s="10"/>
      <c r="VS18" s="10"/>
      <c r="VT18" s="10"/>
      <c r="VU18" s="10"/>
      <c r="VV18" s="10"/>
      <c r="VW18" s="10"/>
      <c r="VX18" s="10"/>
      <c r="VY18" s="10"/>
      <c r="VZ18" s="10"/>
      <c r="WA18" s="10"/>
      <c r="WB18" s="10"/>
      <c r="WC18" s="10"/>
      <c r="WD18" s="10"/>
      <c r="WE18" s="10"/>
      <c r="WF18" s="10"/>
      <c r="WG18" s="10"/>
      <c r="WH18" s="10"/>
      <c r="WI18" s="10"/>
      <c r="WJ18" s="10"/>
      <c r="WK18" s="10"/>
      <c r="WL18" s="10"/>
      <c r="WM18" s="10"/>
      <c r="WN18" s="10"/>
      <c r="WO18" s="10"/>
      <c r="WP18" s="10"/>
      <c r="WQ18" s="10"/>
      <c r="WR18" s="10"/>
      <c r="WS18" s="10"/>
      <c r="WT18" s="10"/>
      <c r="WU18" s="10"/>
      <c r="WV18" s="10"/>
      <c r="WW18" s="10"/>
      <c r="WX18" s="10"/>
      <c r="WY18" s="10"/>
      <c r="WZ18" s="10"/>
      <c r="XA18" s="10"/>
      <c r="XB18" s="10"/>
      <c r="XC18" s="10"/>
      <c r="XD18" s="10"/>
      <c r="XE18" s="10"/>
      <c r="XF18" s="10"/>
      <c r="XG18" s="10"/>
      <c r="XH18" s="10"/>
      <c r="XI18" s="10"/>
      <c r="XJ18" s="10"/>
      <c r="XK18" s="10"/>
      <c r="XL18" s="10"/>
      <c r="XM18" s="10"/>
      <c r="XN18" s="10"/>
      <c r="XO18" s="10"/>
      <c r="XP18" s="10"/>
      <c r="XQ18" s="10"/>
      <c r="XR18" s="10"/>
      <c r="XS18" s="10"/>
      <c r="XT18" s="10"/>
      <c r="XU18" s="10"/>
      <c r="XV18" s="10"/>
      <c r="XW18" s="10"/>
      <c r="XX18" s="10"/>
      <c r="XY18" s="10"/>
      <c r="XZ18" s="10"/>
      <c r="YA18" s="10"/>
      <c r="YB18" s="10"/>
      <c r="YC18" s="10"/>
      <c r="YD18" s="10"/>
      <c r="YE18" s="10"/>
      <c r="YF18" s="10"/>
      <c r="YG18" s="10"/>
      <c r="YH18" s="10"/>
      <c r="YI18" s="10"/>
      <c r="YJ18" s="10"/>
      <c r="YK18" s="10"/>
      <c r="YL18" s="10"/>
      <c r="YM18" s="10"/>
      <c r="YN18" s="10"/>
      <c r="YO18" s="10"/>
      <c r="YP18" s="10"/>
      <c r="YQ18" s="10"/>
      <c r="YR18" s="10"/>
      <c r="YS18" s="10"/>
      <c r="YT18" s="10"/>
      <c r="YU18" s="10"/>
      <c r="YV18" s="10"/>
      <c r="YW18" s="10"/>
      <c r="YX18" s="10"/>
      <c r="YY18" s="10"/>
      <c r="YZ18" s="10"/>
      <c r="ZA18" s="10"/>
      <c r="ZB18" s="10"/>
      <c r="ZC18" s="10"/>
      <c r="ZD18" s="10"/>
      <c r="ZE18" s="10"/>
      <c r="ZF18" s="10"/>
      <c r="ZG18" s="10"/>
      <c r="ZH18" s="10"/>
      <c r="ZI18" s="10"/>
      <c r="ZJ18" s="10"/>
      <c r="ZK18" s="10"/>
      <c r="ZL18" s="10"/>
      <c r="ZM18" s="10"/>
      <c r="ZN18" s="10"/>
      <c r="ZO18" s="10"/>
      <c r="ZP18" s="10"/>
      <c r="ZQ18" s="10"/>
      <c r="ZR18" s="10"/>
      <c r="ZS18" s="10"/>
      <c r="ZT18" s="10"/>
      <c r="ZU18" s="10"/>
      <c r="ZV18" s="10"/>
      <c r="ZW18" s="10"/>
      <c r="ZX18" s="10"/>
      <c r="ZY18" s="10"/>
      <c r="ZZ18" s="10"/>
      <c r="AAA18" s="10"/>
      <c r="AAB18" s="10"/>
      <c r="AAC18" s="10"/>
      <c r="AAD18" s="10"/>
      <c r="AAE18" s="10"/>
      <c r="AAF18" s="10"/>
      <c r="AAG18" s="10"/>
      <c r="AAH18" s="10"/>
      <c r="AAI18" s="10"/>
      <c r="AAJ18" s="10"/>
      <c r="AAK18" s="10"/>
      <c r="AAL18" s="10"/>
      <c r="AAM18" s="10"/>
      <c r="AAN18" s="10"/>
      <c r="AAO18" s="10"/>
      <c r="AAP18" s="10"/>
      <c r="AAQ18" s="10"/>
      <c r="AAR18" s="10"/>
      <c r="AAS18" s="10"/>
      <c r="AAT18" s="10"/>
      <c r="AAU18" s="10"/>
      <c r="AAV18" s="10"/>
      <c r="AAW18" s="10"/>
      <c r="AAX18" s="10"/>
      <c r="AAY18" s="10"/>
      <c r="AAZ18" s="10"/>
      <c r="ABA18" s="10"/>
      <c r="ABB18" s="10"/>
      <c r="ABC18" s="10"/>
      <c r="ABD18" s="10"/>
      <c r="ABE18" s="10"/>
      <c r="ABF18" s="10"/>
      <c r="ABG18" s="10"/>
      <c r="ABH18" s="10"/>
      <c r="ABI18" s="10"/>
      <c r="ABJ18" s="10"/>
      <c r="ABK18" s="10"/>
      <c r="ABL18" s="10"/>
    </row>
    <row r="19" spans="1:740" x14ac:dyDescent="0.3">
      <c r="B19" s="22">
        <f t="shared" si="0"/>
        <v>3</v>
      </c>
      <c r="C19" s="15"/>
      <c r="D19" s="23" t="s">
        <v>1305</v>
      </c>
      <c r="E19" s="24" t="s">
        <v>1306</v>
      </c>
      <c r="F19" s="24"/>
      <c r="G19" s="24"/>
      <c r="H19" s="25">
        <v>44537</v>
      </c>
      <c r="I19" s="25">
        <v>44547</v>
      </c>
      <c r="J19" s="24" t="s">
        <v>1302</v>
      </c>
      <c r="K19" s="24">
        <v>12</v>
      </c>
      <c r="L19" s="25">
        <v>44593</v>
      </c>
      <c r="M19" s="25">
        <f>EOMONTH(L19,K19)</f>
        <v>44985</v>
      </c>
      <c r="N19" s="26"/>
    </row>
    <row r="20" spans="1:740" s="21" customFormat="1" x14ac:dyDescent="0.3">
      <c r="A20" s="10"/>
      <c r="B20" s="13">
        <f t="shared" si="0"/>
        <v>4</v>
      </c>
      <c r="C20" s="16"/>
      <c r="D20" s="17"/>
      <c r="E20" s="18"/>
      <c r="F20" s="18"/>
      <c r="G20" s="18"/>
      <c r="H20" s="18"/>
      <c r="I20" s="18"/>
      <c r="J20" s="18" t="s">
        <v>1303</v>
      </c>
      <c r="K20" s="18"/>
      <c r="L20" s="18"/>
      <c r="M20" s="18"/>
      <c r="N20" s="2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GU20" s="10"/>
      <c r="GV20" s="10"/>
      <c r="GW20" s="10"/>
      <c r="GX20" s="10"/>
      <c r="GY20" s="10"/>
      <c r="GZ20" s="10"/>
      <c r="HA20" s="10"/>
      <c r="HB20" s="10"/>
      <c r="HC20" s="10"/>
      <c r="HD20" s="10"/>
      <c r="HE20" s="10"/>
      <c r="HF20" s="10"/>
      <c r="HG20" s="10"/>
      <c r="HH20" s="10"/>
      <c r="HI20" s="10"/>
      <c r="HJ20" s="10"/>
      <c r="HK20" s="10"/>
      <c r="HL20" s="10"/>
      <c r="HM20" s="10"/>
      <c r="HN20" s="10"/>
      <c r="HO20" s="10"/>
      <c r="HP20" s="10"/>
      <c r="HQ20" s="10"/>
      <c r="HR20" s="10"/>
      <c r="HS20" s="10"/>
      <c r="HT20" s="10"/>
      <c r="HU20" s="10"/>
      <c r="HV20" s="10"/>
      <c r="HW20" s="10"/>
      <c r="HX20" s="10"/>
      <c r="HY20" s="10"/>
      <c r="HZ20" s="10"/>
      <c r="IA20" s="10"/>
      <c r="IB20" s="10"/>
      <c r="IC20" s="10"/>
      <c r="ID20" s="10"/>
      <c r="IE20" s="10"/>
      <c r="IF20" s="10"/>
      <c r="IG20" s="10"/>
      <c r="IH20" s="10"/>
      <c r="II20" s="10"/>
      <c r="IJ20" s="10"/>
      <c r="IK20" s="10"/>
      <c r="IL20" s="10"/>
      <c r="IM20" s="10"/>
      <c r="IN20" s="10"/>
      <c r="IO20" s="10"/>
      <c r="IP20" s="10"/>
      <c r="IQ20" s="10"/>
      <c r="IR20" s="10"/>
      <c r="IS20" s="10"/>
      <c r="IT20" s="10"/>
      <c r="IU20" s="10"/>
      <c r="IV20" s="10"/>
      <c r="IW20" s="10"/>
      <c r="IX20" s="10"/>
      <c r="IY20" s="10"/>
      <c r="IZ20" s="10"/>
      <c r="JA20" s="10"/>
      <c r="JB20" s="10"/>
      <c r="JC20" s="10"/>
      <c r="JD20" s="10"/>
      <c r="JE20" s="10"/>
      <c r="JF20" s="10"/>
      <c r="JG20" s="10"/>
      <c r="JH20" s="10"/>
      <c r="JI20" s="10"/>
      <c r="JJ20" s="10"/>
      <c r="JK20" s="10"/>
      <c r="JL20" s="10"/>
      <c r="JM20" s="10"/>
      <c r="JN20" s="10"/>
      <c r="JO20" s="10"/>
      <c r="JP20" s="10"/>
      <c r="JQ20" s="10"/>
      <c r="JR20" s="10"/>
      <c r="JS20" s="10"/>
      <c r="JT20" s="10"/>
      <c r="JU20" s="10"/>
      <c r="JV20" s="10"/>
      <c r="JW20" s="10"/>
      <c r="JX20" s="10"/>
      <c r="JY20" s="10"/>
      <c r="JZ20" s="10"/>
      <c r="KA20" s="10"/>
      <c r="KB20" s="10"/>
      <c r="KC20" s="10"/>
      <c r="KD20" s="10"/>
      <c r="KE20" s="10"/>
      <c r="KF20" s="10"/>
      <c r="KG20" s="10"/>
      <c r="KH20" s="10"/>
      <c r="KI20" s="10"/>
      <c r="KJ20" s="10"/>
      <c r="KK20" s="10"/>
      <c r="KL20" s="10"/>
      <c r="KM20" s="10"/>
      <c r="KN20" s="10"/>
      <c r="KO20" s="10"/>
      <c r="KP20" s="10"/>
      <c r="KQ20" s="10"/>
      <c r="KR20" s="10"/>
      <c r="KS20" s="10"/>
      <c r="KT20" s="10"/>
      <c r="KU20" s="10"/>
      <c r="KV20" s="10"/>
      <c r="KW20" s="10"/>
      <c r="KX20" s="10"/>
      <c r="KY20" s="10"/>
      <c r="KZ20" s="10"/>
      <c r="LA20" s="10"/>
      <c r="LB20" s="10"/>
      <c r="LC20" s="10"/>
      <c r="LD20" s="10"/>
      <c r="LE20" s="10"/>
      <c r="LF20" s="10"/>
      <c r="LG20" s="10"/>
      <c r="LH20" s="10"/>
      <c r="LI20" s="10"/>
      <c r="LJ20" s="10"/>
      <c r="LK20" s="10"/>
      <c r="LL20" s="10"/>
      <c r="LM20" s="10"/>
      <c r="LN20" s="10"/>
      <c r="LO20" s="10"/>
      <c r="LP20" s="10"/>
      <c r="LQ20" s="10"/>
      <c r="LR20" s="10"/>
      <c r="LS20" s="10"/>
      <c r="LT20" s="10"/>
      <c r="LU20" s="10"/>
      <c r="LV20" s="10"/>
      <c r="LW20" s="10"/>
      <c r="LX20" s="10"/>
      <c r="LY20" s="10"/>
      <c r="LZ20" s="10"/>
      <c r="MA20" s="10"/>
      <c r="MB20" s="10"/>
      <c r="MC20" s="10"/>
      <c r="MD20" s="10"/>
      <c r="ME20" s="10"/>
      <c r="MF20" s="10"/>
      <c r="MG20" s="10"/>
      <c r="MH20" s="10"/>
      <c r="MI20" s="10"/>
      <c r="MJ20" s="10"/>
      <c r="MK20" s="10"/>
      <c r="ML20" s="10"/>
      <c r="MM20" s="10"/>
      <c r="MN20" s="10"/>
      <c r="MO20" s="10"/>
      <c r="MP20" s="10"/>
      <c r="MQ20" s="10"/>
      <c r="MR20" s="10"/>
      <c r="MS20" s="10"/>
      <c r="MT20" s="10"/>
      <c r="MU20" s="10"/>
      <c r="MV20" s="10"/>
      <c r="MW20" s="10"/>
      <c r="MX20" s="10"/>
      <c r="MY20" s="10"/>
      <c r="MZ20" s="10"/>
      <c r="NA20" s="10"/>
      <c r="NB20" s="10"/>
      <c r="NC20" s="10"/>
      <c r="ND20" s="10"/>
      <c r="NE20" s="10"/>
      <c r="NF20" s="10"/>
      <c r="NG20" s="10"/>
      <c r="NH20" s="10"/>
      <c r="NI20" s="10"/>
      <c r="NJ20" s="10"/>
      <c r="NK20" s="10"/>
      <c r="NL20" s="10"/>
      <c r="NM20" s="10"/>
      <c r="NN20" s="10"/>
      <c r="NO20" s="10"/>
      <c r="NP20" s="10"/>
      <c r="NQ20" s="10"/>
      <c r="NR20" s="10"/>
      <c r="NS20" s="10"/>
      <c r="NT20" s="10"/>
      <c r="NU20" s="10"/>
      <c r="NV20" s="10"/>
      <c r="NW20" s="10"/>
      <c r="NX20" s="10"/>
      <c r="NY20" s="10"/>
      <c r="NZ20" s="10"/>
      <c r="OA20" s="10"/>
      <c r="OB20" s="10"/>
      <c r="OC20" s="10"/>
      <c r="OD20" s="10"/>
      <c r="OE20" s="10"/>
      <c r="OF20" s="10"/>
      <c r="OG20" s="10"/>
      <c r="OH20" s="10"/>
      <c r="OI20" s="10"/>
      <c r="OJ20" s="10"/>
      <c r="OK20" s="10"/>
      <c r="OL20" s="10"/>
      <c r="OM20" s="10"/>
      <c r="ON20" s="10"/>
      <c r="OO20" s="10"/>
      <c r="OP20" s="10"/>
      <c r="OQ20" s="10"/>
      <c r="OR20" s="10"/>
      <c r="OS20" s="10"/>
      <c r="OT20" s="10"/>
      <c r="OU20" s="10"/>
      <c r="OV20" s="10"/>
      <c r="OW20" s="10"/>
      <c r="OX20" s="10"/>
      <c r="OY20" s="10"/>
      <c r="OZ20" s="10"/>
      <c r="PA20" s="10"/>
      <c r="PB20" s="10"/>
      <c r="PC20" s="10"/>
      <c r="PD20" s="10"/>
      <c r="PE20" s="10"/>
      <c r="PF20" s="10"/>
      <c r="PG20" s="10"/>
      <c r="PH20" s="10"/>
      <c r="PI20" s="10"/>
      <c r="PJ20" s="10"/>
      <c r="PK20" s="10"/>
      <c r="PL20" s="10"/>
      <c r="PM20" s="10"/>
      <c r="PN20" s="10"/>
      <c r="PO20" s="10"/>
      <c r="PP20" s="10"/>
      <c r="PQ20" s="10"/>
      <c r="PR20" s="10"/>
      <c r="PS20" s="10"/>
      <c r="PT20" s="10"/>
      <c r="PU20" s="10"/>
      <c r="PV20" s="10"/>
      <c r="PW20" s="10"/>
      <c r="PX20" s="10"/>
      <c r="PY20" s="10"/>
      <c r="PZ20" s="10"/>
      <c r="QA20" s="10"/>
      <c r="QB20" s="10"/>
      <c r="QC20" s="10"/>
      <c r="QD20" s="10"/>
      <c r="QE20" s="10"/>
      <c r="QF20" s="10"/>
      <c r="QG20" s="10"/>
      <c r="QH20" s="10"/>
      <c r="QI20" s="10"/>
      <c r="QJ20" s="10"/>
      <c r="QK20" s="10"/>
      <c r="QL20" s="10"/>
      <c r="QM20" s="10"/>
      <c r="QN20" s="10"/>
      <c r="QO20" s="10"/>
      <c r="QP20" s="10"/>
      <c r="QQ20" s="10"/>
      <c r="QR20" s="10"/>
      <c r="QS20" s="10"/>
      <c r="QT20" s="10"/>
      <c r="QU20" s="10"/>
      <c r="QV20" s="10"/>
      <c r="QW20" s="10"/>
      <c r="QX20" s="10"/>
      <c r="QY20" s="10"/>
      <c r="QZ20" s="10"/>
      <c r="RA20" s="10"/>
      <c r="RB20" s="10"/>
      <c r="RC20" s="10"/>
      <c r="RD20" s="10"/>
      <c r="RE20" s="10"/>
      <c r="RF20" s="10"/>
      <c r="RG20" s="10"/>
      <c r="RH20" s="10"/>
      <c r="RI20" s="10"/>
      <c r="RJ20" s="10"/>
      <c r="RK20" s="10"/>
      <c r="RL20" s="10"/>
      <c r="RM20" s="10"/>
      <c r="RN20" s="10"/>
      <c r="RO20" s="10"/>
      <c r="RP20" s="10"/>
      <c r="RQ20" s="10"/>
      <c r="RR20" s="10"/>
      <c r="RS20" s="10"/>
      <c r="RT20" s="10"/>
      <c r="RU20" s="10"/>
      <c r="RV20" s="10"/>
      <c r="RW20" s="10"/>
      <c r="RX20" s="10"/>
      <c r="RY20" s="10"/>
      <c r="RZ20" s="10"/>
      <c r="SA20" s="10"/>
      <c r="SB20" s="10"/>
      <c r="SC20" s="10"/>
      <c r="SD20" s="10"/>
      <c r="SE20" s="10"/>
      <c r="SF20" s="10"/>
      <c r="SG20" s="10"/>
      <c r="SH20" s="10"/>
      <c r="SI20" s="10"/>
      <c r="SJ20" s="10"/>
      <c r="SK20" s="10"/>
      <c r="SL20" s="10"/>
      <c r="SM20" s="10"/>
      <c r="SN20" s="10"/>
      <c r="SO20" s="10"/>
      <c r="SP20" s="10"/>
      <c r="SQ20" s="10"/>
      <c r="SR20" s="10"/>
      <c r="SS20" s="10"/>
      <c r="ST20" s="10"/>
      <c r="SU20" s="10"/>
      <c r="SV20" s="10"/>
      <c r="SW20" s="10"/>
      <c r="SX20" s="10"/>
      <c r="SY20" s="10"/>
      <c r="SZ20" s="10"/>
      <c r="TA20" s="10"/>
      <c r="TB20" s="10"/>
      <c r="TC20" s="10"/>
      <c r="TD20" s="10"/>
      <c r="TE20" s="10"/>
      <c r="TF20" s="10"/>
      <c r="TG20" s="10"/>
      <c r="TH20" s="10"/>
      <c r="TI20" s="10"/>
      <c r="TJ20" s="10"/>
      <c r="TK20" s="10"/>
      <c r="TL20" s="10"/>
      <c r="TM20" s="10"/>
      <c r="TN20" s="10"/>
      <c r="TO20" s="10"/>
      <c r="TP20" s="10"/>
      <c r="TQ20" s="10"/>
      <c r="TR20" s="10"/>
      <c r="TS20" s="10"/>
      <c r="TT20" s="10"/>
      <c r="TU20" s="10"/>
      <c r="TV20" s="10"/>
      <c r="TW20" s="10"/>
      <c r="TX20" s="10"/>
      <c r="TY20" s="10"/>
      <c r="TZ20" s="10"/>
      <c r="UA20" s="10"/>
      <c r="UB20" s="10"/>
      <c r="UC20" s="10"/>
      <c r="UD20" s="10"/>
      <c r="UE20" s="10"/>
      <c r="UF20" s="10"/>
      <c r="UG20" s="10"/>
      <c r="UH20" s="10"/>
      <c r="UI20" s="10"/>
      <c r="UJ20" s="10"/>
      <c r="UK20" s="10"/>
      <c r="UL20" s="10"/>
      <c r="UM20" s="10"/>
      <c r="UN20" s="10"/>
      <c r="UO20" s="10"/>
      <c r="UP20" s="10"/>
      <c r="UQ20" s="10"/>
      <c r="UR20" s="10"/>
      <c r="US20" s="10"/>
      <c r="UT20" s="10"/>
      <c r="UU20" s="10"/>
      <c r="UV20" s="10"/>
      <c r="UW20" s="10"/>
      <c r="UX20" s="10"/>
      <c r="UY20" s="10"/>
      <c r="UZ20" s="10"/>
      <c r="VA20" s="10"/>
      <c r="VB20" s="10"/>
      <c r="VC20" s="10"/>
      <c r="VD20" s="10"/>
      <c r="VE20" s="10"/>
      <c r="VF20" s="10"/>
      <c r="VG20" s="10"/>
      <c r="VH20" s="10"/>
      <c r="VI20" s="10"/>
      <c r="VJ20" s="10"/>
      <c r="VK20" s="10"/>
      <c r="VL20" s="10"/>
      <c r="VM20" s="10"/>
      <c r="VN20" s="10"/>
      <c r="VO20" s="10"/>
      <c r="VP20" s="10"/>
      <c r="VQ20" s="10"/>
      <c r="VR20" s="10"/>
      <c r="VS20" s="10"/>
      <c r="VT20" s="10"/>
      <c r="VU20" s="10"/>
      <c r="VV20" s="10"/>
      <c r="VW20" s="10"/>
      <c r="VX20" s="10"/>
      <c r="VY20" s="10"/>
      <c r="VZ20" s="10"/>
      <c r="WA20" s="10"/>
      <c r="WB20" s="10"/>
      <c r="WC20" s="10"/>
      <c r="WD20" s="10"/>
      <c r="WE20" s="10"/>
      <c r="WF20" s="10"/>
      <c r="WG20" s="10"/>
      <c r="WH20" s="10"/>
      <c r="WI20" s="10"/>
      <c r="WJ20" s="10"/>
      <c r="WK20" s="10"/>
      <c r="WL20" s="10"/>
      <c r="WM20" s="10"/>
      <c r="WN20" s="10"/>
      <c r="WO20" s="10"/>
      <c r="WP20" s="10"/>
      <c r="WQ20" s="10"/>
      <c r="WR20" s="10"/>
      <c r="WS20" s="10"/>
      <c r="WT20" s="10"/>
      <c r="WU20" s="10"/>
      <c r="WV20" s="10"/>
      <c r="WW20" s="10"/>
      <c r="WX20" s="10"/>
      <c r="WY20" s="10"/>
      <c r="WZ20" s="10"/>
      <c r="XA20" s="10"/>
      <c r="XB20" s="10"/>
      <c r="XC20" s="10"/>
      <c r="XD20" s="10"/>
      <c r="XE20" s="10"/>
      <c r="XF20" s="10"/>
      <c r="XG20" s="10"/>
      <c r="XH20" s="10"/>
      <c r="XI20" s="10"/>
      <c r="XJ20" s="10"/>
      <c r="XK20" s="10"/>
      <c r="XL20" s="10"/>
      <c r="XM20" s="10"/>
      <c r="XN20" s="10"/>
      <c r="XO20" s="10"/>
      <c r="XP20" s="10"/>
      <c r="XQ20" s="10"/>
      <c r="XR20" s="10"/>
      <c r="XS20" s="10"/>
      <c r="XT20" s="10"/>
      <c r="XU20" s="10"/>
      <c r="XV20" s="10"/>
      <c r="XW20" s="10"/>
      <c r="XX20" s="10"/>
      <c r="XY20" s="10"/>
      <c r="XZ20" s="10"/>
      <c r="YA20" s="10"/>
      <c r="YB20" s="10"/>
      <c r="YC20" s="10"/>
      <c r="YD20" s="10"/>
      <c r="YE20" s="10"/>
      <c r="YF20" s="10"/>
      <c r="YG20" s="10"/>
      <c r="YH20" s="10"/>
      <c r="YI20" s="10"/>
      <c r="YJ20" s="10"/>
      <c r="YK20" s="10"/>
      <c r="YL20" s="10"/>
      <c r="YM20" s="10"/>
      <c r="YN20" s="10"/>
      <c r="YO20" s="10"/>
      <c r="YP20" s="10"/>
      <c r="YQ20" s="10"/>
      <c r="YR20" s="10"/>
      <c r="YS20" s="10"/>
      <c r="YT20" s="10"/>
      <c r="YU20" s="10"/>
      <c r="YV20" s="10"/>
      <c r="YW20" s="10"/>
      <c r="YX20" s="10"/>
      <c r="YY20" s="10"/>
      <c r="YZ20" s="10"/>
      <c r="ZA20" s="10"/>
      <c r="ZB20" s="10"/>
      <c r="ZC20" s="10"/>
      <c r="ZD20" s="10"/>
      <c r="ZE20" s="10"/>
      <c r="ZF20" s="10"/>
      <c r="ZG20" s="10"/>
      <c r="ZH20" s="10"/>
      <c r="ZI20" s="10"/>
      <c r="ZJ20" s="10"/>
      <c r="ZK20" s="10"/>
      <c r="ZL20" s="10"/>
      <c r="ZM20" s="10"/>
      <c r="ZN20" s="10"/>
      <c r="ZO20" s="10"/>
      <c r="ZP20" s="10"/>
      <c r="ZQ20" s="10"/>
      <c r="ZR20" s="10"/>
      <c r="ZS20" s="10"/>
      <c r="ZT20" s="10"/>
      <c r="ZU20" s="10"/>
      <c r="ZV20" s="10"/>
      <c r="ZW20" s="10"/>
      <c r="ZX20" s="10"/>
      <c r="ZY20" s="10"/>
      <c r="ZZ20" s="10"/>
      <c r="AAA20" s="10"/>
      <c r="AAB20" s="10"/>
      <c r="AAC20" s="10"/>
      <c r="AAD20" s="10"/>
      <c r="AAE20" s="10"/>
      <c r="AAF20" s="10"/>
      <c r="AAG20" s="10"/>
      <c r="AAH20" s="10"/>
      <c r="AAI20" s="10"/>
      <c r="AAJ20" s="10"/>
      <c r="AAK20" s="10"/>
      <c r="AAL20" s="10"/>
      <c r="AAM20" s="10"/>
      <c r="AAN20" s="10"/>
      <c r="AAO20" s="10"/>
      <c r="AAP20" s="10"/>
      <c r="AAQ20" s="10"/>
      <c r="AAR20" s="10"/>
      <c r="AAS20" s="10"/>
      <c r="AAT20" s="10"/>
      <c r="AAU20" s="10"/>
      <c r="AAV20" s="10"/>
      <c r="AAW20" s="10"/>
      <c r="AAX20" s="10"/>
      <c r="AAY20" s="10"/>
      <c r="AAZ20" s="10"/>
      <c r="ABA20" s="10"/>
      <c r="ABB20" s="10"/>
      <c r="ABC20" s="10"/>
      <c r="ABD20" s="10"/>
      <c r="ABE20" s="10"/>
      <c r="ABF20" s="10"/>
      <c r="ABG20" s="10"/>
      <c r="ABH20" s="10"/>
      <c r="ABI20" s="10"/>
      <c r="ABJ20" s="10"/>
      <c r="ABK20" s="10"/>
      <c r="ABL20" s="10"/>
    </row>
    <row r="21" spans="1:740" x14ac:dyDescent="0.3">
      <c r="B21" s="22">
        <f t="shared" si="0"/>
        <v>4</v>
      </c>
      <c r="C21" s="15"/>
      <c r="D21" s="23"/>
      <c r="E21" s="24"/>
      <c r="F21" s="24"/>
      <c r="G21" s="24"/>
      <c r="H21" s="24"/>
      <c r="I21" s="24"/>
      <c r="J21" s="24" t="s">
        <v>1303</v>
      </c>
      <c r="K21" s="24"/>
      <c r="L21" s="24"/>
      <c r="M21" s="24"/>
      <c r="N21" s="26"/>
    </row>
    <row r="22" spans="1:740" s="21" customFormat="1" x14ac:dyDescent="0.3">
      <c r="A22" s="10"/>
      <c r="B22" s="13">
        <f t="shared" si="0"/>
        <v>4</v>
      </c>
      <c r="C22" s="16"/>
      <c r="D22" s="17"/>
      <c r="E22" s="18"/>
      <c r="F22" s="18"/>
      <c r="G22" s="18"/>
      <c r="H22" s="18"/>
      <c r="I22" s="18"/>
      <c r="J22" s="18" t="s">
        <v>1303</v>
      </c>
      <c r="K22" s="18"/>
      <c r="L22" s="18"/>
      <c r="M22" s="18"/>
      <c r="N22" s="2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c r="IR22" s="10"/>
      <c r="IS22" s="10"/>
      <c r="IT22" s="10"/>
      <c r="IU22" s="10"/>
      <c r="IV22" s="10"/>
      <c r="IW22" s="10"/>
      <c r="IX22" s="10"/>
      <c r="IY22" s="10"/>
      <c r="IZ22" s="10"/>
      <c r="JA22" s="10"/>
      <c r="JB22" s="10"/>
      <c r="JC22" s="10"/>
      <c r="JD22" s="10"/>
      <c r="JE22" s="10"/>
      <c r="JF22" s="10"/>
      <c r="JG22" s="10"/>
      <c r="JH22" s="10"/>
      <c r="JI22" s="10"/>
      <c r="JJ22" s="10"/>
      <c r="JK22" s="10"/>
      <c r="JL22" s="10"/>
      <c r="JM22" s="10"/>
      <c r="JN22" s="10"/>
      <c r="JO22" s="10"/>
      <c r="JP22" s="10"/>
      <c r="JQ22" s="10"/>
      <c r="JR22" s="10"/>
      <c r="JS22" s="10"/>
      <c r="JT22" s="10"/>
      <c r="JU22" s="10"/>
      <c r="JV22" s="10"/>
      <c r="JW22" s="10"/>
      <c r="JX22" s="10"/>
      <c r="JY22" s="10"/>
      <c r="JZ22" s="10"/>
      <c r="KA22" s="10"/>
      <c r="KB22" s="10"/>
      <c r="KC22" s="10"/>
      <c r="KD22" s="10"/>
      <c r="KE22" s="10"/>
      <c r="KF22" s="10"/>
      <c r="KG22" s="10"/>
      <c r="KH22" s="10"/>
      <c r="KI22" s="10"/>
      <c r="KJ22" s="10"/>
      <c r="KK22" s="10"/>
      <c r="KL22" s="10"/>
      <c r="KM22" s="10"/>
      <c r="KN22" s="10"/>
      <c r="KO22" s="10"/>
      <c r="KP22" s="10"/>
      <c r="KQ22" s="10"/>
      <c r="KR22" s="10"/>
      <c r="KS22" s="10"/>
      <c r="KT22" s="10"/>
      <c r="KU22" s="10"/>
      <c r="KV22" s="10"/>
      <c r="KW22" s="10"/>
      <c r="KX22" s="10"/>
      <c r="KY22" s="10"/>
      <c r="KZ22" s="10"/>
      <c r="LA22" s="10"/>
      <c r="LB22" s="10"/>
      <c r="LC22" s="10"/>
      <c r="LD22" s="10"/>
      <c r="LE22" s="10"/>
      <c r="LF22" s="10"/>
      <c r="LG22" s="10"/>
      <c r="LH22" s="10"/>
      <c r="LI22" s="10"/>
      <c r="LJ22" s="10"/>
      <c r="LK22" s="10"/>
      <c r="LL22" s="10"/>
      <c r="LM22" s="10"/>
      <c r="LN22" s="10"/>
      <c r="LO22" s="10"/>
      <c r="LP22" s="10"/>
      <c r="LQ22" s="10"/>
      <c r="LR22" s="10"/>
      <c r="LS22" s="10"/>
      <c r="LT22" s="10"/>
      <c r="LU22" s="10"/>
      <c r="LV22" s="10"/>
      <c r="LW22" s="10"/>
      <c r="LX22" s="10"/>
      <c r="LY22" s="10"/>
      <c r="LZ22" s="10"/>
      <c r="MA22" s="10"/>
      <c r="MB22" s="10"/>
      <c r="MC22" s="10"/>
      <c r="MD22" s="10"/>
      <c r="ME22" s="10"/>
      <c r="MF22" s="10"/>
      <c r="MG22" s="10"/>
      <c r="MH22" s="10"/>
      <c r="MI22" s="10"/>
      <c r="MJ22" s="10"/>
      <c r="MK22" s="10"/>
      <c r="ML22" s="10"/>
      <c r="MM22" s="10"/>
      <c r="MN22" s="10"/>
      <c r="MO22" s="10"/>
      <c r="MP22" s="10"/>
      <c r="MQ22" s="10"/>
      <c r="MR22" s="10"/>
      <c r="MS22" s="10"/>
      <c r="MT22" s="10"/>
      <c r="MU22" s="10"/>
      <c r="MV22" s="10"/>
      <c r="MW22" s="10"/>
      <c r="MX22" s="10"/>
      <c r="MY22" s="10"/>
      <c r="MZ22" s="10"/>
      <c r="NA22" s="10"/>
      <c r="NB22" s="10"/>
      <c r="NC22" s="10"/>
      <c r="ND22" s="10"/>
      <c r="NE22" s="10"/>
      <c r="NF22" s="10"/>
      <c r="NG22" s="10"/>
      <c r="NH22" s="10"/>
      <c r="NI22" s="10"/>
      <c r="NJ22" s="10"/>
      <c r="NK22" s="10"/>
      <c r="NL22" s="10"/>
      <c r="NM22" s="10"/>
      <c r="NN22" s="10"/>
      <c r="NO22" s="10"/>
      <c r="NP22" s="10"/>
      <c r="NQ22" s="10"/>
      <c r="NR22" s="10"/>
      <c r="NS22" s="10"/>
      <c r="NT22" s="10"/>
      <c r="NU22" s="10"/>
      <c r="NV22" s="10"/>
      <c r="NW22" s="10"/>
      <c r="NX22" s="10"/>
      <c r="NY22" s="10"/>
      <c r="NZ22" s="10"/>
      <c r="OA22" s="10"/>
      <c r="OB22" s="10"/>
      <c r="OC22" s="10"/>
      <c r="OD22" s="10"/>
      <c r="OE22" s="10"/>
      <c r="OF22" s="10"/>
      <c r="OG22" s="10"/>
      <c r="OH22" s="10"/>
      <c r="OI22" s="10"/>
      <c r="OJ22" s="10"/>
      <c r="OK22" s="10"/>
      <c r="OL22" s="10"/>
      <c r="OM22" s="10"/>
      <c r="ON22" s="10"/>
      <c r="OO22" s="10"/>
      <c r="OP22" s="10"/>
      <c r="OQ22" s="10"/>
      <c r="OR22" s="10"/>
      <c r="OS22" s="10"/>
      <c r="OT22" s="10"/>
      <c r="OU22" s="10"/>
      <c r="OV22" s="10"/>
      <c r="OW22" s="10"/>
      <c r="OX22" s="10"/>
      <c r="OY22" s="10"/>
      <c r="OZ22" s="10"/>
      <c r="PA22" s="10"/>
      <c r="PB22" s="10"/>
      <c r="PC22" s="10"/>
      <c r="PD22" s="10"/>
      <c r="PE22" s="10"/>
      <c r="PF22" s="10"/>
      <c r="PG22" s="10"/>
      <c r="PH22" s="10"/>
      <c r="PI22" s="10"/>
      <c r="PJ22" s="10"/>
      <c r="PK22" s="10"/>
      <c r="PL22" s="10"/>
      <c r="PM22" s="10"/>
      <c r="PN22" s="10"/>
      <c r="PO22" s="10"/>
      <c r="PP22" s="10"/>
      <c r="PQ22" s="10"/>
      <c r="PR22" s="10"/>
      <c r="PS22" s="10"/>
      <c r="PT22" s="10"/>
      <c r="PU22" s="10"/>
      <c r="PV22" s="10"/>
      <c r="PW22" s="10"/>
      <c r="PX22" s="10"/>
      <c r="PY22" s="10"/>
      <c r="PZ22" s="10"/>
      <c r="QA22" s="10"/>
      <c r="QB22" s="10"/>
      <c r="QC22" s="10"/>
      <c r="QD22" s="10"/>
      <c r="QE22" s="10"/>
      <c r="QF22" s="10"/>
      <c r="QG22" s="10"/>
      <c r="QH22" s="10"/>
      <c r="QI22" s="10"/>
      <c r="QJ22" s="10"/>
      <c r="QK22" s="10"/>
      <c r="QL22" s="10"/>
      <c r="QM22" s="10"/>
      <c r="QN22" s="10"/>
      <c r="QO22" s="10"/>
      <c r="QP22" s="10"/>
      <c r="QQ22" s="10"/>
      <c r="QR22" s="10"/>
      <c r="QS22" s="10"/>
      <c r="QT22" s="10"/>
      <c r="QU22" s="10"/>
      <c r="QV22" s="10"/>
      <c r="QW22" s="10"/>
      <c r="QX22" s="10"/>
      <c r="QY22" s="10"/>
      <c r="QZ22" s="10"/>
      <c r="RA22" s="10"/>
      <c r="RB22" s="10"/>
      <c r="RC22" s="10"/>
      <c r="RD22" s="10"/>
      <c r="RE22" s="10"/>
      <c r="RF22" s="10"/>
      <c r="RG22" s="10"/>
      <c r="RH22" s="10"/>
      <c r="RI22" s="10"/>
      <c r="RJ22" s="10"/>
      <c r="RK22" s="10"/>
      <c r="RL22" s="10"/>
      <c r="RM22" s="10"/>
      <c r="RN22" s="10"/>
      <c r="RO22" s="10"/>
      <c r="RP22" s="10"/>
      <c r="RQ22" s="10"/>
      <c r="RR22" s="10"/>
      <c r="RS22" s="10"/>
      <c r="RT22" s="10"/>
      <c r="RU22" s="10"/>
      <c r="RV22" s="10"/>
      <c r="RW22" s="10"/>
      <c r="RX22" s="10"/>
      <c r="RY22" s="10"/>
      <c r="RZ22" s="10"/>
      <c r="SA22" s="10"/>
      <c r="SB22" s="10"/>
      <c r="SC22" s="10"/>
      <c r="SD22" s="10"/>
      <c r="SE22" s="10"/>
      <c r="SF22" s="10"/>
      <c r="SG22" s="10"/>
      <c r="SH22" s="10"/>
      <c r="SI22" s="10"/>
      <c r="SJ22" s="10"/>
      <c r="SK22" s="10"/>
      <c r="SL22" s="10"/>
      <c r="SM22" s="10"/>
      <c r="SN22" s="10"/>
      <c r="SO22" s="10"/>
      <c r="SP22" s="10"/>
      <c r="SQ22" s="10"/>
      <c r="SR22" s="10"/>
      <c r="SS22" s="10"/>
      <c r="ST22" s="10"/>
      <c r="SU22" s="10"/>
      <c r="SV22" s="10"/>
      <c r="SW22" s="10"/>
      <c r="SX22" s="10"/>
      <c r="SY22" s="10"/>
      <c r="SZ22" s="10"/>
      <c r="TA22" s="10"/>
      <c r="TB22" s="10"/>
      <c r="TC22" s="10"/>
      <c r="TD22" s="10"/>
      <c r="TE22" s="10"/>
      <c r="TF22" s="10"/>
      <c r="TG22" s="10"/>
      <c r="TH22" s="10"/>
      <c r="TI22" s="10"/>
      <c r="TJ22" s="10"/>
      <c r="TK22" s="10"/>
      <c r="TL22" s="10"/>
      <c r="TM22" s="10"/>
      <c r="TN22" s="10"/>
      <c r="TO22" s="10"/>
      <c r="TP22" s="10"/>
      <c r="TQ22" s="10"/>
      <c r="TR22" s="10"/>
      <c r="TS22" s="10"/>
      <c r="TT22" s="10"/>
      <c r="TU22" s="10"/>
      <c r="TV22" s="10"/>
      <c r="TW22" s="10"/>
      <c r="TX22" s="10"/>
      <c r="TY22" s="10"/>
      <c r="TZ22" s="10"/>
      <c r="UA22" s="10"/>
      <c r="UB22" s="10"/>
      <c r="UC22" s="10"/>
      <c r="UD22" s="10"/>
      <c r="UE22" s="10"/>
      <c r="UF22" s="10"/>
      <c r="UG22" s="10"/>
      <c r="UH22" s="10"/>
      <c r="UI22" s="10"/>
      <c r="UJ22" s="10"/>
      <c r="UK22" s="10"/>
      <c r="UL22" s="10"/>
      <c r="UM22" s="10"/>
      <c r="UN22" s="10"/>
      <c r="UO22" s="10"/>
      <c r="UP22" s="10"/>
      <c r="UQ22" s="10"/>
      <c r="UR22" s="10"/>
      <c r="US22" s="10"/>
      <c r="UT22" s="10"/>
      <c r="UU22" s="10"/>
      <c r="UV22" s="10"/>
      <c r="UW22" s="10"/>
      <c r="UX22" s="10"/>
      <c r="UY22" s="10"/>
      <c r="UZ22" s="10"/>
      <c r="VA22" s="10"/>
      <c r="VB22" s="10"/>
      <c r="VC22" s="10"/>
      <c r="VD22" s="10"/>
      <c r="VE22" s="10"/>
      <c r="VF22" s="10"/>
      <c r="VG22" s="10"/>
      <c r="VH22" s="10"/>
      <c r="VI22" s="10"/>
      <c r="VJ22" s="10"/>
      <c r="VK22" s="10"/>
      <c r="VL22" s="10"/>
      <c r="VM22" s="10"/>
      <c r="VN22" s="10"/>
      <c r="VO22" s="10"/>
      <c r="VP22" s="10"/>
      <c r="VQ22" s="10"/>
      <c r="VR22" s="10"/>
      <c r="VS22" s="10"/>
      <c r="VT22" s="10"/>
      <c r="VU22" s="10"/>
      <c r="VV22" s="10"/>
      <c r="VW22" s="10"/>
      <c r="VX22" s="10"/>
      <c r="VY22" s="10"/>
      <c r="VZ22" s="10"/>
      <c r="WA22" s="10"/>
      <c r="WB22" s="10"/>
      <c r="WC22" s="10"/>
      <c r="WD22" s="10"/>
      <c r="WE22" s="10"/>
      <c r="WF22" s="10"/>
      <c r="WG22" s="10"/>
      <c r="WH22" s="10"/>
      <c r="WI22" s="10"/>
      <c r="WJ22" s="10"/>
      <c r="WK22" s="10"/>
      <c r="WL22" s="10"/>
      <c r="WM22" s="10"/>
      <c r="WN22" s="10"/>
      <c r="WO22" s="10"/>
      <c r="WP22" s="10"/>
      <c r="WQ22" s="10"/>
      <c r="WR22" s="10"/>
      <c r="WS22" s="10"/>
      <c r="WT22" s="10"/>
      <c r="WU22" s="10"/>
      <c r="WV22" s="10"/>
      <c r="WW22" s="10"/>
      <c r="WX22" s="10"/>
      <c r="WY22" s="10"/>
      <c r="WZ22" s="10"/>
      <c r="XA22" s="10"/>
      <c r="XB22" s="10"/>
      <c r="XC22" s="10"/>
      <c r="XD22" s="10"/>
      <c r="XE22" s="10"/>
      <c r="XF22" s="10"/>
      <c r="XG22" s="10"/>
      <c r="XH22" s="10"/>
      <c r="XI22" s="10"/>
      <c r="XJ22" s="10"/>
      <c r="XK22" s="10"/>
      <c r="XL22" s="10"/>
      <c r="XM22" s="10"/>
      <c r="XN22" s="10"/>
      <c r="XO22" s="10"/>
      <c r="XP22" s="10"/>
      <c r="XQ22" s="10"/>
      <c r="XR22" s="10"/>
      <c r="XS22" s="10"/>
      <c r="XT22" s="10"/>
      <c r="XU22" s="10"/>
      <c r="XV22" s="10"/>
      <c r="XW22" s="10"/>
      <c r="XX22" s="10"/>
      <c r="XY22" s="10"/>
      <c r="XZ22" s="10"/>
      <c r="YA22" s="10"/>
      <c r="YB22" s="10"/>
      <c r="YC22" s="10"/>
      <c r="YD22" s="10"/>
      <c r="YE22" s="10"/>
      <c r="YF22" s="10"/>
      <c r="YG22" s="10"/>
      <c r="YH22" s="10"/>
      <c r="YI22" s="10"/>
      <c r="YJ22" s="10"/>
      <c r="YK22" s="10"/>
      <c r="YL22" s="10"/>
      <c r="YM22" s="10"/>
      <c r="YN22" s="10"/>
      <c r="YO22" s="10"/>
      <c r="YP22" s="10"/>
      <c r="YQ22" s="10"/>
      <c r="YR22" s="10"/>
      <c r="YS22" s="10"/>
      <c r="YT22" s="10"/>
      <c r="YU22" s="10"/>
      <c r="YV22" s="10"/>
      <c r="YW22" s="10"/>
      <c r="YX22" s="10"/>
      <c r="YY22" s="10"/>
      <c r="YZ22" s="10"/>
      <c r="ZA22" s="10"/>
      <c r="ZB22" s="10"/>
      <c r="ZC22" s="10"/>
      <c r="ZD22" s="10"/>
      <c r="ZE22" s="10"/>
      <c r="ZF22" s="10"/>
      <c r="ZG22" s="10"/>
      <c r="ZH22" s="10"/>
      <c r="ZI22" s="10"/>
      <c r="ZJ22" s="10"/>
      <c r="ZK22" s="10"/>
      <c r="ZL22" s="10"/>
      <c r="ZM22" s="10"/>
      <c r="ZN22" s="10"/>
      <c r="ZO22" s="10"/>
      <c r="ZP22" s="10"/>
      <c r="ZQ22" s="10"/>
      <c r="ZR22" s="10"/>
      <c r="ZS22" s="10"/>
      <c r="ZT22" s="10"/>
      <c r="ZU22" s="10"/>
      <c r="ZV22" s="10"/>
      <c r="ZW22" s="10"/>
      <c r="ZX22" s="10"/>
      <c r="ZY22" s="10"/>
      <c r="ZZ22" s="10"/>
      <c r="AAA22" s="10"/>
      <c r="AAB22" s="10"/>
      <c r="AAC22" s="10"/>
      <c r="AAD22" s="10"/>
      <c r="AAE22" s="10"/>
      <c r="AAF22" s="10"/>
      <c r="AAG22" s="10"/>
      <c r="AAH22" s="10"/>
      <c r="AAI22" s="10"/>
      <c r="AAJ22" s="10"/>
      <c r="AAK22" s="10"/>
      <c r="AAL22" s="10"/>
      <c r="AAM22" s="10"/>
      <c r="AAN22" s="10"/>
      <c r="AAO22" s="10"/>
      <c r="AAP22" s="10"/>
      <c r="AAQ22" s="10"/>
      <c r="AAR22" s="10"/>
      <c r="AAS22" s="10"/>
      <c r="AAT22" s="10"/>
      <c r="AAU22" s="10"/>
      <c r="AAV22" s="10"/>
      <c r="AAW22" s="10"/>
      <c r="AAX22" s="10"/>
      <c r="AAY22" s="10"/>
      <c r="AAZ22" s="10"/>
      <c r="ABA22" s="10"/>
      <c r="ABB22" s="10"/>
      <c r="ABC22" s="10"/>
      <c r="ABD22" s="10"/>
      <c r="ABE22" s="10"/>
      <c r="ABF22" s="10"/>
      <c r="ABG22" s="10"/>
      <c r="ABH22" s="10"/>
      <c r="ABI22" s="10"/>
      <c r="ABJ22" s="10"/>
      <c r="ABK22" s="10"/>
      <c r="ABL22" s="10"/>
    </row>
    <row r="23" spans="1:740" s="35" customFormat="1" x14ac:dyDescent="0.3">
      <c r="B23" s="36">
        <f t="shared" si="0"/>
        <v>3</v>
      </c>
      <c r="C23" s="37"/>
      <c r="D23" s="38" t="s">
        <v>178</v>
      </c>
      <c r="E23" s="39"/>
      <c r="F23" s="39"/>
      <c r="G23" s="39"/>
      <c r="H23" s="39"/>
      <c r="I23" s="39"/>
      <c r="J23" s="39" t="s">
        <v>1302</v>
      </c>
      <c r="K23" s="39">
        <v>12</v>
      </c>
      <c r="L23" s="40">
        <v>44712</v>
      </c>
      <c r="M23" s="40">
        <f>EOMONTH(L23,K23)</f>
        <v>45077</v>
      </c>
      <c r="N23" s="41"/>
    </row>
    <row r="24" spans="1:740" s="21" customFormat="1" x14ac:dyDescent="0.3">
      <c r="A24" s="10"/>
      <c r="B24" s="13">
        <f t="shared" si="0"/>
        <v>3</v>
      </c>
      <c r="C24" s="16"/>
      <c r="D24" s="17" t="s">
        <v>1310</v>
      </c>
      <c r="E24" s="18" t="s">
        <v>1306</v>
      </c>
      <c r="F24" s="18"/>
      <c r="G24" s="18"/>
      <c r="H24" s="18"/>
      <c r="I24" s="19">
        <v>45106</v>
      </c>
      <c r="J24" s="18" t="s">
        <v>1302</v>
      </c>
      <c r="K24" s="18">
        <v>12</v>
      </c>
      <c r="L24" s="19">
        <v>44832</v>
      </c>
      <c r="M24" s="19">
        <f>EOMONTH(L24,K24)</f>
        <v>45199</v>
      </c>
      <c r="N24" s="2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c r="IN24" s="10"/>
      <c r="IO24" s="10"/>
      <c r="IP24" s="10"/>
      <c r="IQ24" s="10"/>
      <c r="IR24" s="10"/>
      <c r="IS24" s="10"/>
      <c r="IT24" s="10"/>
      <c r="IU24" s="10"/>
      <c r="IV24" s="10"/>
      <c r="IW24" s="10"/>
      <c r="IX24" s="10"/>
      <c r="IY24" s="10"/>
      <c r="IZ24" s="10"/>
      <c r="JA24" s="10"/>
      <c r="JB24" s="10"/>
      <c r="JC24" s="10"/>
      <c r="JD24" s="10"/>
      <c r="JE24" s="10"/>
      <c r="JF24" s="10"/>
      <c r="JG24" s="10"/>
      <c r="JH24" s="10"/>
      <c r="JI24" s="10"/>
      <c r="JJ24" s="10"/>
      <c r="JK24" s="10"/>
      <c r="JL24" s="10"/>
      <c r="JM24" s="10"/>
      <c r="JN24" s="10"/>
      <c r="JO24" s="10"/>
      <c r="JP24" s="10"/>
      <c r="JQ24" s="10"/>
      <c r="JR24" s="10"/>
      <c r="JS24" s="10"/>
      <c r="JT24" s="10"/>
      <c r="JU24" s="10"/>
      <c r="JV24" s="10"/>
      <c r="JW24" s="10"/>
      <c r="JX24" s="10"/>
      <c r="JY24" s="10"/>
      <c r="JZ24" s="10"/>
      <c r="KA24" s="10"/>
      <c r="KB24" s="10"/>
      <c r="KC24" s="10"/>
      <c r="KD24" s="10"/>
      <c r="KE24" s="10"/>
      <c r="KF24" s="10"/>
      <c r="KG24" s="10"/>
      <c r="KH24" s="10"/>
      <c r="KI24" s="10"/>
      <c r="KJ24" s="10"/>
      <c r="KK24" s="10"/>
      <c r="KL24" s="10"/>
      <c r="KM24" s="10"/>
      <c r="KN24" s="10"/>
      <c r="KO24" s="10"/>
      <c r="KP24" s="10"/>
      <c r="KQ24" s="10"/>
      <c r="KR24" s="10"/>
      <c r="KS24" s="10"/>
      <c r="KT24" s="10"/>
      <c r="KU24" s="10"/>
      <c r="KV24" s="10"/>
      <c r="KW24" s="10"/>
      <c r="KX24" s="10"/>
      <c r="KY24" s="10"/>
      <c r="KZ24" s="10"/>
      <c r="LA24" s="10"/>
      <c r="LB24" s="10"/>
      <c r="LC24" s="10"/>
      <c r="LD24" s="10"/>
      <c r="LE24" s="10"/>
      <c r="LF24" s="10"/>
      <c r="LG24" s="10"/>
      <c r="LH24" s="10"/>
      <c r="LI24" s="10"/>
      <c r="LJ24" s="10"/>
      <c r="LK24" s="10"/>
      <c r="LL24" s="10"/>
      <c r="LM24" s="10"/>
      <c r="LN24" s="10"/>
      <c r="LO24" s="10"/>
      <c r="LP24" s="10"/>
      <c r="LQ24" s="10"/>
      <c r="LR24" s="10"/>
      <c r="LS24" s="10"/>
      <c r="LT24" s="10"/>
      <c r="LU24" s="10"/>
      <c r="LV24" s="10"/>
      <c r="LW24" s="10"/>
      <c r="LX24" s="10"/>
      <c r="LY24" s="10"/>
      <c r="LZ24" s="10"/>
      <c r="MA24" s="10"/>
      <c r="MB24" s="10"/>
      <c r="MC24" s="10"/>
      <c r="MD24" s="10"/>
      <c r="ME24" s="10"/>
      <c r="MF24" s="10"/>
      <c r="MG24" s="10"/>
      <c r="MH24" s="10"/>
      <c r="MI24" s="10"/>
      <c r="MJ24" s="10"/>
      <c r="MK24" s="10"/>
      <c r="ML24" s="10"/>
      <c r="MM24" s="10"/>
      <c r="MN24" s="10"/>
      <c r="MO24" s="10"/>
      <c r="MP24" s="10"/>
      <c r="MQ24" s="10"/>
      <c r="MR24" s="10"/>
      <c r="MS24" s="10"/>
      <c r="MT24" s="10"/>
      <c r="MU24" s="10"/>
      <c r="MV24" s="10"/>
      <c r="MW24" s="10"/>
      <c r="MX24" s="10"/>
      <c r="MY24" s="10"/>
      <c r="MZ24" s="10"/>
      <c r="NA24" s="10"/>
      <c r="NB24" s="10"/>
      <c r="NC24" s="10"/>
      <c r="ND24" s="10"/>
      <c r="NE24" s="10"/>
      <c r="NF24" s="10"/>
      <c r="NG24" s="10"/>
      <c r="NH24" s="10"/>
      <c r="NI24" s="10"/>
      <c r="NJ24" s="10"/>
      <c r="NK24" s="10"/>
      <c r="NL24" s="10"/>
      <c r="NM24" s="10"/>
      <c r="NN24" s="10"/>
      <c r="NO24" s="10"/>
      <c r="NP24" s="10"/>
      <c r="NQ24" s="10"/>
      <c r="NR24" s="10"/>
      <c r="NS24" s="10"/>
      <c r="NT24" s="10"/>
      <c r="NU24" s="10"/>
      <c r="NV24" s="10"/>
      <c r="NW24" s="10"/>
      <c r="NX24" s="10"/>
      <c r="NY24" s="10"/>
      <c r="NZ24" s="10"/>
      <c r="OA24" s="10"/>
      <c r="OB24" s="10"/>
      <c r="OC24" s="10"/>
      <c r="OD24" s="10"/>
      <c r="OE24" s="10"/>
      <c r="OF24" s="10"/>
      <c r="OG24" s="10"/>
      <c r="OH24" s="10"/>
      <c r="OI24" s="10"/>
      <c r="OJ24" s="10"/>
      <c r="OK24" s="10"/>
      <c r="OL24" s="10"/>
      <c r="OM24" s="10"/>
      <c r="ON24" s="10"/>
      <c r="OO24" s="10"/>
      <c r="OP24" s="10"/>
      <c r="OQ24" s="10"/>
      <c r="OR24" s="10"/>
      <c r="OS24" s="10"/>
      <c r="OT24" s="10"/>
      <c r="OU24" s="10"/>
      <c r="OV24" s="10"/>
      <c r="OW24" s="10"/>
      <c r="OX24" s="10"/>
      <c r="OY24" s="10"/>
      <c r="OZ24" s="10"/>
      <c r="PA24" s="10"/>
      <c r="PB24" s="10"/>
      <c r="PC24" s="10"/>
      <c r="PD24" s="10"/>
      <c r="PE24" s="10"/>
      <c r="PF24" s="10"/>
      <c r="PG24" s="10"/>
      <c r="PH24" s="10"/>
      <c r="PI24" s="10"/>
      <c r="PJ24" s="10"/>
      <c r="PK24" s="10"/>
      <c r="PL24" s="10"/>
      <c r="PM24" s="10"/>
      <c r="PN24" s="10"/>
      <c r="PO24" s="10"/>
      <c r="PP24" s="10"/>
      <c r="PQ24" s="10"/>
      <c r="PR24" s="10"/>
      <c r="PS24" s="10"/>
      <c r="PT24" s="10"/>
      <c r="PU24" s="10"/>
      <c r="PV24" s="10"/>
      <c r="PW24" s="10"/>
      <c r="PX24" s="10"/>
      <c r="PY24" s="10"/>
      <c r="PZ24" s="10"/>
      <c r="QA24" s="10"/>
      <c r="QB24" s="10"/>
      <c r="QC24" s="10"/>
      <c r="QD24" s="10"/>
      <c r="QE24" s="10"/>
      <c r="QF24" s="10"/>
      <c r="QG24" s="10"/>
      <c r="QH24" s="10"/>
      <c r="QI24" s="10"/>
      <c r="QJ24" s="10"/>
      <c r="QK24" s="10"/>
      <c r="QL24" s="10"/>
      <c r="QM24" s="10"/>
      <c r="QN24" s="10"/>
      <c r="QO24" s="10"/>
      <c r="QP24" s="10"/>
      <c r="QQ24" s="10"/>
      <c r="QR24" s="10"/>
      <c r="QS24" s="10"/>
      <c r="QT24" s="10"/>
      <c r="QU24" s="10"/>
      <c r="QV24" s="10"/>
      <c r="QW24" s="10"/>
      <c r="QX24" s="10"/>
      <c r="QY24" s="10"/>
      <c r="QZ24" s="10"/>
      <c r="RA24" s="10"/>
      <c r="RB24" s="10"/>
      <c r="RC24" s="10"/>
      <c r="RD24" s="10"/>
      <c r="RE24" s="10"/>
      <c r="RF24" s="10"/>
      <c r="RG24" s="10"/>
      <c r="RH24" s="10"/>
      <c r="RI24" s="10"/>
      <c r="RJ24" s="10"/>
      <c r="RK24" s="10"/>
      <c r="RL24" s="10"/>
      <c r="RM24" s="10"/>
      <c r="RN24" s="10"/>
      <c r="RO24" s="10"/>
      <c r="RP24" s="10"/>
      <c r="RQ24" s="10"/>
      <c r="RR24" s="10"/>
      <c r="RS24" s="10"/>
      <c r="RT24" s="10"/>
      <c r="RU24" s="10"/>
      <c r="RV24" s="10"/>
      <c r="RW24" s="10"/>
      <c r="RX24" s="10"/>
      <c r="RY24" s="10"/>
      <c r="RZ24" s="10"/>
      <c r="SA24" s="10"/>
      <c r="SB24" s="10"/>
      <c r="SC24" s="10"/>
      <c r="SD24" s="10"/>
      <c r="SE24" s="10"/>
      <c r="SF24" s="10"/>
      <c r="SG24" s="10"/>
      <c r="SH24" s="10"/>
      <c r="SI24" s="10"/>
      <c r="SJ24" s="10"/>
      <c r="SK24" s="10"/>
      <c r="SL24" s="10"/>
      <c r="SM24" s="10"/>
      <c r="SN24" s="10"/>
      <c r="SO24" s="10"/>
      <c r="SP24" s="10"/>
      <c r="SQ24" s="10"/>
      <c r="SR24" s="10"/>
      <c r="SS24" s="10"/>
      <c r="ST24" s="10"/>
      <c r="SU24" s="10"/>
      <c r="SV24" s="10"/>
      <c r="SW24" s="10"/>
      <c r="SX24" s="10"/>
      <c r="SY24" s="10"/>
      <c r="SZ24" s="10"/>
      <c r="TA24" s="10"/>
      <c r="TB24" s="10"/>
      <c r="TC24" s="10"/>
      <c r="TD24" s="10"/>
      <c r="TE24" s="10"/>
      <c r="TF24" s="10"/>
      <c r="TG24" s="10"/>
      <c r="TH24" s="10"/>
      <c r="TI24" s="10"/>
      <c r="TJ24" s="10"/>
      <c r="TK24" s="10"/>
      <c r="TL24" s="10"/>
      <c r="TM24" s="10"/>
      <c r="TN24" s="10"/>
      <c r="TO24" s="10"/>
      <c r="TP24" s="10"/>
      <c r="TQ24" s="10"/>
      <c r="TR24" s="10"/>
      <c r="TS24" s="10"/>
      <c r="TT24" s="10"/>
      <c r="TU24" s="10"/>
      <c r="TV24" s="10"/>
      <c r="TW24" s="10"/>
      <c r="TX24" s="10"/>
      <c r="TY24" s="10"/>
      <c r="TZ24" s="10"/>
      <c r="UA24" s="10"/>
      <c r="UB24" s="10"/>
      <c r="UC24" s="10"/>
      <c r="UD24" s="10"/>
      <c r="UE24" s="10"/>
      <c r="UF24" s="10"/>
      <c r="UG24" s="10"/>
      <c r="UH24" s="10"/>
      <c r="UI24" s="10"/>
      <c r="UJ24" s="10"/>
      <c r="UK24" s="10"/>
      <c r="UL24" s="10"/>
      <c r="UM24" s="10"/>
      <c r="UN24" s="10"/>
      <c r="UO24" s="10"/>
      <c r="UP24" s="10"/>
      <c r="UQ24" s="10"/>
      <c r="UR24" s="10"/>
      <c r="US24" s="10"/>
      <c r="UT24" s="10"/>
      <c r="UU24" s="10"/>
      <c r="UV24" s="10"/>
      <c r="UW24" s="10"/>
      <c r="UX24" s="10"/>
      <c r="UY24" s="10"/>
      <c r="UZ24" s="10"/>
      <c r="VA24" s="10"/>
      <c r="VB24" s="10"/>
      <c r="VC24" s="10"/>
      <c r="VD24" s="10"/>
      <c r="VE24" s="10"/>
      <c r="VF24" s="10"/>
      <c r="VG24" s="10"/>
      <c r="VH24" s="10"/>
      <c r="VI24" s="10"/>
      <c r="VJ24" s="10"/>
      <c r="VK24" s="10"/>
      <c r="VL24" s="10"/>
      <c r="VM24" s="10"/>
      <c r="VN24" s="10"/>
      <c r="VO24" s="10"/>
      <c r="VP24" s="10"/>
      <c r="VQ24" s="10"/>
      <c r="VR24" s="10"/>
      <c r="VS24" s="10"/>
      <c r="VT24" s="10"/>
      <c r="VU24" s="10"/>
      <c r="VV24" s="10"/>
      <c r="VW24" s="10"/>
      <c r="VX24" s="10"/>
      <c r="VY24" s="10"/>
      <c r="VZ24" s="10"/>
      <c r="WA24" s="10"/>
      <c r="WB24" s="10"/>
      <c r="WC24" s="10"/>
      <c r="WD24" s="10"/>
      <c r="WE24" s="10"/>
      <c r="WF24" s="10"/>
      <c r="WG24" s="10"/>
      <c r="WH24" s="10"/>
      <c r="WI24" s="10"/>
      <c r="WJ24" s="10"/>
      <c r="WK24" s="10"/>
      <c r="WL24" s="10"/>
      <c r="WM24" s="10"/>
      <c r="WN24" s="10"/>
      <c r="WO24" s="10"/>
      <c r="WP24" s="10"/>
      <c r="WQ24" s="10"/>
      <c r="WR24" s="10"/>
      <c r="WS24" s="10"/>
      <c r="WT24" s="10"/>
      <c r="WU24" s="10"/>
      <c r="WV24" s="10"/>
      <c r="WW24" s="10"/>
      <c r="WX24" s="10"/>
      <c r="WY24" s="10"/>
      <c r="WZ24" s="10"/>
      <c r="XA24" s="10"/>
      <c r="XB24" s="10"/>
      <c r="XC24" s="10"/>
      <c r="XD24" s="10"/>
      <c r="XE24" s="10"/>
      <c r="XF24" s="10"/>
      <c r="XG24" s="10"/>
      <c r="XH24" s="10"/>
      <c r="XI24" s="10"/>
      <c r="XJ24" s="10"/>
      <c r="XK24" s="10"/>
      <c r="XL24" s="10"/>
      <c r="XM24" s="10"/>
      <c r="XN24" s="10"/>
      <c r="XO24" s="10"/>
      <c r="XP24" s="10"/>
      <c r="XQ24" s="10"/>
      <c r="XR24" s="10"/>
      <c r="XS24" s="10"/>
      <c r="XT24" s="10"/>
      <c r="XU24" s="10"/>
      <c r="XV24" s="10"/>
      <c r="XW24" s="10"/>
      <c r="XX24" s="10"/>
      <c r="XY24" s="10"/>
      <c r="XZ24" s="10"/>
      <c r="YA24" s="10"/>
      <c r="YB24" s="10"/>
      <c r="YC24" s="10"/>
      <c r="YD24" s="10"/>
      <c r="YE24" s="10"/>
      <c r="YF24" s="10"/>
      <c r="YG24" s="10"/>
      <c r="YH24" s="10"/>
      <c r="YI24" s="10"/>
      <c r="YJ24" s="10"/>
      <c r="YK24" s="10"/>
      <c r="YL24" s="10"/>
      <c r="YM24" s="10"/>
      <c r="YN24" s="10"/>
      <c r="YO24" s="10"/>
      <c r="YP24" s="10"/>
      <c r="YQ24" s="10"/>
      <c r="YR24" s="10"/>
      <c r="YS24" s="10"/>
      <c r="YT24" s="10"/>
      <c r="YU24" s="10"/>
      <c r="YV24" s="10"/>
      <c r="YW24" s="10"/>
      <c r="YX24" s="10"/>
      <c r="YY24" s="10"/>
      <c r="YZ24" s="10"/>
      <c r="ZA24" s="10"/>
      <c r="ZB24" s="10"/>
      <c r="ZC24" s="10"/>
      <c r="ZD24" s="10"/>
      <c r="ZE24" s="10"/>
      <c r="ZF24" s="10"/>
      <c r="ZG24" s="10"/>
      <c r="ZH24" s="10"/>
      <c r="ZI24" s="10"/>
      <c r="ZJ24" s="10"/>
      <c r="ZK24" s="10"/>
      <c r="ZL24" s="10"/>
      <c r="ZM24" s="10"/>
      <c r="ZN24" s="10"/>
      <c r="ZO24" s="10"/>
      <c r="ZP24" s="10"/>
      <c r="ZQ24" s="10"/>
      <c r="ZR24" s="10"/>
      <c r="ZS24" s="10"/>
      <c r="ZT24" s="10"/>
      <c r="ZU24" s="10"/>
      <c r="ZV24" s="10"/>
      <c r="ZW24" s="10"/>
      <c r="ZX24" s="10"/>
      <c r="ZY24" s="10"/>
      <c r="ZZ24" s="10"/>
      <c r="AAA24" s="10"/>
      <c r="AAB24" s="10"/>
      <c r="AAC24" s="10"/>
      <c r="AAD24" s="10"/>
      <c r="AAE24" s="10"/>
      <c r="AAF24" s="10"/>
      <c r="AAG24" s="10"/>
      <c r="AAH24" s="10"/>
      <c r="AAI24" s="10"/>
      <c r="AAJ24" s="10"/>
      <c r="AAK24" s="10"/>
      <c r="AAL24" s="10"/>
      <c r="AAM24" s="10"/>
      <c r="AAN24" s="10"/>
      <c r="AAO24" s="10"/>
      <c r="AAP24" s="10"/>
      <c r="AAQ24" s="10"/>
      <c r="AAR24" s="10"/>
      <c r="AAS24" s="10"/>
      <c r="AAT24" s="10"/>
      <c r="AAU24" s="10"/>
      <c r="AAV24" s="10"/>
      <c r="AAW24" s="10"/>
      <c r="AAX24" s="10"/>
      <c r="AAY24" s="10"/>
      <c r="AAZ24" s="10"/>
      <c r="ABA24" s="10"/>
      <c r="ABB24" s="10"/>
      <c r="ABC24" s="10"/>
      <c r="ABD24" s="10"/>
      <c r="ABE24" s="10"/>
      <c r="ABF24" s="10"/>
      <c r="ABG24" s="10"/>
      <c r="ABH24" s="10"/>
      <c r="ABI24" s="10"/>
      <c r="ABJ24" s="10"/>
      <c r="ABK24" s="10"/>
      <c r="ABL24" s="10"/>
    </row>
    <row r="25" spans="1:740" s="35" customFormat="1" x14ac:dyDescent="0.3">
      <c r="B25" s="36">
        <f t="shared" si="0"/>
        <v>4</v>
      </c>
      <c r="C25" s="37"/>
      <c r="D25" s="38"/>
      <c r="E25" s="39"/>
      <c r="F25" s="39"/>
      <c r="G25" s="39"/>
      <c r="H25" s="39"/>
      <c r="I25" s="39"/>
      <c r="J25" s="39" t="s">
        <v>1303</v>
      </c>
      <c r="K25" s="39"/>
      <c r="L25" s="39"/>
      <c r="M25" s="39"/>
      <c r="N25" s="41"/>
    </row>
    <row r="26" spans="1:740" s="21" customFormat="1" x14ac:dyDescent="0.3">
      <c r="A26" s="10"/>
      <c r="B26" s="13">
        <f t="shared" si="0"/>
        <v>3</v>
      </c>
      <c r="C26" s="16"/>
      <c r="D26" s="17" t="s">
        <v>1310</v>
      </c>
      <c r="E26" s="18" t="s">
        <v>1306</v>
      </c>
      <c r="F26" s="18"/>
      <c r="G26" s="18"/>
      <c r="H26" s="18"/>
      <c r="I26" s="18"/>
      <c r="J26" s="18" t="s">
        <v>1302</v>
      </c>
      <c r="K26" s="18">
        <v>12</v>
      </c>
      <c r="L26" s="19">
        <v>44775</v>
      </c>
      <c r="M26" s="19">
        <f t="shared" ref="M26:M31" si="1">EOMONTH(L26,K26)</f>
        <v>45169</v>
      </c>
      <c r="N26" s="2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10"/>
      <c r="GW26" s="10"/>
      <c r="GX26" s="10"/>
      <c r="GY26" s="10"/>
      <c r="GZ26" s="10"/>
      <c r="HA26" s="10"/>
      <c r="HB26" s="10"/>
      <c r="HC26" s="10"/>
      <c r="HD26" s="10"/>
      <c r="HE26" s="10"/>
      <c r="HF26" s="10"/>
      <c r="HG26" s="10"/>
      <c r="HH26" s="10"/>
      <c r="HI26" s="10"/>
      <c r="HJ26" s="10"/>
      <c r="HK26" s="10"/>
      <c r="HL26" s="10"/>
      <c r="HM26" s="10"/>
      <c r="HN26" s="10"/>
      <c r="HO26" s="10"/>
      <c r="HP26" s="10"/>
      <c r="HQ26" s="10"/>
      <c r="HR26" s="10"/>
      <c r="HS26" s="10"/>
      <c r="HT26" s="10"/>
      <c r="HU26" s="10"/>
      <c r="HV26" s="10"/>
      <c r="HW26" s="10"/>
      <c r="HX26" s="10"/>
      <c r="HY26" s="10"/>
      <c r="HZ26" s="10"/>
      <c r="IA26" s="10"/>
      <c r="IB26" s="10"/>
      <c r="IC26" s="10"/>
      <c r="ID26" s="10"/>
      <c r="IE26" s="10"/>
      <c r="IF26" s="10"/>
      <c r="IG26" s="10"/>
      <c r="IH26" s="10"/>
      <c r="II26" s="10"/>
      <c r="IJ26" s="10"/>
      <c r="IK26" s="10"/>
      <c r="IL26" s="10"/>
      <c r="IM26" s="10"/>
      <c r="IN26" s="10"/>
      <c r="IO26" s="10"/>
      <c r="IP26" s="10"/>
      <c r="IQ26" s="10"/>
      <c r="IR26" s="10"/>
      <c r="IS26" s="10"/>
      <c r="IT26" s="10"/>
      <c r="IU26" s="10"/>
      <c r="IV26" s="10"/>
      <c r="IW26" s="10"/>
      <c r="IX26" s="10"/>
      <c r="IY26" s="10"/>
      <c r="IZ26" s="10"/>
      <c r="JA26" s="10"/>
      <c r="JB26" s="10"/>
      <c r="JC26" s="10"/>
      <c r="JD26" s="10"/>
      <c r="JE26" s="10"/>
      <c r="JF26" s="10"/>
      <c r="JG26" s="10"/>
      <c r="JH26" s="10"/>
      <c r="JI26" s="10"/>
      <c r="JJ26" s="10"/>
      <c r="JK26" s="10"/>
      <c r="JL26" s="10"/>
      <c r="JM26" s="10"/>
      <c r="JN26" s="10"/>
      <c r="JO26" s="10"/>
      <c r="JP26" s="10"/>
      <c r="JQ26" s="10"/>
      <c r="JR26" s="10"/>
      <c r="JS26" s="10"/>
      <c r="JT26" s="10"/>
      <c r="JU26" s="10"/>
      <c r="JV26" s="10"/>
      <c r="JW26" s="10"/>
      <c r="JX26" s="10"/>
      <c r="JY26" s="10"/>
      <c r="JZ26" s="10"/>
      <c r="KA26" s="10"/>
      <c r="KB26" s="10"/>
      <c r="KC26" s="10"/>
      <c r="KD26" s="10"/>
      <c r="KE26" s="10"/>
      <c r="KF26" s="10"/>
      <c r="KG26" s="10"/>
      <c r="KH26" s="10"/>
      <c r="KI26" s="10"/>
      <c r="KJ26" s="10"/>
      <c r="KK26" s="10"/>
      <c r="KL26" s="10"/>
      <c r="KM26" s="10"/>
      <c r="KN26" s="10"/>
      <c r="KO26" s="10"/>
      <c r="KP26" s="10"/>
      <c r="KQ26" s="10"/>
      <c r="KR26" s="10"/>
      <c r="KS26" s="10"/>
      <c r="KT26" s="10"/>
      <c r="KU26" s="10"/>
      <c r="KV26" s="10"/>
      <c r="KW26" s="10"/>
      <c r="KX26" s="10"/>
      <c r="KY26" s="10"/>
      <c r="KZ26" s="10"/>
      <c r="LA26" s="10"/>
      <c r="LB26" s="10"/>
      <c r="LC26" s="10"/>
      <c r="LD26" s="10"/>
      <c r="LE26" s="10"/>
      <c r="LF26" s="10"/>
      <c r="LG26" s="10"/>
      <c r="LH26" s="10"/>
      <c r="LI26" s="10"/>
      <c r="LJ26" s="10"/>
      <c r="LK26" s="10"/>
      <c r="LL26" s="10"/>
      <c r="LM26" s="10"/>
      <c r="LN26" s="10"/>
      <c r="LO26" s="10"/>
      <c r="LP26" s="10"/>
      <c r="LQ26" s="10"/>
      <c r="LR26" s="10"/>
      <c r="LS26" s="10"/>
      <c r="LT26" s="10"/>
      <c r="LU26" s="10"/>
      <c r="LV26" s="10"/>
      <c r="LW26" s="10"/>
      <c r="LX26" s="10"/>
      <c r="LY26" s="10"/>
      <c r="LZ26" s="10"/>
      <c r="MA26" s="10"/>
      <c r="MB26" s="10"/>
      <c r="MC26" s="10"/>
      <c r="MD26" s="10"/>
      <c r="ME26" s="10"/>
      <c r="MF26" s="10"/>
      <c r="MG26" s="10"/>
      <c r="MH26" s="10"/>
      <c r="MI26" s="10"/>
      <c r="MJ26" s="10"/>
      <c r="MK26" s="10"/>
      <c r="ML26" s="10"/>
      <c r="MM26" s="10"/>
      <c r="MN26" s="10"/>
      <c r="MO26" s="10"/>
      <c r="MP26" s="10"/>
      <c r="MQ26" s="10"/>
      <c r="MR26" s="10"/>
      <c r="MS26" s="10"/>
      <c r="MT26" s="10"/>
      <c r="MU26" s="10"/>
      <c r="MV26" s="10"/>
      <c r="MW26" s="10"/>
      <c r="MX26" s="10"/>
      <c r="MY26" s="10"/>
      <c r="MZ26" s="10"/>
      <c r="NA26" s="10"/>
      <c r="NB26" s="10"/>
      <c r="NC26" s="10"/>
      <c r="ND26" s="10"/>
      <c r="NE26" s="10"/>
      <c r="NF26" s="10"/>
      <c r="NG26" s="10"/>
      <c r="NH26" s="10"/>
      <c r="NI26" s="10"/>
      <c r="NJ26" s="10"/>
      <c r="NK26" s="10"/>
      <c r="NL26" s="10"/>
      <c r="NM26" s="10"/>
      <c r="NN26" s="10"/>
      <c r="NO26" s="10"/>
      <c r="NP26" s="10"/>
      <c r="NQ26" s="10"/>
      <c r="NR26" s="10"/>
      <c r="NS26" s="10"/>
      <c r="NT26" s="10"/>
      <c r="NU26" s="10"/>
      <c r="NV26" s="10"/>
      <c r="NW26" s="10"/>
      <c r="NX26" s="10"/>
      <c r="NY26" s="10"/>
      <c r="NZ26" s="10"/>
      <c r="OA26" s="10"/>
      <c r="OB26" s="10"/>
      <c r="OC26" s="10"/>
      <c r="OD26" s="10"/>
      <c r="OE26" s="10"/>
      <c r="OF26" s="10"/>
      <c r="OG26" s="10"/>
      <c r="OH26" s="10"/>
      <c r="OI26" s="10"/>
      <c r="OJ26" s="10"/>
      <c r="OK26" s="10"/>
      <c r="OL26" s="10"/>
      <c r="OM26" s="10"/>
      <c r="ON26" s="10"/>
      <c r="OO26" s="10"/>
      <c r="OP26" s="10"/>
      <c r="OQ26" s="10"/>
      <c r="OR26" s="10"/>
      <c r="OS26" s="10"/>
      <c r="OT26" s="10"/>
      <c r="OU26" s="10"/>
      <c r="OV26" s="10"/>
      <c r="OW26" s="10"/>
      <c r="OX26" s="10"/>
      <c r="OY26" s="10"/>
      <c r="OZ26" s="10"/>
      <c r="PA26" s="10"/>
      <c r="PB26" s="10"/>
      <c r="PC26" s="10"/>
      <c r="PD26" s="10"/>
      <c r="PE26" s="10"/>
      <c r="PF26" s="10"/>
      <c r="PG26" s="10"/>
      <c r="PH26" s="10"/>
      <c r="PI26" s="10"/>
      <c r="PJ26" s="10"/>
      <c r="PK26" s="10"/>
      <c r="PL26" s="10"/>
      <c r="PM26" s="10"/>
      <c r="PN26" s="10"/>
      <c r="PO26" s="10"/>
      <c r="PP26" s="10"/>
      <c r="PQ26" s="10"/>
      <c r="PR26" s="10"/>
      <c r="PS26" s="10"/>
      <c r="PT26" s="10"/>
      <c r="PU26" s="10"/>
      <c r="PV26" s="10"/>
      <c r="PW26" s="10"/>
      <c r="PX26" s="10"/>
      <c r="PY26" s="10"/>
      <c r="PZ26" s="10"/>
      <c r="QA26" s="10"/>
      <c r="QB26" s="10"/>
      <c r="QC26" s="10"/>
      <c r="QD26" s="10"/>
      <c r="QE26" s="10"/>
      <c r="QF26" s="10"/>
      <c r="QG26" s="10"/>
      <c r="QH26" s="10"/>
      <c r="QI26" s="10"/>
      <c r="QJ26" s="10"/>
      <c r="QK26" s="10"/>
      <c r="QL26" s="10"/>
      <c r="QM26" s="10"/>
      <c r="QN26" s="10"/>
      <c r="QO26" s="10"/>
      <c r="QP26" s="10"/>
      <c r="QQ26" s="10"/>
      <c r="QR26" s="10"/>
      <c r="QS26" s="10"/>
      <c r="QT26" s="10"/>
      <c r="QU26" s="10"/>
      <c r="QV26" s="10"/>
      <c r="QW26" s="10"/>
      <c r="QX26" s="10"/>
      <c r="QY26" s="10"/>
      <c r="QZ26" s="10"/>
      <c r="RA26" s="10"/>
      <c r="RB26" s="10"/>
      <c r="RC26" s="10"/>
      <c r="RD26" s="10"/>
      <c r="RE26" s="10"/>
      <c r="RF26" s="10"/>
      <c r="RG26" s="10"/>
      <c r="RH26" s="10"/>
      <c r="RI26" s="10"/>
      <c r="RJ26" s="10"/>
      <c r="RK26" s="10"/>
      <c r="RL26" s="10"/>
      <c r="RM26" s="10"/>
      <c r="RN26" s="10"/>
      <c r="RO26" s="10"/>
      <c r="RP26" s="10"/>
      <c r="RQ26" s="10"/>
      <c r="RR26" s="10"/>
      <c r="RS26" s="10"/>
      <c r="RT26" s="10"/>
      <c r="RU26" s="10"/>
      <c r="RV26" s="10"/>
      <c r="RW26" s="10"/>
      <c r="RX26" s="10"/>
      <c r="RY26" s="10"/>
      <c r="RZ26" s="10"/>
      <c r="SA26" s="10"/>
      <c r="SB26" s="10"/>
      <c r="SC26" s="10"/>
      <c r="SD26" s="10"/>
      <c r="SE26" s="10"/>
      <c r="SF26" s="10"/>
      <c r="SG26" s="10"/>
      <c r="SH26" s="10"/>
      <c r="SI26" s="10"/>
      <c r="SJ26" s="10"/>
      <c r="SK26" s="10"/>
      <c r="SL26" s="10"/>
      <c r="SM26" s="10"/>
      <c r="SN26" s="10"/>
      <c r="SO26" s="10"/>
      <c r="SP26" s="10"/>
      <c r="SQ26" s="10"/>
      <c r="SR26" s="10"/>
      <c r="SS26" s="10"/>
      <c r="ST26" s="10"/>
      <c r="SU26" s="10"/>
      <c r="SV26" s="10"/>
      <c r="SW26" s="10"/>
      <c r="SX26" s="10"/>
      <c r="SY26" s="10"/>
      <c r="SZ26" s="10"/>
      <c r="TA26" s="10"/>
      <c r="TB26" s="10"/>
      <c r="TC26" s="10"/>
      <c r="TD26" s="10"/>
      <c r="TE26" s="10"/>
      <c r="TF26" s="10"/>
      <c r="TG26" s="10"/>
      <c r="TH26" s="10"/>
      <c r="TI26" s="10"/>
      <c r="TJ26" s="10"/>
      <c r="TK26" s="10"/>
      <c r="TL26" s="10"/>
      <c r="TM26" s="10"/>
      <c r="TN26" s="10"/>
      <c r="TO26" s="10"/>
      <c r="TP26" s="10"/>
      <c r="TQ26" s="10"/>
      <c r="TR26" s="10"/>
      <c r="TS26" s="10"/>
      <c r="TT26" s="10"/>
      <c r="TU26" s="10"/>
      <c r="TV26" s="10"/>
      <c r="TW26" s="10"/>
      <c r="TX26" s="10"/>
      <c r="TY26" s="10"/>
      <c r="TZ26" s="10"/>
      <c r="UA26" s="10"/>
      <c r="UB26" s="10"/>
      <c r="UC26" s="10"/>
      <c r="UD26" s="10"/>
      <c r="UE26" s="10"/>
      <c r="UF26" s="10"/>
      <c r="UG26" s="10"/>
      <c r="UH26" s="10"/>
      <c r="UI26" s="10"/>
      <c r="UJ26" s="10"/>
      <c r="UK26" s="10"/>
      <c r="UL26" s="10"/>
      <c r="UM26" s="10"/>
      <c r="UN26" s="10"/>
      <c r="UO26" s="10"/>
      <c r="UP26" s="10"/>
      <c r="UQ26" s="10"/>
      <c r="UR26" s="10"/>
      <c r="US26" s="10"/>
      <c r="UT26" s="10"/>
      <c r="UU26" s="10"/>
      <c r="UV26" s="10"/>
      <c r="UW26" s="10"/>
      <c r="UX26" s="10"/>
      <c r="UY26" s="10"/>
      <c r="UZ26" s="10"/>
      <c r="VA26" s="10"/>
      <c r="VB26" s="10"/>
      <c r="VC26" s="10"/>
      <c r="VD26" s="10"/>
      <c r="VE26" s="10"/>
      <c r="VF26" s="10"/>
      <c r="VG26" s="10"/>
      <c r="VH26" s="10"/>
      <c r="VI26" s="10"/>
      <c r="VJ26" s="10"/>
      <c r="VK26" s="10"/>
      <c r="VL26" s="10"/>
      <c r="VM26" s="10"/>
      <c r="VN26" s="10"/>
      <c r="VO26" s="10"/>
      <c r="VP26" s="10"/>
      <c r="VQ26" s="10"/>
      <c r="VR26" s="10"/>
      <c r="VS26" s="10"/>
      <c r="VT26" s="10"/>
      <c r="VU26" s="10"/>
      <c r="VV26" s="10"/>
      <c r="VW26" s="10"/>
      <c r="VX26" s="10"/>
      <c r="VY26" s="10"/>
      <c r="VZ26" s="10"/>
      <c r="WA26" s="10"/>
      <c r="WB26" s="10"/>
      <c r="WC26" s="10"/>
      <c r="WD26" s="10"/>
      <c r="WE26" s="10"/>
      <c r="WF26" s="10"/>
      <c r="WG26" s="10"/>
      <c r="WH26" s="10"/>
      <c r="WI26" s="10"/>
      <c r="WJ26" s="10"/>
      <c r="WK26" s="10"/>
      <c r="WL26" s="10"/>
      <c r="WM26" s="10"/>
      <c r="WN26" s="10"/>
      <c r="WO26" s="10"/>
      <c r="WP26" s="10"/>
      <c r="WQ26" s="10"/>
      <c r="WR26" s="10"/>
      <c r="WS26" s="10"/>
      <c r="WT26" s="10"/>
      <c r="WU26" s="10"/>
      <c r="WV26" s="10"/>
      <c r="WW26" s="10"/>
      <c r="WX26" s="10"/>
      <c r="WY26" s="10"/>
      <c r="WZ26" s="10"/>
      <c r="XA26" s="10"/>
      <c r="XB26" s="10"/>
      <c r="XC26" s="10"/>
      <c r="XD26" s="10"/>
      <c r="XE26" s="10"/>
      <c r="XF26" s="10"/>
      <c r="XG26" s="10"/>
      <c r="XH26" s="10"/>
      <c r="XI26" s="10"/>
      <c r="XJ26" s="10"/>
      <c r="XK26" s="10"/>
      <c r="XL26" s="10"/>
      <c r="XM26" s="10"/>
      <c r="XN26" s="10"/>
      <c r="XO26" s="10"/>
      <c r="XP26" s="10"/>
      <c r="XQ26" s="10"/>
      <c r="XR26" s="10"/>
      <c r="XS26" s="10"/>
      <c r="XT26" s="10"/>
      <c r="XU26" s="10"/>
      <c r="XV26" s="10"/>
      <c r="XW26" s="10"/>
      <c r="XX26" s="10"/>
      <c r="XY26" s="10"/>
      <c r="XZ26" s="10"/>
      <c r="YA26" s="10"/>
      <c r="YB26" s="10"/>
      <c r="YC26" s="10"/>
      <c r="YD26" s="10"/>
      <c r="YE26" s="10"/>
      <c r="YF26" s="10"/>
      <c r="YG26" s="10"/>
      <c r="YH26" s="10"/>
      <c r="YI26" s="10"/>
      <c r="YJ26" s="10"/>
      <c r="YK26" s="10"/>
      <c r="YL26" s="10"/>
      <c r="YM26" s="10"/>
      <c r="YN26" s="10"/>
      <c r="YO26" s="10"/>
      <c r="YP26" s="10"/>
      <c r="YQ26" s="10"/>
      <c r="YR26" s="10"/>
      <c r="YS26" s="10"/>
      <c r="YT26" s="10"/>
      <c r="YU26" s="10"/>
      <c r="YV26" s="10"/>
      <c r="YW26" s="10"/>
      <c r="YX26" s="10"/>
      <c r="YY26" s="10"/>
      <c r="YZ26" s="10"/>
      <c r="ZA26" s="10"/>
      <c r="ZB26" s="10"/>
      <c r="ZC26" s="10"/>
      <c r="ZD26" s="10"/>
      <c r="ZE26" s="10"/>
      <c r="ZF26" s="10"/>
      <c r="ZG26" s="10"/>
      <c r="ZH26" s="10"/>
      <c r="ZI26" s="10"/>
      <c r="ZJ26" s="10"/>
      <c r="ZK26" s="10"/>
      <c r="ZL26" s="10"/>
      <c r="ZM26" s="10"/>
      <c r="ZN26" s="10"/>
      <c r="ZO26" s="10"/>
      <c r="ZP26" s="10"/>
      <c r="ZQ26" s="10"/>
      <c r="ZR26" s="10"/>
      <c r="ZS26" s="10"/>
      <c r="ZT26" s="10"/>
      <c r="ZU26" s="10"/>
      <c r="ZV26" s="10"/>
      <c r="ZW26" s="10"/>
      <c r="ZX26" s="10"/>
      <c r="ZY26" s="10"/>
      <c r="ZZ26" s="10"/>
      <c r="AAA26" s="10"/>
      <c r="AAB26" s="10"/>
      <c r="AAC26" s="10"/>
      <c r="AAD26" s="10"/>
      <c r="AAE26" s="10"/>
      <c r="AAF26" s="10"/>
      <c r="AAG26" s="10"/>
      <c r="AAH26" s="10"/>
      <c r="AAI26" s="10"/>
      <c r="AAJ26" s="10"/>
      <c r="AAK26" s="10"/>
      <c r="AAL26" s="10"/>
      <c r="AAM26" s="10"/>
      <c r="AAN26" s="10"/>
      <c r="AAO26" s="10"/>
      <c r="AAP26" s="10"/>
      <c r="AAQ26" s="10"/>
      <c r="AAR26" s="10"/>
      <c r="AAS26" s="10"/>
      <c r="AAT26" s="10"/>
      <c r="AAU26" s="10"/>
      <c r="AAV26" s="10"/>
      <c r="AAW26" s="10"/>
      <c r="AAX26" s="10"/>
      <c r="AAY26" s="10"/>
      <c r="AAZ26" s="10"/>
      <c r="ABA26" s="10"/>
      <c r="ABB26" s="10"/>
      <c r="ABC26" s="10"/>
      <c r="ABD26" s="10"/>
      <c r="ABE26" s="10"/>
      <c r="ABF26" s="10"/>
      <c r="ABG26" s="10"/>
      <c r="ABH26" s="10"/>
      <c r="ABI26" s="10"/>
      <c r="ABJ26" s="10"/>
      <c r="ABK26" s="10"/>
      <c r="ABL26" s="10"/>
    </row>
    <row r="27" spans="1:740" s="35" customFormat="1" x14ac:dyDescent="0.3">
      <c r="B27" s="36">
        <f t="shared" si="0"/>
        <v>3</v>
      </c>
      <c r="C27" s="37"/>
      <c r="D27" s="38" t="s">
        <v>1310</v>
      </c>
      <c r="E27" s="39" t="s">
        <v>1306</v>
      </c>
      <c r="F27" s="39"/>
      <c r="G27" s="40">
        <v>44567</v>
      </c>
      <c r="H27" s="40">
        <v>44575</v>
      </c>
      <c r="I27" s="40">
        <v>44579</v>
      </c>
      <c r="J27" s="39" t="s">
        <v>1302</v>
      </c>
      <c r="K27" s="39">
        <v>12</v>
      </c>
      <c r="L27" s="40">
        <v>44607</v>
      </c>
      <c r="M27" s="40">
        <f t="shared" si="1"/>
        <v>44985</v>
      </c>
      <c r="N27" s="41"/>
    </row>
    <row r="28" spans="1:740" s="21" customFormat="1" x14ac:dyDescent="0.3">
      <c r="A28" s="10"/>
      <c r="B28" s="13">
        <f t="shared" si="0"/>
        <v>3</v>
      </c>
      <c r="C28" s="16"/>
      <c r="D28" s="17" t="s">
        <v>1311</v>
      </c>
      <c r="E28" s="18" t="s">
        <v>1312</v>
      </c>
      <c r="F28" s="18"/>
      <c r="G28" s="18"/>
      <c r="H28" s="18"/>
      <c r="I28" s="19">
        <v>45105</v>
      </c>
      <c r="J28" s="18" t="s">
        <v>1302</v>
      </c>
      <c r="K28" s="18">
        <v>12</v>
      </c>
      <c r="L28" s="19">
        <v>45133</v>
      </c>
      <c r="M28" s="19">
        <f t="shared" si="1"/>
        <v>45504</v>
      </c>
      <c r="N28" s="20" t="s">
        <v>1313</v>
      </c>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c r="FZ28" s="10"/>
      <c r="GA28" s="10"/>
      <c r="GB28" s="10"/>
      <c r="GC28" s="10"/>
      <c r="GD28" s="10"/>
      <c r="GE28" s="10"/>
      <c r="GF28" s="10"/>
      <c r="GG28" s="10"/>
      <c r="GH28" s="10"/>
      <c r="GI28" s="10"/>
      <c r="GJ28" s="10"/>
      <c r="GK28" s="10"/>
      <c r="GL28" s="10"/>
      <c r="GM28" s="10"/>
      <c r="GN28" s="10"/>
      <c r="GO28" s="10"/>
      <c r="GP28" s="10"/>
      <c r="GQ28" s="10"/>
      <c r="GR28" s="10"/>
      <c r="GS28" s="10"/>
      <c r="GT28" s="10"/>
      <c r="GU28" s="10"/>
      <c r="GV28" s="10"/>
      <c r="GW28" s="10"/>
      <c r="GX28" s="10"/>
      <c r="GY28" s="10"/>
      <c r="GZ28" s="10"/>
      <c r="HA28" s="10"/>
      <c r="HB28" s="10"/>
      <c r="HC28" s="10"/>
      <c r="HD28" s="10"/>
      <c r="HE28" s="10"/>
      <c r="HF28" s="10"/>
      <c r="HG28" s="10"/>
      <c r="HH28" s="10"/>
      <c r="HI28" s="10"/>
      <c r="HJ28" s="10"/>
      <c r="HK28" s="10"/>
      <c r="HL28" s="10"/>
      <c r="HM28" s="10"/>
      <c r="HN28" s="10"/>
      <c r="HO28" s="10"/>
      <c r="HP28" s="10"/>
      <c r="HQ28" s="10"/>
      <c r="HR28" s="10"/>
      <c r="HS28" s="10"/>
      <c r="HT28" s="10"/>
      <c r="HU28" s="10"/>
      <c r="HV28" s="10"/>
      <c r="HW28" s="10"/>
      <c r="HX28" s="10"/>
      <c r="HY28" s="10"/>
      <c r="HZ28" s="10"/>
      <c r="IA28" s="10"/>
      <c r="IB28" s="10"/>
      <c r="IC28" s="10"/>
      <c r="ID28" s="10"/>
      <c r="IE28" s="10"/>
      <c r="IF28" s="10"/>
      <c r="IG28" s="10"/>
      <c r="IH28" s="10"/>
      <c r="II28" s="10"/>
      <c r="IJ28" s="10"/>
      <c r="IK28" s="10"/>
      <c r="IL28" s="10"/>
      <c r="IM28" s="10"/>
      <c r="IN28" s="10"/>
      <c r="IO28" s="10"/>
      <c r="IP28" s="10"/>
      <c r="IQ28" s="10"/>
      <c r="IR28" s="10"/>
      <c r="IS28" s="10"/>
      <c r="IT28" s="10"/>
      <c r="IU28" s="10"/>
      <c r="IV28" s="10"/>
      <c r="IW28" s="10"/>
      <c r="IX28" s="10"/>
      <c r="IY28" s="10"/>
      <c r="IZ28" s="10"/>
      <c r="JA28" s="10"/>
      <c r="JB28" s="10"/>
      <c r="JC28" s="10"/>
      <c r="JD28" s="10"/>
      <c r="JE28" s="10"/>
      <c r="JF28" s="10"/>
      <c r="JG28" s="10"/>
      <c r="JH28" s="10"/>
      <c r="JI28" s="10"/>
      <c r="JJ28" s="10"/>
      <c r="JK28" s="10"/>
      <c r="JL28" s="10"/>
      <c r="JM28" s="10"/>
      <c r="JN28" s="10"/>
      <c r="JO28" s="10"/>
      <c r="JP28" s="10"/>
      <c r="JQ28" s="10"/>
      <c r="JR28" s="10"/>
      <c r="JS28" s="10"/>
      <c r="JT28" s="10"/>
      <c r="JU28" s="10"/>
      <c r="JV28" s="10"/>
      <c r="JW28" s="10"/>
      <c r="JX28" s="10"/>
      <c r="JY28" s="10"/>
      <c r="JZ28" s="10"/>
      <c r="KA28" s="10"/>
      <c r="KB28" s="10"/>
      <c r="KC28" s="10"/>
      <c r="KD28" s="10"/>
      <c r="KE28" s="10"/>
      <c r="KF28" s="10"/>
      <c r="KG28" s="10"/>
      <c r="KH28" s="10"/>
      <c r="KI28" s="10"/>
      <c r="KJ28" s="10"/>
      <c r="KK28" s="10"/>
      <c r="KL28" s="10"/>
      <c r="KM28" s="10"/>
      <c r="KN28" s="10"/>
      <c r="KO28" s="10"/>
      <c r="KP28" s="10"/>
      <c r="KQ28" s="10"/>
      <c r="KR28" s="10"/>
      <c r="KS28" s="10"/>
      <c r="KT28" s="10"/>
      <c r="KU28" s="10"/>
      <c r="KV28" s="10"/>
      <c r="KW28" s="10"/>
      <c r="KX28" s="10"/>
      <c r="KY28" s="10"/>
      <c r="KZ28" s="10"/>
      <c r="LA28" s="10"/>
      <c r="LB28" s="10"/>
      <c r="LC28" s="10"/>
      <c r="LD28" s="10"/>
      <c r="LE28" s="10"/>
      <c r="LF28" s="10"/>
      <c r="LG28" s="10"/>
      <c r="LH28" s="10"/>
      <c r="LI28" s="10"/>
      <c r="LJ28" s="10"/>
      <c r="LK28" s="10"/>
      <c r="LL28" s="10"/>
      <c r="LM28" s="10"/>
      <c r="LN28" s="10"/>
      <c r="LO28" s="10"/>
      <c r="LP28" s="10"/>
      <c r="LQ28" s="10"/>
      <c r="LR28" s="10"/>
      <c r="LS28" s="10"/>
      <c r="LT28" s="10"/>
      <c r="LU28" s="10"/>
      <c r="LV28" s="10"/>
      <c r="LW28" s="10"/>
      <c r="LX28" s="10"/>
      <c r="LY28" s="10"/>
      <c r="LZ28" s="10"/>
      <c r="MA28" s="10"/>
      <c r="MB28" s="10"/>
      <c r="MC28" s="10"/>
      <c r="MD28" s="10"/>
      <c r="ME28" s="10"/>
      <c r="MF28" s="10"/>
      <c r="MG28" s="10"/>
      <c r="MH28" s="10"/>
      <c r="MI28" s="10"/>
      <c r="MJ28" s="10"/>
      <c r="MK28" s="10"/>
      <c r="ML28" s="10"/>
      <c r="MM28" s="10"/>
      <c r="MN28" s="10"/>
      <c r="MO28" s="10"/>
      <c r="MP28" s="10"/>
      <c r="MQ28" s="10"/>
      <c r="MR28" s="10"/>
      <c r="MS28" s="10"/>
      <c r="MT28" s="10"/>
      <c r="MU28" s="10"/>
      <c r="MV28" s="10"/>
      <c r="MW28" s="10"/>
      <c r="MX28" s="10"/>
      <c r="MY28" s="10"/>
      <c r="MZ28" s="10"/>
      <c r="NA28" s="10"/>
      <c r="NB28" s="10"/>
      <c r="NC28" s="10"/>
      <c r="ND28" s="10"/>
      <c r="NE28" s="10"/>
      <c r="NF28" s="10"/>
      <c r="NG28" s="10"/>
      <c r="NH28" s="10"/>
      <c r="NI28" s="10"/>
      <c r="NJ28" s="10"/>
      <c r="NK28" s="10"/>
      <c r="NL28" s="10"/>
      <c r="NM28" s="10"/>
      <c r="NN28" s="10"/>
      <c r="NO28" s="10"/>
      <c r="NP28" s="10"/>
      <c r="NQ28" s="10"/>
      <c r="NR28" s="10"/>
      <c r="NS28" s="10"/>
      <c r="NT28" s="10"/>
      <c r="NU28" s="10"/>
      <c r="NV28" s="10"/>
      <c r="NW28" s="10"/>
      <c r="NX28" s="10"/>
      <c r="NY28" s="10"/>
      <c r="NZ28" s="10"/>
      <c r="OA28" s="10"/>
      <c r="OB28" s="10"/>
      <c r="OC28" s="10"/>
      <c r="OD28" s="10"/>
      <c r="OE28" s="10"/>
      <c r="OF28" s="10"/>
      <c r="OG28" s="10"/>
      <c r="OH28" s="10"/>
      <c r="OI28" s="10"/>
      <c r="OJ28" s="10"/>
      <c r="OK28" s="10"/>
      <c r="OL28" s="10"/>
      <c r="OM28" s="10"/>
      <c r="ON28" s="10"/>
      <c r="OO28" s="10"/>
      <c r="OP28" s="10"/>
      <c r="OQ28" s="10"/>
      <c r="OR28" s="10"/>
      <c r="OS28" s="10"/>
      <c r="OT28" s="10"/>
      <c r="OU28" s="10"/>
      <c r="OV28" s="10"/>
      <c r="OW28" s="10"/>
      <c r="OX28" s="10"/>
      <c r="OY28" s="10"/>
      <c r="OZ28" s="10"/>
      <c r="PA28" s="10"/>
      <c r="PB28" s="10"/>
      <c r="PC28" s="10"/>
      <c r="PD28" s="10"/>
      <c r="PE28" s="10"/>
      <c r="PF28" s="10"/>
      <c r="PG28" s="10"/>
      <c r="PH28" s="10"/>
      <c r="PI28" s="10"/>
      <c r="PJ28" s="10"/>
      <c r="PK28" s="10"/>
      <c r="PL28" s="10"/>
      <c r="PM28" s="10"/>
      <c r="PN28" s="10"/>
      <c r="PO28" s="10"/>
      <c r="PP28" s="10"/>
      <c r="PQ28" s="10"/>
      <c r="PR28" s="10"/>
      <c r="PS28" s="10"/>
      <c r="PT28" s="10"/>
      <c r="PU28" s="10"/>
      <c r="PV28" s="10"/>
      <c r="PW28" s="10"/>
      <c r="PX28" s="10"/>
      <c r="PY28" s="10"/>
      <c r="PZ28" s="10"/>
      <c r="QA28" s="10"/>
      <c r="QB28" s="10"/>
      <c r="QC28" s="10"/>
      <c r="QD28" s="10"/>
      <c r="QE28" s="10"/>
      <c r="QF28" s="10"/>
      <c r="QG28" s="10"/>
      <c r="QH28" s="10"/>
      <c r="QI28" s="10"/>
      <c r="QJ28" s="10"/>
      <c r="QK28" s="10"/>
      <c r="QL28" s="10"/>
      <c r="QM28" s="10"/>
      <c r="QN28" s="10"/>
      <c r="QO28" s="10"/>
      <c r="QP28" s="10"/>
      <c r="QQ28" s="10"/>
      <c r="QR28" s="10"/>
      <c r="QS28" s="10"/>
      <c r="QT28" s="10"/>
      <c r="QU28" s="10"/>
      <c r="QV28" s="10"/>
      <c r="QW28" s="10"/>
      <c r="QX28" s="10"/>
      <c r="QY28" s="10"/>
      <c r="QZ28" s="10"/>
      <c r="RA28" s="10"/>
      <c r="RB28" s="10"/>
      <c r="RC28" s="10"/>
      <c r="RD28" s="10"/>
      <c r="RE28" s="10"/>
      <c r="RF28" s="10"/>
      <c r="RG28" s="10"/>
      <c r="RH28" s="10"/>
      <c r="RI28" s="10"/>
      <c r="RJ28" s="10"/>
      <c r="RK28" s="10"/>
      <c r="RL28" s="10"/>
      <c r="RM28" s="10"/>
      <c r="RN28" s="10"/>
      <c r="RO28" s="10"/>
      <c r="RP28" s="10"/>
      <c r="RQ28" s="10"/>
      <c r="RR28" s="10"/>
      <c r="RS28" s="10"/>
      <c r="RT28" s="10"/>
      <c r="RU28" s="10"/>
      <c r="RV28" s="10"/>
      <c r="RW28" s="10"/>
      <c r="RX28" s="10"/>
      <c r="RY28" s="10"/>
      <c r="RZ28" s="10"/>
      <c r="SA28" s="10"/>
      <c r="SB28" s="10"/>
      <c r="SC28" s="10"/>
      <c r="SD28" s="10"/>
      <c r="SE28" s="10"/>
      <c r="SF28" s="10"/>
      <c r="SG28" s="10"/>
      <c r="SH28" s="10"/>
      <c r="SI28" s="10"/>
      <c r="SJ28" s="10"/>
      <c r="SK28" s="10"/>
      <c r="SL28" s="10"/>
      <c r="SM28" s="10"/>
      <c r="SN28" s="10"/>
      <c r="SO28" s="10"/>
      <c r="SP28" s="10"/>
      <c r="SQ28" s="10"/>
      <c r="SR28" s="10"/>
      <c r="SS28" s="10"/>
      <c r="ST28" s="10"/>
      <c r="SU28" s="10"/>
      <c r="SV28" s="10"/>
      <c r="SW28" s="10"/>
      <c r="SX28" s="10"/>
      <c r="SY28" s="10"/>
      <c r="SZ28" s="10"/>
      <c r="TA28" s="10"/>
      <c r="TB28" s="10"/>
      <c r="TC28" s="10"/>
      <c r="TD28" s="10"/>
      <c r="TE28" s="10"/>
      <c r="TF28" s="10"/>
      <c r="TG28" s="10"/>
      <c r="TH28" s="10"/>
      <c r="TI28" s="10"/>
      <c r="TJ28" s="10"/>
      <c r="TK28" s="10"/>
      <c r="TL28" s="10"/>
      <c r="TM28" s="10"/>
      <c r="TN28" s="10"/>
      <c r="TO28" s="10"/>
      <c r="TP28" s="10"/>
      <c r="TQ28" s="10"/>
      <c r="TR28" s="10"/>
      <c r="TS28" s="10"/>
      <c r="TT28" s="10"/>
      <c r="TU28" s="10"/>
      <c r="TV28" s="10"/>
      <c r="TW28" s="10"/>
      <c r="TX28" s="10"/>
      <c r="TY28" s="10"/>
      <c r="TZ28" s="10"/>
      <c r="UA28" s="10"/>
      <c r="UB28" s="10"/>
      <c r="UC28" s="10"/>
      <c r="UD28" s="10"/>
      <c r="UE28" s="10"/>
      <c r="UF28" s="10"/>
      <c r="UG28" s="10"/>
      <c r="UH28" s="10"/>
      <c r="UI28" s="10"/>
      <c r="UJ28" s="10"/>
      <c r="UK28" s="10"/>
      <c r="UL28" s="10"/>
      <c r="UM28" s="10"/>
      <c r="UN28" s="10"/>
      <c r="UO28" s="10"/>
      <c r="UP28" s="10"/>
      <c r="UQ28" s="10"/>
      <c r="UR28" s="10"/>
      <c r="US28" s="10"/>
      <c r="UT28" s="10"/>
      <c r="UU28" s="10"/>
      <c r="UV28" s="10"/>
      <c r="UW28" s="10"/>
      <c r="UX28" s="10"/>
      <c r="UY28" s="10"/>
      <c r="UZ28" s="10"/>
      <c r="VA28" s="10"/>
      <c r="VB28" s="10"/>
      <c r="VC28" s="10"/>
      <c r="VD28" s="10"/>
      <c r="VE28" s="10"/>
      <c r="VF28" s="10"/>
      <c r="VG28" s="10"/>
      <c r="VH28" s="10"/>
      <c r="VI28" s="10"/>
      <c r="VJ28" s="10"/>
      <c r="VK28" s="10"/>
      <c r="VL28" s="10"/>
      <c r="VM28" s="10"/>
      <c r="VN28" s="10"/>
      <c r="VO28" s="10"/>
      <c r="VP28" s="10"/>
      <c r="VQ28" s="10"/>
      <c r="VR28" s="10"/>
      <c r="VS28" s="10"/>
      <c r="VT28" s="10"/>
      <c r="VU28" s="10"/>
      <c r="VV28" s="10"/>
      <c r="VW28" s="10"/>
      <c r="VX28" s="10"/>
      <c r="VY28" s="10"/>
      <c r="VZ28" s="10"/>
      <c r="WA28" s="10"/>
      <c r="WB28" s="10"/>
      <c r="WC28" s="10"/>
      <c r="WD28" s="10"/>
      <c r="WE28" s="10"/>
      <c r="WF28" s="10"/>
      <c r="WG28" s="10"/>
      <c r="WH28" s="10"/>
      <c r="WI28" s="10"/>
      <c r="WJ28" s="10"/>
      <c r="WK28" s="10"/>
      <c r="WL28" s="10"/>
      <c r="WM28" s="10"/>
      <c r="WN28" s="10"/>
      <c r="WO28" s="10"/>
      <c r="WP28" s="10"/>
      <c r="WQ28" s="10"/>
      <c r="WR28" s="10"/>
      <c r="WS28" s="10"/>
      <c r="WT28" s="10"/>
      <c r="WU28" s="10"/>
      <c r="WV28" s="10"/>
      <c r="WW28" s="10"/>
      <c r="WX28" s="10"/>
      <c r="WY28" s="10"/>
      <c r="WZ28" s="10"/>
      <c r="XA28" s="10"/>
      <c r="XB28" s="10"/>
      <c r="XC28" s="10"/>
      <c r="XD28" s="10"/>
      <c r="XE28" s="10"/>
      <c r="XF28" s="10"/>
      <c r="XG28" s="10"/>
      <c r="XH28" s="10"/>
      <c r="XI28" s="10"/>
      <c r="XJ28" s="10"/>
      <c r="XK28" s="10"/>
      <c r="XL28" s="10"/>
      <c r="XM28" s="10"/>
      <c r="XN28" s="10"/>
      <c r="XO28" s="10"/>
      <c r="XP28" s="10"/>
      <c r="XQ28" s="10"/>
      <c r="XR28" s="10"/>
      <c r="XS28" s="10"/>
      <c r="XT28" s="10"/>
      <c r="XU28" s="10"/>
      <c r="XV28" s="10"/>
      <c r="XW28" s="10"/>
      <c r="XX28" s="10"/>
      <c r="XY28" s="10"/>
      <c r="XZ28" s="10"/>
      <c r="YA28" s="10"/>
      <c r="YB28" s="10"/>
      <c r="YC28" s="10"/>
      <c r="YD28" s="10"/>
      <c r="YE28" s="10"/>
      <c r="YF28" s="10"/>
      <c r="YG28" s="10"/>
      <c r="YH28" s="10"/>
      <c r="YI28" s="10"/>
      <c r="YJ28" s="10"/>
      <c r="YK28" s="10"/>
      <c r="YL28" s="10"/>
      <c r="YM28" s="10"/>
      <c r="YN28" s="10"/>
      <c r="YO28" s="10"/>
      <c r="YP28" s="10"/>
      <c r="YQ28" s="10"/>
      <c r="YR28" s="10"/>
      <c r="YS28" s="10"/>
      <c r="YT28" s="10"/>
      <c r="YU28" s="10"/>
      <c r="YV28" s="10"/>
      <c r="YW28" s="10"/>
      <c r="YX28" s="10"/>
      <c r="YY28" s="10"/>
      <c r="YZ28" s="10"/>
      <c r="ZA28" s="10"/>
      <c r="ZB28" s="10"/>
      <c r="ZC28" s="10"/>
      <c r="ZD28" s="10"/>
      <c r="ZE28" s="10"/>
      <c r="ZF28" s="10"/>
      <c r="ZG28" s="10"/>
      <c r="ZH28" s="10"/>
      <c r="ZI28" s="10"/>
      <c r="ZJ28" s="10"/>
      <c r="ZK28" s="10"/>
      <c r="ZL28" s="10"/>
      <c r="ZM28" s="10"/>
      <c r="ZN28" s="10"/>
      <c r="ZO28" s="10"/>
      <c r="ZP28" s="10"/>
      <c r="ZQ28" s="10"/>
      <c r="ZR28" s="10"/>
      <c r="ZS28" s="10"/>
      <c r="ZT28" s="10"/>
      <c r="ZU28" s="10"/>
      <c r="ZV28" s="10"/>
      <c r="ZW28" s="10"/>
      <c r="ZX28" s="10"/>
      <c r="ZY28" s="10"/>
      <c r="ZZ28" s="10"/>
      <c r="AAA28" s="10"/>
      <c r="AAB28" s="10"/>
      <c r="AAC28" s="10"/>
      <c r="AAD28" s="10"/>
      <c r="AAE28" s="10"/>
      <c r="AAF28" s="10"/>
      <c r="AAG28" s="10"/>
      <c r="AAH28" s="10"/>
      <c r="AAI28" s="10"/>
      <c r="AAJ28" s="10"/>
      <c r="AAK28" s="10"/>
      <c r="AAL28" s="10"/>
      <c r="AAM28" s="10"/>
      <c r="AAN28" s="10"/>
      <c r="AAO28" s="10"/>
      <c r="AAP28" s="10"/>
      <c r="AAQ28" s="10"/>
      <c r="AAR28" s="10"/>
      <c r="AAS28" s="10"/>
      <c r="AAT28" s="10"/>
      <c r="AAU28" s="10"/>
      <c r="AAV28" s="10"/>
      <c r="AAW28" s="10"/>
      <c r="AAX28" s="10"/>
      <c r="AAY28" s="10"/>
      <c r="AAZ28" s="10"/>
      <c r="ABA28" s="10"/>
      <c r="ABB28" s="10"/>
      <c r="ABC28" s="10"/>
      <c r="ABD28" s="10"/>
      <c r="ABE28" s="10"/>
      <c r="ABF28" s="10"/>
      <c r="ABG28" s="10"/>
      <c r="ABH28" s="10"/>
      <c r="ABI28" s="10"/>
      <c r="ABJ28" s="10"/>
      <c r="ABK28" s="10"/>
      <c r="ABL28" s="10"/>
    </row>
    <row r="29" spans="1:740" s="35" customFormat="1" x14ac:dyDescent="0.3">
      <c r="B29" s="36">
        <f t="shared" si="0"/>
        <v>3</v>
      </c>
      <c r="C29" s="37"/>
      <c r="D29" s="38" t="s">
        <v>1310</v>
      </c>
      <c r="E29" s="39" t="s">
        <v>1306</v>
      </c>
      <c r="F29" s="39"/>
      <c r="G29" s="39"/>
      <c r="H29" s="39"/>
      <c r="I29" s="39"/>
      <c r="J29" s="39" t="s">
        <v>1302</v>
      </c>
      <c r="K29" s="39">
        <v>12</v>
      </c>
      <c r="L29" s="40">
        <v>44722</v>
      </c>
      <c r="M29" s="40">
        <f t="shared" si="1"/>
        <v>45107</v>
      </c>
      <c r="N29" s="41"/>
    </row>
    <row r="30" spans="1:740" s="21" customFormat="1" x14ac:dyDescent="0.3">
      <c r="A30" s="10"/>
      <c r="B30" s="13">
        <f t="shared" si="0"/>
        <v>3</v>
      </c>
      <c r="C30" s="16"/>
      <c r="D30" s="17" t="s">
        <v>1310</v>
      </c>
      <c r="E30" s="18" t="s">
        <v>1306</v>
      </c>
      <c r="F30" s="18"/>
      <c r="G30" s="18"/>
      <c r="H30" s="18"/>
      <c r="I30" s="18"/>
      <c r="J30" s="18" t="s">
        <v>1302</v>
      </c>
      <c r="K30" s="18">
        <v>12</v>
      </c>
      <c r="L30" s="19">
        <v>44741</v>
      </c>
      <c r="M30" s="19">
        <f t="shared" si="1"/>
        <v>45107</v>
      </c>
      <c r="N30" s="2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10"/>
      <c r="FN30" s="10"/>
      <c r="FO30" s="10"/>
      <c r="FP30" s="10"/>
      <c r="FQ30" s="10"/>
      <c r="FR30" s="10"/>
      <c r="FS30" s="10"/>
      <c r="FT30" s="10"/>
      <c r="FU30" s="10"/>
      <c r="FV30" s="10"/>
      <c r="FW30" s="10"/>
      <c r="FX30" s="10"/>
      <c r="FY30" s="10"/>
      <c r="FZ30" s="10"/>
      <c r="GA30" s="10"/>
      <c r="GB30" s="10"/>
      <c r="GC30" s="10"/>
      <c r="GD30" s="10"/>
      <c r="GE30" s="10"/>
      <c r="GF30" s="10"/>
      <c r="GG30" s="10"/>
      <c r="GH30" s="10"/>
      <c r="GI30" s="10"/>
      <c r="GJ30" s="10"/>
      <c r="GK30" s="10"/>
      <c r="GL30" s="10"/>
      <c r="GM30" s="10"/>
      <c r="GN30" s="10"/>
      <c r="GO30" s="10"/>
      <c r="GP30" s="10"/>
      <c r="GQ30" s="10"/>
      <c r="GR30" s="10"/>
      <c r="GS30" s="10"/>
      <c r="GT30" s="10"/>
      <c r="GU30" s="10"/>
      <c r="GV30" s="10"/>
      <c r="GW30" s="10"/>
      <c r="GX30" s="10"/>
      <c r="GY30" s="10"/>
      <c r="GZ30" s="10"/>
      <c r="HA30" s="10"/>
      <c r="HB30" s="10"/>
      <c r="HC30" s="10"/>
      <c r="HD30" s="10"/>
      <c r="HE30" s="10"/>
      <c r="HF30" s="10"/>
      <c r="HG30" s="10"/>
      <c r="HH30" s="10"/>
      <c r="HI30" s="10"/>
      <c r="HJ30" s="10"/>
      <c r="HK30" s="10"/>
      <c r="HL30" s="10"/>
      <c r="HM30" s="10"/>
      <c r="HN30" s="10"/>
      <c r="HO30" s="10"/>
      <c r="HP30" s="10"/>
      <c r="HQ30" s="10"/>
      <c r="HR30" s="10"/>
      <c r="HS30" s="10"/>
      <c r="HT30" s="10"/>
      <c r="HU30" s="10"/>
      <c r="HV30" s="10"/>
      <c r="HW30" s="10"/>
      <c r="HX30" s="10"/>
      <c r="HY30" s="10"/>
      <c r="HZ30" s="10"/>
      <c r="IA30" s="10"/>
      <c r="IB30" s="10"/>
      <c r="IC30" s="10"/>
      <c r="ID30" s="10"/>
      <c r="IE30" s="10"/>
      <c r="IF30" s="10"/>
      <c r="IG30" s="10"/>
      <c r="IH30" s="10"/>
      <c r="II30" s="10"/>
      <c r="IJ30" s="10"/>
      <c r="IK30" s="10"/>
      <c r="IL30" s="10"/>
      <c r="IM30" s="10"/>
      <c r="IN30" s="10"/>
      <c r="IO30" s="10"/>
      <c r="IP30" s="10"/>
      <c r="IQ30" s="10"/>
      <c r="IR30" s="10"/>
      <c r="IS30" s="10"/>
      <c r="IT30" s="10"/>
      <c r="IU30" s="10"/>
      <c r="IV30" s="10"/>
      <c r="IW30" s="10"/>
      <c r="IX30" s="10"/>
      <c r="IY30" s="10"/>
      <c r="IZ30" s="10"/>
      <c r="JA30" s="10"/>
      <c r="JB30" s="10"/>
      <c r="JC30" s="10"/>
      <c r="JD30" s="10"/>
      <c r="JE30" s="10"/>
      <c r="JF30" s="10"/>
      <c r="JG30" s="10"/>
      <c r="JH30" s="10"/>
      <c r="JI30" s="10"/>
      <c r="JJ30" s="10"/>
      <c r="JK30" s="10"/>
      <c r="JL30" s="10"/>
      <c r="JM30" s="10"/>
      <c r="JN30" s="10"/>
      <c r="JO30" s="10"/>
      <c r="JP30" s="10"/>
      <c r="JQ30" s="10"/>
      <c r="JR30" s="10"/>
      <c r="JS30" s="10"/>
      <c r="JT30" s="10"/>
      <c r="JU30" s="10"/>
      <c r="JV30" s="10"/>
      <c r="JW30" s="10"/>
      <c r="JX30" s="10"/>
      <c r="JY30" s="10"/>
      <c r="JZ30" s="10"/>
      <c r="KA30" s="10"/>
      <c r="KB30" s="10"/>
      <c r="KC30" s="10"/>
      <c r="KD30" s="10"/>
      <c r="KE30" s="10"/>
      <c r="KF30" s="10"/>
      <c r="KG30" s="10"/>
      <c r="KH30" s="10"/>
      <c r="KI30" s="10"/>
      <c r="KJ30" s="10"/>
      <c r="KK30" s="10"/>
      <c r="KL30" s="10"/>
      <c r="KM30" s="10"/>
      <c r="KN30" s="10"/>
      <c r="KO30" s="10"/>
      <c r="KP30" s="10"/>
      <c r="KQ30" s="10"/>
      <c r="KR30" s="10"/>
      <c r="KS30" s="10"/>
      <c r="KT30" s="10"/>
      <c r="KU30" s="10"/>
      <c r="KV30" s="10"/>
      <c r="KW30" s="10"/>
      <c r="KX30" s="10"/>
      <c r="KY30" s="10"/>
      <c r="KZ30" s="10"/>
      <c r="LA30" s="10"/>
      <c r="LB30" s="10"/>
      <c r="LC30" s="10"/>
      <c r="LD30" s="10"/>
      <c r="LE30" s="10"/>
      <c r="LF30" s="10"/>
      <c r="LG30" s="10"/>
      <c r="LH30" s="10"/>
      <c r="LI30" s="10"/>
      <c r="LJ30" s="10"/>
      <c r="LK30" s="10"/>
      <c r="LL30" s="10"/>
      <c r="LM30" s="10"/>
      <c r="LN30" s="10"/>
      <c r="LO30" s="10"/>
      <c r="LP30" s="10"/>
      <c r="LQ30" s="10"/>
      <c r="LR30" s="10"/>
      <c r="LS30" s="10"/>
      <c r="LT30" s="10"/>
      <c r="LU30" s="10"/>
      <c r="LV30" s="10"/>
      <c r="LW30" s="10"/>
      <c r="LX30" s="10"/>
      <c r="LY30" s="10"/>
      <c r="LZ30" s="10"/>
      <c r="MA30" s="10"/>
      <c r="MB30" s="10"/>
      <c r="MC30" s="10"/>
      <c r="MD30" s="10"/>
      <c r="ME30" s="10"/>
      <c r="MF30" s="10"/>
      <c r="MG30" s="10"/>
      <c r="MH30" s="10"/>
      <c r="MI30" s="10"/>
      <c r="MJ30" s="10"/>
      <c r="MK30" s="10"/>
      <c r="ML30" s="10"/>
      <c r="MM30" s="10"/>
      <c r="MN30" s="10"/>
      <c r="MO30" s="10"/>
      <c r="MP30" s="10"/>
      <c r="MQ30" s="10"/>
      <c r="MR30" s="10"/>
      <c r="MS30" s="10"/>
      <c r="MT30" s="10"/>
      <c r="MU30" s="10"/>
      <c r="MV30" s="10"/>
      <c r="MW30" s="10"/>
      <c r="MX30" s="10"/>
      <c r="MY30" s="10"/>
      <c r="MZ30" s="10"/>
      <c r="NA30" s="10"/>
      <c r="NB30" s="10"/>
      <c r="NC30" s="10"/>
      <c r="ND30" s="10"/>
      <c r="NE30" s="10"/>
      <c r="NF30" s="10"/>
      <c r="NG30" s="10"/>
      <c r="NH30" s="10"/>
      <c r="NI30" s="10"/>
      <c r="NJ30" s="10"/>
      <c r="NK30" s="10"/>
      <c r="NL30" s="10"/>
      <c r="NM30" s="10"/>
      <c r="NN30" s="10"/>
      <c r="NO30" s="10"/>
      <c r="NP30" s="10"/>
      <c r="NQ30" s="10"/>
      <c r="NR30" s="10"/>
      <c r="NS30" s="10"/>
      <c r="NT30" s="10"/>
      <c r="NU30" s="10"/>
      <c r="NV30" s="10"/>
      <c r="NW30" s="10"/>
      <c r="NX30" s="10"/>
      <c r="NY30" s="10"/>
      <c r="NZ30" s="10"/>
      <c r="OA30" s="10"/>
      <c r="OB30" s="10"/>
      <c r="OC30" s="10"/>
      <c r="OD30" s="10"/>
      <c r="OE30" s="10"/>
      <c r="OF30" s="10"/>
      <c r="OG30" s="10"/>
      <c r="OH30" s="10"/>
      <c r="OI30" s="10"/>
      <c r="OJ30" s="10"/>
      <c r="OK30" s="10"/>
      <c r="OL30" s="10"/>
      <c r="OM30" s="10"/>
      <c r="ON30" s="10"/>
      <c r="OO30" s="10"/>
      <c r="OP30" s="10"/>
      <c r="OQ30" s="10"/>
      <c r="OR30" s="10"/>
      <c r="OS30" s="10"/>
      <c r="OT30" s="10"/>
      <c r="OU30" s="10"/>
      <c r="OV30" s="10"/>
      <c r="OW30" s="10"/>
      <c r="OX30" s="10"/>
      <c r="OY30" s="10"/>
      <c r="OZ30" s="10"/>
      <c r="PA30" s="10"/>
      <c r="PB30" s="10"/>
      <c r="PC30" s="10"/>
      <c r="PD30" s="10"/>
      <c r="PE30" s="10"/>
      <c r="PF30" s="10"/>
      <c r="PG30" s="10"/>
      <c r="PH30" s="10"/>
      <c r="PI30" s="10"/>
      <c r="PJ30" s="10"/>
      <c r="PK30" s="10"/>
      <c r="PL30" s="10"/>
      <c r="PM30" s="10"/>
      <c r="PN30" s="10"/>
      <c r="PO30" s="10"/>
      <c r="PP30" s="10"/>
      <c r="PQ30" s="10"/>
      <c r="PR30" s="10"/>
      <c r="PS30" s="10"/>
      <c r="PT30" s="10"/>
      <c r="PU30" s="10"/>
      <c r="PV30" s="10"/>
      <c r="PW30" s="10"/>
      <c r="PX30" s="10"/>
      <c r="PY30" s="10"/>
      <c r="PZ30" s="10"/>
      <c r="QA30" s="10"/>
      <c r="QB30" s="10"/>
      <c r="QC30" s="10"/>
      <c r="QD30" s="10"/>
      <c r="QE30" s="10"/>
      <c r="QF30" s="10"/>
      <c r="QG30" s="10"/>
      <c r="QH30" s="10"/>
      <c r="QI30" s="10"/>
      <c r="QJ30" s="10"/>
      <c r="QK30" s="10"/>
      <c r="QL30" s="10"/>
      <c r="QM30" s="10"/>
      <c r="QN30" s="10"/>
      <c r="QO30" s="10"/>
      <c r="QP30" s="10"/>
      <c r="QQ30" s="10"/>
      <c r="QR30" s="10"/>
      <c r="QS30" s="10"/>
      <c r="QT30" s="10"/>
      <c r="QU30" s="10"/>
      <c r="QV30" s="10"/>
      <c r="QW30" s="10"/>
      <c r="QX30" s="10"/>
      <c r="QY30" s="10"/>
      <c r="QZ30" s="10"/>
      <c r="RA30" s="10"/>
      <c r="RB30" s="10"/>
      <c r="RC30" s="10"/>
      <c r="RD30" s="10"/>
      <c r="RE30" s="10"/>
      <c r="RF30" s="10"/>
      <c r="RG30" s="10"/>
      <c r="RH30" s="10"/>
      <c r="RI30" s="10"/>
      <c r="RJ30" s="10"/>
      <c r="RK30" s="10"/>
      <c r="RL30" s="10"/>
      <c r="RM30" s="10"/>
      <c r="RN30" s="10"/>
      <c r="RO30" s="10"/>
      <c r="RP30" s="10"/>
      <c r="RQ30" s="10"/>
      <c r="RR30" s="10"/>
      <c r="RS30" s="10"/>
      <c r="RT30" s="10"/>
      <c r="RU30" s="10"/>
      <c r="RV30" s="10"/>
      <c r="RW30" s="10"/>
      <c r="RX30" s="10"/>
      <c r="RY30" s="10"/>
      <c r="RZ30" s="10"/>
      <c r="SA30" s="10"/>
      <c r="SB30" s="10"/>
      <c r="SC30" s="10"/>
      <c r="SD30" s="10"/>
      <c r="SE30" s="10"/>
      <c r="SF30" s="10"/>
      <c r="SG30" s="10"/>
      <c r="SH30" s="10"/>
      <c r="SI30" s="10"/>
      <c r="SJ30" s="10"/>
      <c r="SK30" s="10"/>
      <c r="SL30" s="10"/>
      <c r="SM30" s="10"/>
      <c r="SN30" s="10"/>
      <c r="SO30" s="10"/>
      <c r="SP30" s="10"/>
      <c r="SQ30" s="10"/>
      <c r="SR30" s="10"/>
      <c r="SS30" s="10"/>
      <c r="ST30" s="10"/>
      <c r="SU30" s="10"/>
      <c r="SV30" s="10"/>
      <c r="SW30" s="10"/>
      <c r="SX30" s="10"/>
      <c r="SY30" s="10"/>
      <c r="SZ30" s="10"/>
      <c r="TA30" s="10"/>
      <c r="TB30" s="10"/>
      <c r="TC30" s="10"/>
      <c r="TD30" s="10"/>
      <c r="TE30" s="10"/>
      <c r="TF30" s="10"/>
      <c r="TG30" s="10"/>
      <c r="TH30" s="10"/>
      <c r="TI30" s="10"/>
      <c r="TJ30" s="10"/>
      <c r="TK30" s="10"/>
      <c r="TL30" s="10"/>
      <c r="TM30" s="10"/>
      <c r="TN30" s="10"/>
      <c r="TO30" s="10"/>
      <c r="TP30" s="10"/>
      <c r="TQ30" s="10"/>
      <c r="TR30" s="10"/>
      <c r="TS30" s="10"/>
      <c r="TT30" s="10"/>
      <c r="TU30" s="10"/>
      <c r="TV30" s="10"/>
      <c r="TW30" s="10"/>
      <c r="TX30" s="10"/>
      <c r="TY30" s="10"/>
      <c r="TZ30" s="10"/>
      <c r="UA30" s="10"/>
      <c r="UB30" s="10"/>
      <c r="UC30" s="10"/>
      <c r="UD30" s="10"/>
      <c r="UE30" s="10"/>
      <c r="UF30" s="10"/>
      <c r="UG30" s="10"/>
      <c r="UH30" s="10"/>
      <c r="UI30" s="10"/>
      <c r="UJ30" s="10"/>
      <c r="UK30" s="10"/>
      <c r="UL30" s="10"/>
      <c r="UM30" s="10"/>
      <c r="UN30" s="10"/>
      <c r="UO30" s="10"/>
      <c r="UP30" s="10"/>
      <c r="UQ30" s="10"/>
      <c r="UR30" s="10"/>
      <c r="US30" s="10"/>
      <c r="UT30" s="10"/>
      <c r="UU30" s="10"/>
      <c r="UV30" s="10"/>
      <c r="UW30" s="10"/>
      <c r="UX30" s="10"/>
      <c r="UY30" s="10"/>
      <c r="UZ30" s="10"/>
      <c r="VA30" s="10"/>
      <c r="VB30" s="10"/>
      <c r="VC30" s="10"/>
      <c r="VD30" s="10"/>
      <c r="VE30" s="10"/>
      <c r="VF30" s="10"/>
      <c r="VG30" s="10"/>
      <c r="VH30" s="10"/>
      <c r="VI30" s="10"/>
      <c r="VJ30" s="10"/>
      <c r="VK30" s="10"/>
      <c r="VL30" s="10"/>
      <c r="VM30" s="10"/>
      <c r="VN30" s="10"/>
      <c r="VO30" s="10"/>
      <c r="VP30" s="10"/>
      <c r="VQ30" s="10"/>
      <c r="VR30" s="10"/>
      <c r="VS30" s="10"/>
      <c r="VT30" s="10"/>
      <c r="VU30" s="10"/>
      <c r="VV30" s="10"/>
      <c r="VW30" s="10"/>
      <c r="VX30" s="10"/>
      <c r="VY30" s="10"/>
      <c r="VZ30" s="10"/>
      <c r="WA30" s="10"/>
      <c r="WB30" s="10"/>
      <c r="WC30" s="10"/>
      <c r="WD30" s="10"/>
      <c r="WE30" s="10"/>
      <c r="WF30" s="10"/>
      <c r="WG30" s="10"/>
      <c r="WH30" s="10"/>
      <c r="WI30" s="10"/>
      <c r="WJ30" s="10"/>
      <c r="WK30" s="10"/>
      <c r="WL30" s="10"/>
      <c r="WM30" s="10"/>
      <c r="WN30" s="10"/>
      <c r="WO30" s="10"/>
      <c r="WP30" s="10"/>
      <c r="WQ30" s="10"/>
      <c r="WR30" s="10"/>
      <c r="WS30" s="10"/>
      <c r="WT30" s="10"/>
      <c r="WU30" s="10"/>
      <c r="WV30" s="10"/>
      <c r="WW30" s="10"/>
      <c r="WX30" s="10"/>
      <c r="WY30" s="10"/>
      <c r="WZ30" s="10"/>
      <c r="XA30" s="10"/>
      <c r="XB30" s="10"/>
      <c r="XC30" s="10"/>
      <c r="XD30" s="10"/>
      <c r="XE30" s="10"/>
      <c r="XF30" s="10"/>
      <c r="XG30" s="10"/>
      <c r="XH30" s="10"/>
      <c r="XI30" s="10"/>
      <c r="XJ30" s="10"/>
      <c r="XK30" s="10"/>
      <c r="XL30" s="10"/>
      <c r="XM30" s="10"/>
      <c r="XN30" s="10"/>
      <c r="XO30" s="10"/>
      <c r="XP30" s="10"/>
      <c r="XQ30" s="10"/>
      <c r="XR30" s="10"/>
      <c r="XS30" s="10"/>
      <c r="XT30" s="10"/>
      <c r="XU30" s="10"/>
      <c r="XV30" s="10"/>
      <c r="XW30" s="10"/>
      <c r="XX30" s="10"/>
      <c r="XY30" s="10"/>
      <c r="XZ30" s="10"/>
      <c r="YA30" s="10"/>
      <c r="YB30" s="10"/>
      <c r="YC30" s="10"/>
      <c r="YD30" s="10"/>
      <c r="YE30" s="10"/>
      <c r="YF30" s="10"/>
      <c r="YG30" s="10"/>
      <c r="YH30" s="10"/>
      <c r="YI30" s="10"/>
      <c r="YJ30" s="10"/>
      <c r="YK30" s="10"/>
      <c r="YL30" s="10"/>
      <c r="YM30" s="10"/>
      <c r="YN30" s="10"/>
      <c r="YO30" s="10"/>
      <c r="YP30" s="10"/>
      <c r="YQ30" s="10"/>
      <c r="YR30" s="10"/>
      <c r="YS30" s="10"/>
      <c r="YT30" s="10"/>
      <c r="YU30" s="10"/>
      <c r="YV30" s="10"/>
      <c r="YW30" s="10"/>
      <c r="YX30" s="10"/>
      <c r="YY30" s="10"/>
      <c r="YZ30" s="10"/>
      <c r="ZA30" s="10"/>
      <c r="ZB30" s="10"/>
      <c r="ZC30" s="10"/>
      <c r="ZD30" s="10"/>
      <c r="ZE30" s="10"/>
      <c r="ZF30" s="10"/>
      <c r="ZG30" s="10"/>
      <c r="ZH30" s="10"/>
      <c r="ZI30" s="10"/>
      <c r="ZJ30" s="10"/>
      <c r="ZK30" s="10"/>
      <c r="ZL30" s="10"/>
      <c r="ZM30" s="10"/>
      <c r="ZN30" s="10"/>
      <c r="ZO30" s="10"/>
      <c r="ZP30" s="10"/>
      <c r="ZQ30" s="10"/>
      <c r="ZR30" s="10"/>
      <c r="ZS30" s="10"/>
      <c r="ZT30" s="10"/>
      <c r="ZU30" s="10"/>
      <c r="ZV30" s="10"/>
      <c r="ZW30" s="10"/>
      <c r="ZX30" s="10"/>
      <c r="ZY30" s="10"/>
      <c r="ZZ30" s="10"/>
      <c r="AAA30" s="10"/>
      <c r="AAB30" s="10"/>
      <c r="AAC30" s="10"/>
      <c r="AAD30" s="10"/>
      <c r="AAE30" s="10"/>
      <c r="AAF30" s="10"/>
      <c r="AAG30" s="10"/>
      <c r="AAH30" s="10"/>
      <c r="AAI30" s="10"/>
      <c r="AAJ30" s="10"/>
      <c r="AAK30" s="10"/>
      <c r="AAL30" s="10"/>
      <c r="AAM30" s="10"/>
      <c r="AAN30" s="10"/>
      <c r="AAO30" s="10"/>
      <c r="AAP30" s="10"/>
      <c r="AAQ30" s="10"/>
      <c r="AAR30" s="10"/>
      <c r="AAS30" s="10"/>
      <c r="AAT30" s="10"/>
      <c r="AAU30" s="10"/>
      <c r="AAV30" s="10"/>
      <c r="AAW30" s="10"/>
      <c r="AAX30" s="10"/>
      <c r="AAY30" s="10"/>
      <c r="AAZ30" s="10"/>
      <c r="ABA30" s="10"/>
      <c r="ABB30" s="10"/>
      <c r="ABC30" s="10"/>
      <c r="ABD30" s="10"/>
      <c r="ABE30" s="10"/>
      <c r="ABF30" s="10"/>
      <c r="ABG30" s="10"/>
      <c r="ABH30" s="10"/>
      <c r="ABI30" s="10"/>
      <c r="ABJ30" s="10"/>
      <c r="ABK30" s="10"/>
      <c r="ABL30" s="10"/>
    </row>
    <row r="31" spans="1:740" s="35" customFormat="1" x14ac:dyDescent="0.3">
      <c r="B31" s="36">
        <f t="shared" si="0"/>
        <v>3</v>
      </c>
      <c r="C31" s="37"/>
      <c r="D31" s="38" t="s">
        <v>1310</v>
      </c>
      <c r="E31" s="39" t="s">
        <v>1306</v>
      </c>
      <c r="F31" s="39"/>
      <c r="G31" s="39"/>
      <c r="H31" s="39"/>
      <c r="I31" s="39"/>
      <c r="J31" s="39" t="s">
        <v>1302</v>
      </c>
      <c r="K31" s="39">
        <v>12</v>
      </c>
      <c r="L31" s="40">
        <v>44790</v>
      </c>
      <c r="M31" s="40">
        <f t="shared" si="1"/>
        <v>45169</v>
      </c>
      <c r="N31" s="41"/>
    </row>
    <row r="32" spans="1:740" s="21" customFormat="1" x14ac:dyDescent="0.3">
      <c r="A32" s="10"/>
      <c r="B32" s="13">
        <f t="shared" si="0"/>
        <v>4</v>
      </c>
      <c r="C32" s="16"/>
      <c r="D32" s="17"/>
      <c r="E32" s="18"/>
      <c r="F32" s="18"/>
      <c r="G32" s="18"/>
      <c r="H32" s="18"/>
      <c r="I32" s="18"/>
      <c r="J32" s="18" t="s">
        <v>1303</v>
      </c>
      <c r="K32" s="18"/>
      <c r="L32" s="18"/>
      <c r="M32" s="18"/>
      <c r="N32" s="2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10"/>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c r="FZ32" s="10"/>
      <c r="GA32" s="10"/>
      <c r="GB32" s="10"/>
      <c r="GC32" s="10"/>
      <c r="GD32" s="10"/>
      <c r="GE32" s="10"/>
      <c r="GF32" s="10"/>
      <c r="GG32" s="10"/>
      <c r="GH32" s="10"/>
      <c r="GI32" s="10"/>
      <c r="GJ32" s="10"/>
      <c r="GK32" s="10"/>
      <c r="GL32" s="10"/>
      <c r="GM32" s="10"/>
      <c r="GN32" s="10"/>
      <c r="GO32" s="10"/>
      <c r="GP32" s="10"/>
      <c r="GQ32" s="10"/>
      <c r="GR32" s="10"/>
      <c r="GS32" s="10"/>
      <c r="GT32" s="10"/>
      <c r="GU32" s="10"/>
      <c r="GV32" s="10"/>
      <c r="GW32" s="10"/>
      <c r="GX32" s="10"/>
      <c r="GY32" s="10"/>
      <c r="GZ32" s="10"/>
      <c r="HA32" s="10"/>
      <c r="HB32" s="10"/>
      <c r="HC32" s="10"/>
      <c r="HD32" s="10"/>
      <c r="HE32" s="10"/>
      <c r="HF32" s="10"/>
      <c r="HG32" s="10"/>
      <c r="HH32" s="10"/>
      <c r="HI32" s="10"/>
      <c r="HJ32" s="10"/>
      <c r="HK32" s="10"/>
      <c r="HL32" s="10"/>
      <c r="HM32" s="10"/>
      <c r="HN32" s="10"/>
      <c r="HO32" s="10"/>
      <c r="HP32" s="10"/>
      <c r="HQ32" s="10"/>
      <c r="HR32" s="10"/>
      <c r="HS32" s="10"/>
      <c r="HT32" s="10"/>
      <c r="HU32" s="10"/>
      <c r="HV32" s="10"/>
      <c r="HW32" s="10"/>
      <c r="HX32" s="10"/>
      <c r="HY32" s="10"/>
      <c r="HZ32" s="10"/>
      <c r="IA32" s="10"/>
      <c r="IB32" s="10"/>
      <c r="IC32" s="10"/>
      <c r="ID32" s="10"/>
      <c r="IE32" s="10"/>
      <c r="IF32" s="10"/>
      <c r="IG32" s="10"/>
      <c r="IH32" s="10"/>
      <c r="II32" s="10"/>
      <c r="IJ32" s="10"/>
      <c r="IK32" s="10"/>
      <c r="IL32" s="10"/>
      <c r="IM32" s="10"/>
      <c r="IN32" s="10"/>
      <c r="IO32" s="10"/>
      <c r="IP32" s="10"/>
      <c r="IQ32" s="10"/>
      <c r="IR32" s="10"/>
      <c r="IS32" s="10"/>
      <c r="IT32" s="10"/>
      <c r="IU32" s="10"/>
      <c r="IV32" s="10"/>
      <c r="IW32" s="10"/>
      <c r="IX32" s="10"/>
      <c r="IY32" s="10"/>
      <c r="IZ32" s="10"/>
      <c r="JA32" s="10"/>
      <c r="JB32" s="10"/>
      <c r="JC32" s="10"/>
      <c r="JD32" s="10"/>
      <c r="JE32" s="10"/>
      <c r="JF32" s="10"/>
      <c r="JG32" s="10"/>
      <c r="JH32" s="10"/>
      <c r="JI32" s="10"/>
      <c r="JJ32" s="10"/>
      <c r="JK32" s="10"/>
      <c r="JL32" s="10"/>
      <c r="JM32" s="10"/>
      <c r="JN32" s="10"/>
      <c r="JO32" s="10"/>
      <c r="JP32" s="10"/>
      <c r="JQ32" s="10"/>
      <c r="JR32" s="10"/>
      <c r="JS32" s="10"/>
      <c r="JT32" s="10"/>
      <c r="JU32" s="10"/>
      <c r="JV32" s="10"/>
      <c r="JW32" s="10"/>
      <c r="JX32" s="10"/>
      <c r="JY32" s="10"/>
      <c r="JZ32" s="10"/>
      <c r="KA32" s="10"/>
      <c r="KB32" s="10"/>
      <c r="KC32" s="10"/>
      <c r="KD32" s="10"/>
      <c r="KE32" s="10"/>
      <c r="KF32" s="10"/>
      <c r="KG32" s="10"/>
      <c r="KH32" s="10"/>
      <c r="KI32" s="10"/>
      <c r="KJ32" s="10"/>
      <c r="KK32" s="10"/>
      <c r="KL32" s="10"/>
      <c r="KM32" s="10"/>
      <c r="KN32" s="10"/>
      <c r="KO32" s="10"/>
      <c r="KP32" s="10"/>
      <c r="KQ32" s="10"/>
      <c r="KR32" s="10"/>
      <c r="KS32" s="10"/>
      <c r="KT32" s="10"/>
      <c r="KU32" s="10"/>
      <c r="KV32" s="10"/>
      <c r="KW32" s="10"/>
      <c r="KX32" s="10"/>
      <c r="KY32" s="10"/>
      <c r="KZ32" s="10"/>
      <c r="LA32" s="10"/>
      <c r="LB32" s="10"/>
      <c r="LC32" s="10"/>
      <c r="LD32" s="10"/>
      <c r="LE32" s="10"/>
      <c r="LF32" s="10"/>
      <c r="LG32" s="10"/>
      <c r="LH32" s="10"/>
      <c r="LI32" s="10"/>
      <c r="LJ32" s="10"/>
      <c r="LK32" s="10"/>
      <c r="LL32" s="10"/>
      <c r="LM32" s="10"/>
      <c r="LN32" s="10"/>
      <c r="LO32" s="10"/>
      <c r="LP32" s="10"/>
      <c r="LQ32" s="10"/>
      <c r="LR32" s="10"/>
      <c r="LS32" s="10"/>
      <c r="LT32" s="10"/>
      <c r="LU32" s="10"/>
      <c r="LV32" s="10"/>
      <c r="LW32" s="10"/>
      <c r="LX32" s="10"/>
      <c r="LY32" s="10"/>
      <c r="LZ32" s="10"/>
      <c r="MA32" s="10"/>
      <c r="MB32" s="10"/>
      <c r="MC32" s="10"/>
      <c r="MD32" s="10"/>
      <c r="ME32" s="10"/>
      <c r="MF32" s="10"/>
      <c r="MG32" s="10"/>
      <c r="MH32" s="10"/>
      <c r="MI32" s="10"/>
      <c r="MJ32" s="10"/>
      <c r="MK32" s="10"/>
      <c r="ML32" s="10"/>
      <c r="MM32" s="10"/>
      <c r="MN32" s="10"/>
      <c r="MO32" s="10"/>
      <c r="MP32" s="10"/>
      <c r="MQ32" s="10"/>
      <c r="MR32" s="10"/>
      <c r="MS32" s="10"/>
      <c r="MT32" s="10"/>
      <c r="MU32" s="10"/>
      <c r="MV32" s="10"/>
      <c r="MW32" s="10"/>
      <c r="MX32" s="10"/>
      <c r="MY32" s="10"/>
      <c r="MZ32" s="10"/>
      <c r="NA32" s="10"/>
      <c r="NB32" s="10"/>
      <c r="NC32" s="10"/>
      <c r="ND32" s="10"/>
      <c r="NE32" s="10"/>
      <c r="NF32" s="10"/>
      <c r="NG32" s="10"/>
      <c r="NH32" s="10"/>
      <c r="NI32" s="10"/>
      <c r="NJ32" s="10"/>
      <c r="NK32" s="10"/>
      <c r="NL32" s="10"/>
      <c r="NM32" s="10"/>
      <c r="NN32" s="10"/>
      <c r="NO32" s="10"/>
      <c r="NP32" s="10"/>
      <c r="NQ32" s="10"/>
      <c r="NR32" s="10"/>
      <c r="NS32" s="10"/>
      <c r="NT32" s="10"/>
      <c r="NU32" s="10"/>
      <c r="NV32" s="10"/>
      <c r="NW32" s="10"/>
      <c r="NX32" s="10"/>
      <c r="NY32" s="10"/>
      <c r="NZ32" s="10"/>
      <c r="OA32" s="10"/>
      <c r="OB32" s="10"/>
      <c r="OC32" s="10"/>
      <c r="OD32" s="10"/>
      <c r="OE32" s="10"/>
      <c r="OF32" s="10"/>
      <c r="OG32" s="10"/>
      <c r="OH32" s="10"/>
      <c r="OI32" s="10"/>
      <c r="OJ32" s="10"/>
      <c r="OK32" s="10"/>
      <c r="OL32" s="10"/>
      <c r="OM32" s="10"/>
      <c r="ON32" s="10"/>
      <c r="OO32" s="10"/>
      <c r="OP32" s="10"/>
      <c r="OQ32" s="10"/>
      <c r="OR32" s="10"/>
      <c r="OS32" s="10"/>
      <c r="OT32" s="10"/>
      <c r="OU32" s="10"/>
      <c r="OV32" s="10"/>
      <c r="OW32" s="10"/>
      <c r="OX32" s="10"/>
      <c r="OY32" s="10"/>
      <c r="OZ32" s="10"/>
      <c r="PA32" s="10"/>
      <c r="PB32" s="10"/>
      <c r="PC32" s="10"/>
      <c r="PD32" s="10"/>
      <c r="PE32" s="10"/>
      <c r="PF32" s="10"/>
      <c r="PG32" s="10"/>
      <c r="PH32" s="10"/>
      <c r="PI32" s="10"/>
      <c r="PJ32" s="10"/>
      <c r="PK32" s="10"/>
      <c r="PL32" s="10"/>
      <c r="PM32" s="10"/>
      <c r="PN32" s="10"/>
      <c r="PO32" s="10"/>
      <c r="PP32" s="10"/>
      <c r="PQ32" s="10"/>
      <c r="PR32" s="10"/>
      <c r="PS32" s="10"/>
      <c r="PT32" s="10"/>
      <c r="PU32" s="10"/>
      <c r="PV32" s="10"/>
      <c r="PW32" s="10"/>
      <c r="PX32" s="10"/>
      <c r="PY32" s="10"/>
      <c r="PZ32" s="10"/>
      <c r="QA32" s="10"/>
      <c r="QB32" s="10"/>
      <c r="QC32" s="10"/>
      <c r="QD32" s="10"/>
      <c r="QE32" s="10"/>
      <c r="QF32" s="10"/>
      <c r="QG32" s="10"/>
      <c r="QH32" s="10"/>
      <c r="QI32" s="10"/>
      <c r="QJ32" s="10"/>
      <c r="QK32" s="10"/>
      <c r="QL32" s="10"/>
      <c r="QM32" s="10"/>
      <c r="QN32" s="10"/>
      <c r="QO32" s="10"/>
      <c r="QP32" s="10"/>
      <c r="QQ32" s="10"/>
      <c r="QR32" s="10"/>
      <c r="QS32" s="10"/>
      <c r="QT32" s="10"/>
      <c r="QU32" s="10"/>
      <c r="QV32" s="10"/>
      <c r="QW32" s="10"/>
      <c r="QX32" s="10"/>
      <c r="QY32" s="10"/>
      <c r="QZ32" s="10"/>
      <c r="RA32" s="10"/>
      <c r="RB32" s="10"/>
      <c r="RC32" s="10"/>
      <c r="RD32" s="10"/>
      <c r="RE32" s="10"/>
      <c r="RF32" s="10"/>
      <c r="RG32" s="10"/>
      <c r="RH32" s="10"/>
      <c r="RI32" s="10"/>
      <c r="RJ32" s="10"/>
      <c r="RK32" s="10"/>
      <c r="RL32" s="10"/>
      <c r="RM32" s="10"/>
      <c r="RN32" s="10"/>
      <c r="RO32" s="10"/>
      <c r="RP32" s="10"/>
      <c r="RQ32" s="10"/>
      <c r="RR32" s="10"/>
      <c r="RS32" s="10"/>
      <c r="RT32" s="10"/>
      <c r="RU32" s="10"/>
      <c r="RV32" s="10"/>
      <c r="RW32" s="10"/>
      <c r="RX32" s="10"/>
      <c r="RY32" s="10"/>
      <c r="RZ32" s="10"/>
      <c r="SA32" s="10"/>
      <c r="SB32" s="10"/>
      <c r="SC32" s="10"/>
      <c r="SD32" s="10"/>
      <c r="SE32" s="10"/>
      <c r="SF32" s="10"/>
      <c r="SG32" s="10"/>
      <c r="SH32" s="10"/>
      <c r="SI32" s="10"/>
      <c r="SJ32" s="10"/>
      <c r="SK32" s="10"/>
      <c r="SL32" s="10"/>
      <c r="SM32" s="10"/>
      <c r="SN32" s="10"/>
      <c r="SO32" s="10"/>
      <c r="SP32" s="10"/>
      <c r="SQ32" s="10"/>
      <c r="SR32" s="10"/>
      <c r="SS32" s="10"/>
      <c r="ST32" s="10"/>
      <c r="SU32" s="10"/>
      <c r="SV32" s="10"/>
      <c r="SW32" s="10"/>
      <c r="SX32" s="10"/>
      <c r="SY32" s="10"/>
      <c r="SZ32" s="10"/>
      <c r="TA32" s="10"/>
      <c r="TB32" s="10"/>
      <c r="TC32" s="10"/>
      <c r="TD32" s="10"/>
      <c r="TE32" s="10"/>
      <c r="TF32" s="10"/>
      <c r="TG32" s="10"/>
      <c r="TH32" s="10"/>
      <c r="TI32" s="10"/>
      <c r="TJ32" s="10"/>
      <c r="TK32" s="10"/>
      <c r="TL32" s="10"/>
      <c r="TM32" s="10"/>
      <c r="TN32" s="10"/>
      <c r="TO32" s="10"/>
      <c r="TP32" s="10"/>
      <c r="TQ32" s="10"/>
      <c r="TR32" s="10"/>
      <c r="TS32" s="10"/>
      <c r="TT32" s="10"/>
      <c r="TU32" s="10"/>
      <c r="TV32" s="10"/>
      <c r="TW32" s="10"/>
      <c r="TX32" s="10"/>
      <c r="TY32" s="10"/>
      <c r="TZ32" s="10"/>
      <c r="UA32" s="10"/>
      <c r="UB32" s="10"/>
      <c r="UC32" s="10"/>
      <c r="UD32" s="10"/>
      <c r="UE32" s="10"/>
      <c r="UF32" s="10"/>
      <c r="UG32" s="10"/>
      <c r="UH32" s="10"/>
      <c r="UI32" s="10"/>
      <c r="UJ32" s="10"/>
      <c r="UK32" s="10"/>
      <c r="UL32" s="10"/>
      <c r="UM32" s="10"/>
      <c r="UN32" s="10"/>
      <c r="UO32" s="10"/>
      <c r="UP32" s="10"/>
      <c r="UQ32" s="10"/>
      <c r="UR32" s="10"/>
      <c r="US32" s="10"/>
      <c r="UT32" s="10"/>
      <c r="UU32" s="10"/>
      <c r="UV32" s="10"/>
      <c r="UW32" s="10"/>
      <c r="UX32" s="10"/>
      <c r="UY32" s="10"/>
      <c r="UZ32" s="10"/>
      <c r="VA32" s="10"/>
      <c r="VB32" s="10"/>
      <c r="VC32" s="10"/>
      <c r="VD32" s="10"/>
      <c r="VE32" s="10"/>
      <c r="VF32" s="10"/>
      <c r="VG32" s="10"/>
      <c r="VH32" s="10"/>
      <c r="VI32" s="10"/>
      <c r="VJ32" s="10"/>
      <c r="VK32" s="10"/>
      <c r="VL32" s="10"/>
      <c r="VM32" s="10"/>
      <c r="VN32" s="10"/>
      <c r="VO32" s="10"/>
      <c r="VP32" s="10"/>
      <c r="VQ32" s="10"/>
      <c r="VR32" s="10"/>
      <c r="VS32" s="10"/>
      <c r="VT32" s="10"/>
      <c r="VU32" s="10"/>
      <c r="VV32" s="10"/>
      <c r="VW32" s="10"/>
      <c r="VX32" s="10"/>
      <c r="VY32" s="10"/>
      <c r="VZ32" s="10"/>
      <c r="WA32" s="10"/>
      <c r="WB32" s="10"/>
      <c r="WC32" s="10"/>
      <c r="WD32" s="10"/>
      <c r="WE32" s="10"/>
      <c r="WF32" s="10"/>
      <c r="WG32" s="10"/>
      <c r="WH32" s="10"/>
      <c r="WI32" s="10"/>
      <c r="WJ32" s="10"/>
      <c r="WK32" s="10"/>
      <c r="WL32" s="10"/>
      <c r="WM32" s="10"/>
      <c r="WN32" s="10"/>
      <c r="WO32" s="10"/>
      <c r="WP32" s="10"/>
      <c r="WQ32" s="10"/>
      <c r="WR32" s="10"/>
      <c r="WS32" s="10"/>
      <c r="WT32" s="10"/>
      <c r="WU32" s="10"/>
      <c r="WV32" s="10"/>
      <c r="WW32" s="10"/>
      <c r="WX32" s="10"/>
      <c r="WY32" s="10"/>
      <c r="WZ32" s="10"/>
      <c r="XA32" s="10"/>
      <c r="XB32" s="10"/>
      <c r="XC32" s="10"/>
      <c r="XD32" s="10"/>
      <c r="XE32" s="10"/>
      <c r="XF32" s="10"/>
      <c r="XG32" s="10"/>
      <c r="XH32" s="10"/>
      <c r="XI32" s="10"/>
      <c r="XJ32" s="10"/>
      <c r="XK32" s="10"/>
      <c r="XL32" s="10"/>
      <c r="XM32" s="10"/>
      <c r="XN32" s="10"/>
      <c r="XO32" s="10"/>
      <c r="XP32" s="10"/>
      <c r="XQ32" s="10"/>
      <c r="XR32" s="10"/>
      <c r="XS32" s="10"/>
      <c r="XT32" s="10"/>
      <c r="XU32" s="10"/>
      <c r="XV32" s="10"/>
      <c r="XW32" s="10"/>
      <c r="XX32" s="10"/>
      <c r="XY32" s="10"/>
      <c r="XZ32" s="10"/>
      <c r="YA32" s="10"/>
      <c r="YB32" s="10"/>
      <c r="YC32" s="10"/>
      <c r="YD32" s="10"/>
      <c r="YE32" s="10"/>
      <c r="YF32" s="10"/>
      <c r="YG32" s="10"/>
      <c r="YH32" s="10"/>
      <c r="YI32" s="10"/>
      <c r="YJ32" s="10"/>
      <c r="YK32" s="10"/>
      <c r="YL32" s="10"/>
      <c r="YM32" s="10"/>
      <c r="YN32" s="10"/>
      <c r="YO32" s="10"/>
      <c r="YP32" s="10"/>
      <c r="YQ32" s="10"/>
      <c r="YR32" s="10"/>
      <c r="YS32" s="10"/>
      <c r="YT32" s="10"/>
      <c r="YU32" s="10"/>
      <c r="YV32" s="10"/>
      <c r="YW32" s="10"/>
      <c r="YX32" s="10"/>
      <c r="YY32" s="10"/>
      <c r="YZ32" s="10"/>
      <c r="ZA32" s="10"/>
      <c r="ZB32" s="10"/>
      <c r="ZC32" s="10"/>
      <c r="ZD32" s="10"/>
      <c r="ZE32" s="10"/>
      <c r="ZF32" s="10"/>
      <c r="ZG32" s="10"/>
      <c r="ZH32" s="10"/>
      <c r="ZI32" s="10"/>
      <c r="ZJ32" s="10"/>
      <c r="ZK32" s="10"/>
      <c r="ZL32" s="10"/>
      <c r="ZM32" s="10"/>
      <c r="ZN32" s="10"/>
      <c r="ZO32" s="10"/>
      <c r="ZP32" s="10"/>
      <c r="ZQ32" s="10"/>
      <c r="ZR32" s="10"/>
      <c r="ZS32" s="10"/>
      <c r="ZT32" s="10"/>
      <c r="ZU32" s="10"/>
      <c r="ZV32" s="10"/>
      <c r="ZW32" s="10"/>
      <c r="ZX32" s="10"/>
      <c r="ZY32" s="10"/>
      <c r="ZZ32" s="10"/>
      <c r="AAA32" s="10"/>
      <c r="AAB32" s="10"/>
      <c r="AAC32" s="10"/>
      <c r="AAD32" s="10"/>
      <c r="AAE32" s="10"/>
      <c r="AAF32" s="10"/>
      <c r="AAG32" s="10"/>
      <c r="AAH32" s="10"/>
      <c r="AAI32" s="10"/>
      <c r="AAJ32" s="10"/>
      <c r="AAK32" s="10"/>
      <c r="AAL32" s="10"/>
      <c r="AAM32" s="10"/>
      <c r="AAN32" s="10"/>
      <c r="AAO32" s="10"/>
      <c r="AAP32" s="10"/>
      <c r="AAQ32" s="10"/>
      <c r="AAR32" s="10"/>
      <c r="AAS32" s="10"/>
      <c r="AAT32" s="10"/>
      <c r="AAU32" s="10"/>
      <c r="AAV32" s="10"/>
      <c r="AAW32" s="10"/>
      <c r="AAX32" s="10"/>
      <c r="AAY32" s="10"/>
      <c r="AAZ32" s="10"/>
      <c r="ABA32" s="10"/>
      <c r="ABB32" s="10"/>
      <c r="ABC32" s="10"/>
      <c r="ABD32" s="10"/>
      <c r="ABE32" s="10"/>
      <c r="ABF32" s="10"/>
      <c r="ABG32" s="10"/>
      <c r="ABH32" s="10"/>
      <c r="ABI32" s="10"/>
      <c r="ABJ32" s="10"/>
      <c r="ABK32" s="10"/>
      <c r="ABL32" s="10"/>
    </row>
    <row r="33" spans="1:740" s="35" customFormat="1" x14ac:dyDescent="0.3">
      <c r="B33" s="36">
        <f t="shared" si="0"/>
        <v>0</v>
      </c>
      <c r="C33" s="37"/>
      <c r="D33" s="38"/>
      <c r="E33" s="39"/>
      <c r="F33" s="39"/>
      <c r="G33" s="39"/>
      <c r="H33" s="39"/>
      <c r="I33" s="39"/>
      <c r="J33" s="39" t="s">
        <v>1314</v>
      </c>
      <c r="K33" s="39"/>
      <c r="L33" s="39"/>
      <c r="M33" s="39"/>
      <c r="N33" s="41"/>
    </row>
    <row r="34" spans="1:740" s="21" customFormat="1" x14ac:dyDescent="0.3">
      <c r="A34" s="10"/>
      <c r="B34" s="13">
        <f t="shared" ref="B34:B65" si="2">IF(J34="Não Tratar",4,IF(J34="Ativo",3,IF(J34="Aguardando",2,IF(J34="Certificado",1,IF(J34="Pendencias",0)))))</f>
        <v>3</v>
      </c>
      <c r="C34" s="16"/>
      <c r="D34" s="17" t="s">
        <v>1310</v>
      </c>
      <c r="E34" s="18" t="s">
        <v>1306</v>
      </c>
      <c r="F34" s="18"/>
      <c r="G34" s="19">
        <v>44980</v>
      </c>
      <c r="H34" s="19">
        <v>44998</v>
      </c>
      <c r="I34" s="19">
        <v>45000</v>
      </c>
      <c r="J34" s="18" t="s">
        <v>1302</v>
      </c>
      <c r="K34" s="18">
        <v>12</v>
      </c>
      <c r="L34" s="19">
        <v>45049</v>
      </c>
      <c r="M34" s="19">
        <f t="shared" ref="M34:M45" si="3">EOMONTH(L34,K34)</f>
        <v>45443</v>
      </c>
      <c r="N34" s="29" t="s">
        <v>1315</v>
      </c>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c r="GJ34" s="10"/>
      <c r="GK34" s="10"/>
      <c r="GL34" s="10"/>
      <c r="GM34" s="10"/>
      <c r="GN34" s="10"/>
      <c r="GO34" s="10"/>
      <c r="GP34" s="10"/>
      <c r="GQ34" s="10"/>
      <c r="GR34" s="10"/>
      <c r="GS34" s="10"/>
      <c r="GT34" s="10"/>
      <c r="GU34" s="10"/>
      <c r="GV34" s="10"/>
      <c r="GW34" s="10"/>
      <c r="GX34" s="10"/>
      <c r="GY34" s="10"/>
      <c r="GZ34" s="10"/>
      <c r="HA34" s="10"/>
      <c r="HB34" s="10"/>
      <c r="HC34" s="10"/>
      <c r="HD34" s="10"/>
      <c r="HE34" s="10"/>
      <c r="HF34" s="10"/>
      <c r="HG34" s="10"/>
      <c r="HH34" s="10"/>
      <c r="HI34" s="10"/>
      <c r="HJ34" s="10"/>
      <c r="HK34" s="10"/>
      <c r="HL34" s="10"/>
      <c r="HM34" s="10"/>
      <c r="HN34" s="10"/>
      <c r="HO34" s="10"/>
      <c r="HP34" s="10"/>
      <c r="HQ34" s="10"/>
      <c r="HR34" s="10"/>
      <c r="HS34" s="10"/>
      <c r="HT34" s="10"/>
      <c r="HU34" s="10"/>
      <c r="HV34" s="10"/>
      <c r="HW34" s="10"/>
      <c r="HX34" s="10"/>
      <c r="HY34" s="10"/>
      <c r="HZ34" s="10"/>
      <c r="IA34" s="10"/>
      <c r="IB34" s="10"/>
      <c r="IC34" s="10"/>
      <c r="ID34" s="10"/>
      <c r="IE34" s="10"/>
      <c r="IF34" s="10"/>
      <c r="IG34" s="10"/>
      <c r="IH34" s="10"/>
      <c r="II34" s="10"/>
      <c r="IJ34" s="10"/>
      <c r="IK34" s="10"/>
      <c r="IL34" s="10"/>
      <c r="IM34" s="10"/>
      <c r="IN34" s="10"/>
      <c r="IO34" s="10"/>
      <c r="IP34" s="10"/>
      <c r="IQ34" s="10"/>
      <c r="IR34" s="10"/>
      <c r="IS34" s="10"/>
      <c r="IT34" s="10"/>
      <c r="IU34" s="10"/>
      <c r="IV34" s="10"/>
      <c r="IW34" s="10"/>
      <c r="IX34" s="10"/>
      <c r="IY34" s="10"/>
      <c r="IZ34" s="10"/>
      <c r="JA34" s="10"/>
      <c r="JB34" s="10"/>
      <c r="JC34" s="10"/>
      <c r="JD34" s="10"/>
      <c r="JE34" s="10"/>
      <c r="JF34" s="10"/>
      <c r="JG34" s="10"/>
      <c r="JH34" s="10"/>
      <c r="JI34" s="10"/>
      <c r="JJ34" s="10"/>
      <c r="JK34" s="10"/>
      <c r="JL34" s="10"/>
      <c r="JM34" s="10"/>
      <c r="JN34" s="10"/>
      <c r="JO34" s="10"/>
      <c r="JP34" s="10"/>
      <c r="JQ34" s="10"/>
      <c r="JR34" s="10"/>
      <c r="JS34" s="10"/>
      <c r="JT34" s="10"/>
      <c r="JU34" s="10"/>
      <c r="JV34" s="10"/>
      <c r="JW34" s="10"/>
      <c r="JX34" s="10"/>
      <c r="JY34" s="10"/>
      <c r="JZ34" s="10"/>
      <c r="KA34" s="10"/>
      <c r="KB34" s="10"/>
      <c r="KC34" s="10"/>
      <c r="KD34" s="10"/>
      <c r="KE34" s="10"/>
      <c r="KF34" s="10"/>
      <c r="KG34" s="10"/>
      <c r="KH34" s="10"/>
      <c r="KI34" s="10"/>
      <c r="KJ34" s="10"/>
      <c r="KK34" s="10"/>
      <c r="KL34" s="10"/>
      <c r="KM34" s="10"/>
      <c r="KN34" s="10"/>
      <c r="KO34" s="10"/>
      <c r="KP34" s="10"/>
      <c r="KQ34" s="10"/>
      <c r="KR34" s="10"/>
      <c r="KS34" s="10"/>
      <c r="KT34" s="10"/>
      <c r="KU34" s="10"/>
      <c r="KV34" s="10"/>
      <c r="KW34" s="10"/>
      <c r="KX34" s="10"/>
      <c r="KY34" s="10"/>
      <c r="KZ34" s="10"/>
      <c r="LA34" s="10"/>
      <c r="LB34" s="10"/>
      <c r="LC34" s="10"/>
      <c r="LD34" s="10"/>
      <c r="LE34" s="10"/>
      <c r="LF34" s="10"/>
      <c r="LG34" s="10"/>
      <c r="LH34" s="10"/>
      <c r="LI34" s="10"/>
      <c r="LJ34" s="10"/>
      <c r="LK34" s="10"/>
      <c r="LL34" s="10"/>
      <c r="LM34" s="10"/>
      <c r="LN34" s="10"/>
      <c r="LO34" s="10"/>
      <c r="LP34" s="10"/>
      <c r="LQ34" s="10"/>
      <c r="LR34" s="10"/>
      <c r="LS34" s="10"/>
      <c r="LT34" s="10"/>
      <c r="LU34" s="10"/>
      <c r="LV34" s="10"/>
      <c r="LW34" s="10"/>
      <c r="LX34" s="10"/>
      <c r="LY34" s="10"/>
      <c r="LZ34" s="10"/>
      <c r="MA34" s="10"/>
      <c r="MB34" s="10"/>
      <c r="MC34" s="10"/>
      <c r="MD34" s="10"/>
      <c r="ME34" s="10"/>
      <c r="MF34" s="10"/>
      <c r="MG34" s="10"/>
      <c r="MH34" s="10"/>
      <c r="MI34" s="10"/>
      <c r="MJ34" s="10"/>
      <c r="MK34" s="10"/>
      <c r="ML34" s="10"/>
      <c r="MM34" s="10"/>
      <c r="MN34" s="10"/>
      <c r="MO34" s="10"/>
      <c r="MP34" s="10"/>
      <c r="MQ34" s="10"/>
      <c r="MR34" s="10"/>
      <c r="MS34" s="10"/>
      <c r="MT34" s="10"/>
      <c r="MU34" s="10"/>
      <c r="MV34" s="10"/>
      <c r="MW34" s="10"/>
      <c r="MX34" s="10"/>
      <c r="MY34" s="10"/>
      <c r="MZ34" s="10"/>
      <c r="NA34" s="10"/>
      <c r="NB34" s="10"/>
      <c r="NC34" s="10"/>
      <c r="ND34" s="10"/>
      <c r="NE34" s="10"/>
      <c r="NF34" s="10"/>
      <c r="NG34" s="10"/>
      <c r="NH34" s="10"/>
      <c r="NI34" s="10"/>
      <c r="NJ34" s="10"/>
      <c r="NK34" s="10"/>
      <c r="NL34" s="10"/>
      <c r="NM34" s="10"/>
      <c r="NN34" s="10"/>
      <c r="NO34" s="10"/>
      <c r="NP34" s="10"/>
      <c r="NQ34" s="10"/>
      <c r="NR34" s="10"/>
      <c r="NS34" s="10"/>
      <c r="NT34" s="10"/>
      <c r="NU34" s="10"/>
      <c r="NV34" s="10"/>
      <c r="NW34" s="10"/>
      <c r="NX34" s="10"/>
      <c r="NY34" s="10"/>
      <c r="NZ34" s="10"/>
      <c r="OA34" s="10"/>
      <c r="OB34" s="10"/>
      <c r="OC34" s="10"/>
      <c r="OD34" s="10"/>
      <c r="OE34" s="10"/>
      <c r="OF34" s="10"/>
      <c r="OG34" s="10"/>
      <c r="OH34" s="10"/>
      <c r="OI34" s="10"/>
      <c r="OJ34" s="10"/>
      <c r="OK34" s="10"/>
      <c r="OL34" s="10"/>
      <c r="OM34" s="10"/>
      <c r="ON34" s="10"/>
      <c r="OO34" s="10"/>
      <c r="OP34" s="10"/>
      <c r="OQ34" s="10"/>
      <c r="OR34" s="10"/>
      <c r="OS34" s="10"/>
      <c r="OT34" s="10"/>
      <c r="OU34" s="10"/>
      <c r="OV34" s="10"/>
      <c r="OW34" s="10"/>
      <c r="OX34" s="10"/>
      <c r="OY34" s="10"/>
      <c r="OZ34" s="10"/>
      <c r="PA34" s="10"/>
      <c r="PB34" s="10"/>
      <c r="PC34" s="10"/>
      <c r="PD34" s="10"/>
      <c r="PE34" s="10"/>
      <c r="PF34" s="10"/>
      <c r="PG34" s="10"/>
      <c r="PH34" s="10"/>
      <c r="PI34" s="10"/>
      <c r="PJ34" s="10"/>
      <c r="PK34" s="10"/>
      <c r="PL34" s="10"/>
      <c r="PM34" s="10"/>
      <c r="PN34" s="10"/>
      <c r="PO34" s="10"/>
      <c r="PP34" s="10"/>
      <c r="PQ34" s="10"/>
      <c r="PR34" s="10"/>
      <c r="PS34" s="10"/>
      <c r="PT34" s="10"/>
      <c r="PU34" s="10"/>
      <c r="PV34" s="10"/>
      <c r="PW34" s="10"/>
      <c r="PX34" s="10"/>
      <c r="PY34" s="10"/>
      <c r="PZ34" s="10"/>
      <c r="QA34" s="10"/>
      <c r="QB34" s="10"/>
      <c r="QC34" s="10"/>
      <c r="QD34" s="10"/>
      <c r="QE34" s="10"/>
      <c r="QF34" s="10"/>
      <c r="QG34" s="10"/>
      <c r="QH34" s="10"/>
      <c r="QI34" s="10"/>
      <c r="QJ34" s="10"/>
      <c r="QK34" s="10"/>
      <c r="QL34" s="10"/>
      <c r="QM34" s="10"/>
      <c r="QN34" s="10"/>
      <c r="QO34" s="10"/>
      <c r="QP34" s="10"/>
      <c r="QQ34" s="10"/>
      <c r="QR34" s="10"/>
      <c r="QS34" s="10"/>
      <c r="QT34" s="10"/>
      <c r="QU34" s="10"/>
      <c r="QV34" s="10"/>
      <c r="QW34" s="10"/>
      <c r="QX34" s="10"/>
      <c r="QY34" s="10"/>
      <c r="QZ34" s="10"/>
      <c r="RA34" s="10"/>
      <c r="RB34" s="10"/>
      <c r="RC34" s="10"/>
      <c r="RD34" s="10"/>
      <c r="RE34" s="10"/>
      <c r="RF34" s="10"/>
      <c r="RG34" s="10"/>
      <c r="RH34" s="10"/>
      <c r="RI34" s="10"/>
      <c r="RJ34" s="10"/>
      <c r="RK34" s="10"/>
      <c r="RL34" s="10"/>
      <c r="RM34" s="10"/>
      <c r="RN34" s="10"/>
      <c r="RO34" s="10"/>
      <c r="RP34" s="10"/>
      <c r="RQ34" s="10"/>
      <c r="RR34" s="10"/>
      <c r="RS34" s="10"/>
      <c r="RT34" s="10"/>
      <c r="RU34" s="10"/>
      <c r="RV34" s="10"/>
      <c r="RW34" s="10"/>
      <c r="RX34" s="10"/>
      <c r="RY34" s="10"/>
      <c r="RZ34" s="10"/>
      <c r="SA34" s="10"/>
      <c r="SB34" s="10"/>
      <c r="SC34" s="10"/>
      <c r="SD34" s="10"/>
      <c r="SE34" s="10"/>
      <c r="SF34" s="10"/>
      <c r="SG34" s="10"/>
      <c r="SH34" s="10"/>
      <c r="SI34" s="10"/>
      <c r="SJ34" s="10"/>
      <c r="SK34" s="10"/>
      <c r="SL34" s="10"/>
      <c r="SM34" s="10"/>
      <c r="SN34" s="10"/>
      <c r="SO34" s="10"/>
      <c r="SP34" s="10"/>
      <c r="SQ34" s="10"/>
      <c r="SR34" s="10"/>
      <c r="SS34" s="10"/>
      <c r="ST34" s="10"/>
      <c r="SU34" s="10"/>
      <c r="SV34" s="10"/>
      <c r="SW34" s="10"/>
      <c r="SX34" s="10"/>
      <c r="SY34" s="10"/>
      <c r="SZ34" s="10"/>
      <c r="TA34" s="10"/>
      <c r="TB34" s="10"/>
      <c r="TC34" s="10"/>
      <c r="TD34" s="10"/>
      <c r="TE34" s="10"/>
      <c r="TF34" s="10"/>
      <c r="TG34" s="10"/>
      <c r="TH34" s="10"/>
      <c r="TI34" s="10"/>
      <c r="TJ34" s="10"/>
      <c r="TK34" s="10"/>
      <c r="TL34" s="10"/>
      <c r="TM34" s="10"/>
      <c r="TN34" s="10"/>
      <c r="TO34" s="10"/>
      <c r="TP34" s="10"/>
      <c r="TQ34" s="10"/>
      <c r="TR34" s="10"/>
      <c r="TS34" s="10"/>
      <c r="TT34" s="10"/>
      <c r="TU34" s="10"/>
      <c r="TV34" s="10"/>
      <c r="TW34" s="10"/>
      <c r="TX34" s="10"/>
      <c r="TY34" s="10"/>
      <c r="TZ34" s="10"/>
      <c r="UA34" s="10"/>
      <c r="UB34" s="10"/>
      <c r="UC34" s="10"/>
      <c r="UD34" s="10"/>
      <c r="UE34" s="10"/>
      <c r="UF34" s="10"/>
      <c r="UG34" s="10"/>
      <c r="UH34" s="10"/>
      <c r="UI34" s="10"/>
      <c r="UJ34" s="10"/>
      <c r="UK34" s="10"/>
      <c r="UL34" s="10"/>
      <c r="UM34" s="10"/>
      <c r="UN34" s="10"/>
      <c r="UO34" s="10"/>
      <c r="UP34" s="10"/>
      <c r="UQ34" s="10"/>
      <c r="UR34" s="10"/>
      <c r="US34" s="10"/>
      <c r="UT34" s="10"/>
      <c r="UU34" s="10"/>
      <c r="UV34" s="10"/>
      <c r="UW34" s="10"/>
      <c r="UX34" s="10"/>
      <c r="UY34" s="10"/>
      <c r="UZ34" s="10"/>
      <c r="VA34" s="10"/>
      <c r="VB34" s="10"/>
      <c r="VC34" s="10"/>
      <c r="VD34" s="10"/>
      <c r="VE34" s="10"/>
      <c r="VF34" s="10"/>
      <c r="VG34" s="10"/>
      <c r="VH34" s="10"/>
      <c r="VI34" s="10"/>
      <c r="VJ34" s="10"/>
      <c r="VK34" s="10"/>
      <c r="VL34" s="10"/>
      <c r="VM34" s="10"/>
      <c r="VN34" s="10"/>
      <c r="VO34" s="10"/>
      <c r="VP34" s="10"/>
      <c r="VQ34" s="10"/>
      <c r="VR34" s="10"/>
      <c r="VS34" s="10"/>
      <c r="VT34" s="10"/>
      <c r="VU34" s="10"/>
      <c r="VV34" s="10"/>
      <c r="VW34" s="10"/>
      <c r="VX34" s="10"/>
      <c r="VY34" s="10"/>
      <c r="VZ34" s="10"/>
      <c r="WA34" s="10"/>
      <c r="WB34" s="10"/>
      <c r="WC34" s="10"/>
      <c r="WD34" s="10"/>
      <c r="WE34" s="10"/>
      <c r="WF34" s="10"/>
      <c r="WG34" s="10"/>
      <c r="WH34" s="10"/>
      <c r="WI34" s="10"/>
      <c r="WJ34" s="10"/>
      <c r="WK34" s="10"/>
      <c r="WL34" s="10"/>
      <c r="WM34" s="10"/>
      <c r="WN34" s="10"/>
      <c r="WO34" s="10"/>
      <c r="WP34" s="10"/>
      <c r="WQ34" s="10"/>
      <c r="WR34" s="10"/>
      <c r="WS34" s="10"/>
      <c r="WT34" s="10"/>
      <c r="WU34" s="10"/>
      <c r="WV34" s="10"/>
      <c r="WW34" s="10"/>
      <c r="WX34" s="10"/>
      <c r="WY34" s="10"/>
      <c r="WZ34" s="10"/>
      <c r="XA34" s="10"/>
      <c r="XB34" s="10"/>
      <c r="XC34" s="10"/>
      <c r="XD34" s="10"/>
      <c r="XE34" s="10"/>
      <c r="XF34" s="10"/>
      <c r="XG34" s="10"/>
      <c r="XH34" s="10"/>
      <c r="XI34" s="10"/>
      <c r="XJ34" s="10"/>
      <c r="XK34" s="10"/>
      <c r="XL34" s="10"/>
      <c r="XM34" s="10"/>
      <c r="XN34" s="10"/>
      <c r="XO34" s="10"/>
      <c r="XP34" s="10"/>
      <c r="XQ34" s="10"/>
      <c r="XR34" s="10"/>
      <c r="XS34" s="10"/>
      <c r="XT34" s="10"/>
      <c r="XU34" s="10"/>
      <c r="XV34" s="10"/>
      <c r="XW34" s="10"/>
      <c r="XX34" s="10"/>
      <c r="XY34" s="10"/>
      <c r="XZ34" s="10"/>
      <c r="YA34" s="10"/>
      <c r="YB34" s="10"/>
      <c r="YC34" s="10"/>
      <c r="YD34" s="10"/>
      <c r="YE34" s="10"/>
      <c r="YF34" s="10"/>
      <c r="YG34" s="10"/>
      <c r="YH34" s="10"/>
      <c r="YI34" s="10"/>
      <c r="YJ34" s="10"/>
      <c r="YK34" s="10"/>
      <c r="YL34" s="10"/>
      <c r="YM34" s="10"/>
      <c r="YN34" s="10"/>
      <c r="YO34" s="10"/>
      <c r="YP34" s="10"/>
      <c r="YQ34" s="10"/>
      <c r="YR34" s="10"/>
      <c r="YS34" s="10"/>
      <c r="YT34" s="10"/>
      <c r="YU34" s="10"/>
      <c r="YV34" s="10"/>
      <c r="YW34" s="10"/>
      <c r="YX34" s="10"/>
      <c r="YY34" s="10"/>
      <c r="YZ34" s="10"/>
      <c r="ZA34" s="10"/>
      <c r="ZB34" s="10"/>
      <c r="ZC34" s="10"/>
      <c r="ZD34" s="10"/>
      <c r="ZE34" s="10"/>
      <c r="ZF34" s="10"/>
      <c r="ZG34" s="10"/>
      <c r="ZH34" s="10"/>
      <c r="ZI34" s="10"/>
      <c r="ZJ34" s="10"/>
      <c r="ZK34" s="10"/>
      <c r="ZL34" s="10"/>
      <c r="ZM34" s="10"/>
      <c r="ZN34" s="10"/>
      <c r="ZO34" s="10"/>
      <c r="ZP34" s="10"/>
      <c r="ZQ34" s="10"/>
      <c r="ZR34" s="10"/>
      <c r="ZS34" s="10"/>
      <c r="ZT34" s="10"/>
      <c r="ZU34" s="10"/>
      <c r="ZV34" s="10"/>
      <c r="ZW34" s="10"/>
      <c r="ZX34" s="10"/>
      <c r="ZY34" s="10"/>
      <c r="ZZ34" s="10"/>
      <c r="AAA34" s="10"/>
      <c r="AAB34" s="10"/>
      <c r="AAC34" s="10"/>
      <c r="AAD34" s="10"/>
      <c r="AAE34" s="10"/>
      <c r="AAF34" s="10"/>
      <c r="AAG34" s="10"/>
      <c r="AAH34" s="10"/>
      <c r="AAI34" s="10"/>
      <c r="AAJ34" s="10"/>
      <c r="AAK34" s="10"/>
      <c r="AAL34" s="10"/>
      <c r="AAM34" s="10"/>
      <c r="AAN34" s="10"/>
      <c r="AAO34" s="10"/>
      <c r="AAP34" s="10"/>
      <c r="AAQ34" s="10"/>
      <c r="AAR34" s="10"/>
      <c r="AAS34" s="10"/>
      <c r="AAT34" s="10"/>
      <c r="AAU34" s="10"/>
      <c r="AAV34" s="10"/>
      <c r="AAW34" s="10"/>
      <c r="AAX34" s="10"/>
      <c r="AAY34" s="10"/>
      <c r="AAZ34" s="10"/>
      <c r="ABA34" s="10"/>
      <c r="ABB34" s="10"/>
      <c r="ABC34" s="10"/>
      <c r="ABD34" s="10"/>
      <c r="ABE34" s="10"/>
      <c r="ABF34" s="10"/>
      <c r="ABG34" s="10"/>
      <c r="ABH34" s="10"/>
      <c r="ABI34" s="10"/>
      <c r="ABJ34" s="10"/>
      <c r="ABK34" s="10"/>
      <c r="ABL34" s="10"/>
    </row>
    <row r="35" spans="1:740" s="35" customFormat="1" x14ac:dyDescent="0.3">
      <c r="B35" s="36">
        <f t="shared" si="2"/>
        <v>3</v>
      </c>
      <c r="C35" s="37"/>
      <c r="D35" s="38" t="s">
        <v>1310</v>
      </c>
      <c r="E35" s="39" t="s">
        <v>1306</v>
      </c>
      <c r="F35" s="39"/>
      <c r="G35" s="39"/>
      <c r="H35" s="39"/>
      <c r="I35" s="39"/>
      <c r="J35" s="39" t="s">
        <v>1302</v>
      </c>
      <c r="K35" s="39">
        <v>12</v>
      </c>
      <c r="L35" s="40">
        <v>44697</v>
      </c>
      <c r="M35" s="40">
        <f t="shared" si="3"/>
        <v>45077</v>
      </c>
      <c r="N35" s="41" t="s">
        <v>1316</v>
      </c>
    </row>
    <row r="36" spans="1:740" s="21" customFormat="1" x14ac:dyDescent="0.3">
      <c r="A36" s="10"/>
      <c r="B36" s="13">
        <f t="shared" si="2"/>
        <v>3</v>
      </c>
      <c r="C36" s="16"/>
      <c r="D36" s="17" t="s">
        <v>1310</v>
      </c>
      <c r="E36" s="18" t="s">
        <v>1306</v>
      </c>
      <c r="F36" s="18"/>
      <c r="G36" s="18"/>
      <c r="H36" s="18"/>
      <c r="I36" s="18"/>
      <c r="J36" s="18" t="s">
        <v>1302</v>
      </c>
      <c r="K36" s="18">
        <v>12</v>
      </c>
      <c r="L36" s="19">
        <v>44696</v>
      </c>
      <c r="M36" s="19">
        <f t="shared" si="3"/>
        <v>45077</v>
      </c>
      <c r="N36" s="2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c r="IG36" s="10"/>
      <c r="IH36" s="10"/>
      <c r="II36" s="10"/>
      <c r="IJ36" s="10"/>
      <c r="IK36" s="10"/>
      <c r="IL36" s="10"/>
      <c r="IM36" s="10"/>
      <c r="IN36" s="10"/>
      <c r="IO36" s="10"/>
      <c r="IP36" s="10"/>
      <c r="IQ36" s="10"/>
      <c r="IR36" s="10"/>
      <c r="IS36" s="10"/>
      <c r="IT36" s="10"/>
      <c r="IU36" s="10"/>
      <c r="IV36" s="10"/>
      <c r="IW36" s="10"/>
      <c r="IX36" s="10"/>
      <c r="IY36" s="10"/>
      <c r="IZ36" s="10"/>
      <c r="JA36" s="10"/>
      <c r="JB36" s="10"/>
      <c r="JC36" s="10"/>
      <c r="JD36" s="10"/>
      <c r="JE36" s="10"/>
      <c r="JF36" s="10"/>
      <c r="JG36" s="10"/>
      <c r="JH36" s="10"/>
      <c r="JI36" s="10"/>
      <c r="JJ36" s="10"/>
      <c r="JK36" s="10"/>
      <c r="JL36" s="10"/>
      <c r="JM36" s="10"/>
      <c r="JN36" s="10"/>
      <c r="JO36" s="10"/>
      <c r="JP36" s="10"/>
      <c r="JQ36" s="10"/>
      <c r="JR36" s="10"/>
      <c r="JS36" s="10"/>
      <c r="JT36" s="10"/>
      <c r="JU36" s="10"/>
      <c r="JV36" s="10"/>
      <c r="JW36" s="10"/>
      <c r="JX36" s="10"/>
      <c r="JY36" s="10"/>
      <c r="JZ36" s="10"/>
      <c r="KA36" s="10"/>
      <c r="KB36" s="10"/>
      <c r="KC36" s="10"/>
      <c r="KD36" s="10"/>
      <c r="KE36" s="10"/>
      <c r="KF36" s="10"/>
      <c r="KG36" s="10"/>
      <c r="KH36" s="10"/>
      <c r="KI36" s="10"/>
      <c r="KJ36" s="10"/>
      <c r="KK36" s="10"/>
      <c r="KL36" s="10"/>
      <c r="KM36" s="10"/>
      <c r="KN36" s="10"/>
      <c r="KO36" s="10"/>
      <c r="KP36" s="10"/>
      <c r="KQ36" s="10"/>
      <c r="KR36" s="10"/>
      <c r="KS36" s="10"/>
      <c r="KT36" s="10"/>
      <c r="KU36" s="10"/>
      <c r="KV36" s="10"/>
      <c r="KW36" s="10"/>
      <c r="KX36" s="10"/>
      <c r="KY36" s="10"/>
      <c r="KZ36" s="10"/>
      <c r="LA36" s="10"/>
      <c r="LB36" s="10"/>
      <c r="LC36" s="10"/>
      <c r="LD36" s="10"/>
      <c r="LE36" s="10"/>
      <c r="LF36" s="10"/>
      <c r="LG36" s="10"/>
      <c r="LH36" s="10"/>
      <c r="LI36" s="10"/>
      <c r="LJ36" s="10"/>
      <c r="LK36" s="10"/>
      <c r="LL36" s="10"/>
      <c r="LM36" s="10"/>
      <c r="LN36" s="10"/>
      <c r="LO36" s="10"/>
      <c r="LP36" s="10"/>
      <c r="LQ36" s="10"/>
      <c r="LR36" s="10"/>
      <c r="LS36" s="10"/>
      <c r="LT36" s="10"/>
      <c r="LU36" s="10"/>
      <c r="LV36" s="10"/>
      <c r="LW36" s="10"/>
      <c r="LX36" s="10"/>
      <c r="LY36" s="10"/>
      <c r="LZ36" s="10"/>
      <c r="MA36" s="10"/>
      <c r="MB36" s="10"/>
      <c r="MC36" s="10"/>
      <c r="MD36" s="10"/>
      <c r="ME36" s="10"/>
      <c r="MF36" s="10"/>
      <c r="MG36" s="10"/>
      <c r="MH36" s="10"/>
      <c r="MI36" s="10"/>
      <c r="MJ36" s="10"/>
      <c r="MK36" s="10"/>
      <c r="ML36" s="10"/>
      <c r="MM36" s="10"/>
      <c r="MN36" s="10"/>
      <c r="MO36" s="10"/>
      <c r="MP36" s="10"/>
      <c r="MQ36" s="10"/>
      <c r="MR36" s="10"/>
      <c r="MS36" s="10"/>
      <c r="MT36" s="10"/>
      <c r="MU36" s="10"/>
      <c r="MV36" s="10"/>
      <c r="MW36" s="10"/>
      <c r="MX36" s="10"/>
      <c r="MY36" s="10"/>
      <c r="MZ36" s="10"/>
      <c r="NA36" s="10"/>
      <c r="NB36" s="10"/>
      <c r="NC36" s="10"/>
      <c r="ND36" s="10"/>
      <c r="NE36" s="10"/>
      <c r="NF36" s="10"/>
      <c r="NG36" s="10"/>
      <c r="NH36" s="10"/>
      <c r="NI36" s="10"/>
      <c r="NJ36" s="10"/>
      <c r="NK36" s="10"/>
      <c r="NL36" s="10"/>
      <c r="NM36" s="10"/>
      <c r="NN36" s="10"/>
      <c r="NO36" s="10"/>
      <c r="NP36" s="10"/>
      <c r="NQ36" s="10"/>
      <c r="NR36" s="10"/>
      <c r="NS36" s="10"/>
      <c r="NT36" s="10"/>
      <c r="NU36" s="10"/>
      <c r="NV36" s="10"/>
      <c r="NW36" s="10"/>
      <c r="NX36" s="10"/>
      <c r="NY36" s="10"/>
      <c r="NZ36" s="10"/>
      <c r="OA36" s="10"/>
      <c r="OB36" s="10"/>
      <c r="OC36" s="10"/>
      <c r="OD36" s="10"/>
      <c r="OE36" s="10"/>
      <c r="OF36" s="10"/>
      <c r="OG36" s="10"/>
      <c r="OH36" s="10"/>
      <c r="OI36" s="10"/>
      <c r="OJ36" s="10"/>
      <c r="OK36" s="10"/>
      <c r="OL36" s="10"/>
      <c r="OM36" s="10"/>
      <c r="ON36" s="10"/>
      <c r="OO36" s="10"/>
      <c r="OP36" s="10"/>
      <c r="OQ36" s="10"/>
      <c r="OR36" s="10"/>
      <c r="OS36" s="10"/>
      <c r="OT36" s="10"/>
      <c r="OU36" s="10"/>
      <c r="OV36" s="10"/>
      <c r="OW36" s="10"/>
      <c r="OX36" s="10"/>
      <c r="OY36" s="10"/>
      <c r="OZ36" s="10"/>
      <c r="PA36" s="10"/>
      <c r="PB36" s="10"/>
      <c r="PC36" s="10"/>
      <c r="PD36" s="10"/>
      <c r="PE36" s="10"/>
      <c r="PF36" s="10"/>
      <c r="PG36" s="10"/>
      <c r="PH36" s="10"/>
      <c r="PI36" s="10"/>
      <c r="PJ36" s="10"/>
      <c r="PK36" s="10"/>
      <c r="PL36" s="10"/>
      <c r="PM36" s="10"/>
      <c r="PN36" s="10"/>
      <c r="PO36" s="10"/>
      <c r="PP36" s="10"/>
      <c r="PQ36" s="10"/>
      <c r="PR36" s="10"/>
      <c r="PS36" s="10"/>
      <c r="PT36" s="10"/>
      <c r="PU36" s="10"/>
      <c r="PV36" s="10"/>
      <c r="PW36" s="10"/>
      <c r="PX36" s="10"/>
      <c r="PY36" s="10"/>
      <c r="PZ36" s="10"/>
      <c r="QA36" s="10"/>
      <c r="QB36" s="10"/>
      <c r="QC36" s="10"/>
      <c r="QD36" s="10"/>
      <c r="QE36" s="10"/>
      <c r="QF36" s="10"/>
      <c r="QG36" s="10"/>
      <c r="QH36" s="10"/>
      <c r="QI36" s="10"/>
      <c r="QJ36" s="10"/>
      <c r="QK36" s="10"/>
      <c r="QL36" s="10"/>
      <c r="QM36" s="10"/>
      <c r="QN36" s="10"/>
      <c r="QO36" s="10"/>
      <c r="QP36" s="10"/>
      <c r="QQ36" s="10"/>
      <c r="QR36" s="10"/>
      <c r="QS36" s="10"/>
      <c r="QT36" s="10"/>
      <c r="QU36" s="10"/>
      <c r="QV36" s="10"/>
      <c r="QW36" s="10"/>
      <c r="QX36" s="10"/>
      <c r="QY36" s="10"/>
      <c r="QZ36" s="10"/>
      <c r="RA36" s="10"/>
      <c r="RB36" s="10"/>
      <c r="RC36" s="10"/>
      <c r="RD36" s="10"/>
      <c r="RE36" s="10"/>
      <c r="RF36" s="10"/>
      <c r="RG36" s="10"/>
      <c r="RH36" s="10"/>
      <c r="RI36" s="10"/>
      <c r="RJ36" s="10"/>
      <c r="RK36" s="10"/>
      <c r="RL36" s="10"/>
      <c r="RM36" s="10"/>
      <c r="RN36" s="10"/>
      <c r="RO36" s="10"/>
      <c r="RP36" s="10"/>
      <c r="RQ36" s="10"/>
      <c r="RR36" s="10"/>
      <c r="RS36" s="10"/>
      <c r="RT36" s="10"/>
      <c r="RU36" s="10"/>
      <c r="RV36" s="10"/>
      <c r="RW36" s="10"/>
      <c r="RX36" s="10"/>
      <c r="RY36" s="10"/>
      <c r="RZ36" s="10"/>
      <c r="SA36" s="10"/>
      <c r="SB36" s="10"/>
      <c r="SC36" s="10"/>
      <c r="SD36" s="10"/>
      <c r="SE36" s="10"/>
      <c r="SF36" s="10"/>
      <c r="SG36" s="10"/>
      <c r="SH36" s="10"/>
      <c r="SI36" s="10"/>
      <c r="SJ36" s="10"/>
      <c r="SK36" s="10"/>
      <c r="SL36" s="10"/>
      <c r="SM36" s="10"/>
      <c r="SN36" s="10"/>
      <c r="SO36" s="10"/>
      <c r="SP36" s="10"/>
      <c r="SQ36" s="10"/>
      <c r="SR36" s="10"/>
      <c r="SS36" s="10"/>
      <c r="ST36" s="10"/>
      <c r="SU36" s="10"/>
      <c r="SV36" s="10"/>
      <c r="SW36" s="10"/>
      <c r="SX36" s="10"/>
      <c r="SY36" s="10"/>
      <c r="SZ36" s="10"/>
      <c r="TA36" s="10"/>
      <c r="TB36" s="10"/>
      <c r="TC36" s="10"/>
      <c r="TD36" s="10"/>
      <c r="TE36" s="10"/>
      <c r="TF36" s="10"/>
      <c r="TG36" s="10"/>
      <c r="TH36" s="10"/>
      <c r="TI36" s="10"/>
      <c r="TJ36" s="10"/>
      <c r="TK36" s="10"/>
      <c r="TL36" s="10"/>
      <c r="TM36" s="10"/>
      <c r="TN36" s="10"/>
      <c r="TO36" s="10"/>
      <c r="TP36" s="10"/>
      <c r="TQ36" s="10"/>
      <c r="TR36" s="10"/>
      <c r="TS36" s="10"/>
      <c r="TT36" s="10"/>
      <c r="TU36" s="10"/>
      <c r="TV36" s="10"/>
      <c r="TW36" s="10"/>
      <c r="TX36" s="10"/>
      <c r="TY36" s="10"/>
      <c r="TZ36" s="10"/>
      <c r="UA36" s="10"/>
      <c r="UB36" s="10"/>
      <c r="UC36" s="10"/>
      <c r="UD36" s="10"/>
      <c r="UE36" s="10"/>
      <c r="UF36" s="10"/>
      <c r="UG36" s="10"/>
      <c r="UH36" s="10"/>
      <c r="UI36" s="10"/>
      <c r="UJ36" s="10"/>
      <c r="UK36" s="10"/>
      <c r="UL36" s="10"/>
      <c r="UM36" s="10"/>
      <c r="UN36" s="10"/>
      <c r="UO36" s="10"/>
      <c r="UP36" s="10"/>
      <c r="UQ36" s="10"/>
      <c r="UR36" s="10"/>
      <c r="US36" s="10"/>
      <c r="UT36" s="10"/>
      <c r="UU36" s="10"/>
      <c r="UV36" s="10"/>
      <c r="UW36" s="10"/>
      <c r="UX36" s="10"/>
      <c r="UY36" s="10"/>
      <c r="UZ36" s="10"/>
      <c r="VA36" s="10"/>
      <c r="VB36" s="10"/>
      <c r="VC36" s="10"/>
      <c r="VD36" s="10"/>
      <c r="VE36" s="10"/>
      <c r="VF36" s="10"/>
      <c r="VG36" s="10"/>
      <c r="VH36" s="10"/>
      <c r="VI36" s="10"/>
      <c r="VJ36" s="10"/>
      <c r="VK36" s="10"/>
      <c r="VL36" s="10"/>
      <c r="VM36" s="10"/>
      <c r="VN36" s="10"/>
      <c r="VO36" s="10"/>
      <c r="VP36" s="10"/>
      <c r="VQ36" s="10"/>
      <c r="VR36" s="10"/>
      <c r="VS36" s="10"/>
      <c r="VT36" s="10"/>
      <c r="VU36" s="10"/>
      <c r="VV36" s="10"/>
      <c r="VW36" s="10"/>
      <c r="VX36" s="10"/>
      <c r="VY36" s="10"/>
      <c r="VZ36" s="10"/>
      <c r="WA36" s="10"/>
      <c r="WB36" s="10"/>
      <c r="WC36" s="10"/>
      <c r="WD36" s="10"/>
      <c r="WE36" s="10"/>
      <c r="WF36" s="10"/>
      <c r="WG36" s="10"/>
      <c r="WH36" s="10"/>
      <c r="WI36" s="10"/>
      <c r="WJ36" s="10"/>
      <c r="WK36" s="10"/>
      <c r="WL36" s="10"/>
      <c r="WM36" s="10"/>
      <c r="WN36" s="10"/>
      <c r="WO36" s="10"/>
      <c r="WP36" s="10"/>
      <c r="WQ36" s="10"/>
      <c r="WR36" s="10"/>
      <c r="WS36" s="10"/>
      <c r="WT36" s="10"/>
      <c r="WU36" s="10"/>
      <c r="WV36" s="10"/>
      <c r="WW36" s="10"/>
      <c r="WX36" s="10"/>
      <c r="WY36" s="10"/>
      <c r="WZ36" s="10"/>
      <c r="XA36" s="10"/>
      <c r="XB36" s="10"/>
      <c r="XC36" s="10"/>
      <c r="XD36" s="10"/>
      <c r="XE36" s="10"/>
      <c r="XF36" s="10"/>
      <c r="XG36" s="10"/>
      <c r="XH36" s="10"/>
      <c r="XI36" s="10"/>
      <c r="XJ36" s="10"/>
      <c r="XK36" s="10"/>
      <c r="XL36" s="10"/>
      <c r="XM36" s="10"/>
      <c r="XN36" s="10"/>
      <c r="XO36" s="10"/>
      <c r="XP36" s="10"/>
      <c r="XQ36" s="10"/>
      <c r="XR36" s="10"/>
      <c r="XS36" s="10"/>
      <c r="XT36" s="10"/>
      <c r="XU36" s="10"/>
      <c r="XV36" s="10"/>
      <c r="XW36" s="10"/>
      <c r="XX36" s="10"/>
      <c r="XY36" s="10"/>
      <c r="XZ36" s="10"/>
      <c r="YA36" s="10"/>
      <c r="YB36" s="10"/>
      <c r="YC36" s="10"/>
      <c r="YD36" s="10"/>
      <c r="YE36" s="10"/>
      <c r="YF36" s="10"/>
      <c r="YG36" s="10"/>
      <c r="YH36" s="10"/>
      <c r="YI36" s="10"/>
      <c r="YJ36" s="10"/>
      <c r="YK36" s="10"/>
      <c r="YL36" s="10"/>
      <c r="YM36" s="10"/>
      <c r="YN36" s="10"/>
      <c r="YO36" s="10"/>
      <c r="YP36" s="10"/>
      <c r="YQ36" s="10"/>
      <c r="YR36" s="10"/>
      <c r="YS36" s="10"/>
      <c r="YT36" s="10"/>
      <c r="YU36" s="10"/>
      <c r="YV36" s="10"/>
      <c r="YW36" s="10"/>
      <c r="YX36" s="10"/>
      <c r="YY36" s="10"/>
      <c r="YZ36" s="10"/>
      <c r="ZA36" s="10"/>
      <c r="ZB36" s="10"/>
      <c r="ZC36" s="10"/>
      <c r="ZD36" s="10"/>
      <c r="ZE36" s="10"/>
      <c r="ZF36" s="10"/>
      <c r="ZG36" s="10"/>
      <c r="ZH36" s="10"/>
      <c r="ZI36" s="10"/>
      <c r="ZJ36" s="10"/>
      <c r="ZK36" s="10"/>
      <c r="ZL36" s="10"/>
      <c r="ZM36" s="10"/>
      <c r="ZN36" s="10"/>
      <c r="ZO36" s="10"/>
      <c r="ZP36" s="10"/>
      <c r="ZQ36" s="10"/>
      <c r="ZR36" s="10"/>
      <c r="ZS36" s="10"/>
      <c r="ZT36" s="10"/>
      <c r="ZU36" s="10"/>
      <c r="ZV36" s="10"/>
      <c r="ZW36" s="10"/>
      <c r="ZX36" s="10"/>
      <c r="ZY36" s="10"/>
      <c r="ZZ36" s="10"/>
      <c r="AAA36" s="10"/>
      <c r="AAB36" s="10"/>
      <c r="AAC36" s="10"/>
      <c r="AAD36" s="10"/>
      <c r="AAE36" s="10"/>
      <c r="AAF36" s="10"/>
      <c r="AAG36" s="10"/>
      <c r="AAH36" s="10"/>
      <c r="AAI36" s="10"/>
      <c r="AAJ36" s="10"/>
      <c r="AAK36" s="10"/>
      <c r="AAL36" s="10"/>
      <c r="AAM36" s="10"/>
      <c r="AAN36" s="10"/>
      <c r="AAO36" s="10"/>
      <c r="AAP36" s="10"/>
      <c r="AAQ36" s="10"/>
      <c r="AAR36" s="10"/>
      <c r="AAS36" s="10"/>
      <c r="AAT36" s="10"/>
      <c r="AAU36" s="10"/>
      <c r="AAV36" s="10"/>
      <c r="AAW36" s="10"/>
      <c r="AAX36" s="10"/>
      <c r="AAY36" s="10"/>
      <c r="AAZ36" s="10"/>
      <c r="ABA36" s="10"/>
      <c r="ABB36" s="10"/>
      <c r="ABC36" s="10"/>
      <c r="ABD36" s="10"/>
      <c r="ABE36" s="10"/>
      <c r="ABF36" s="10"/>
      <c r="ABG36" s="10"/>
      <c r="ABH36" s="10"/>
      <c r="ABI36" s="10"/>
      <c r="ABJ36" s="10"/>
      <c r="ABK36" s="10"/>
      <c r="ABL36" s="10"/>
    </row>
    <row r="37" spans="1:740" s="35" customFormat="1" x14ac:dyDescent="0.3">
      <c r="B37" s="36">
        <f t="shared" si="2"/>
        <v>3</v>
      </c>
      <c r="C37" s="37"/>
      <c r="D37" s="38" t="s">
        <v>1310</v>
      </c>
      <c r="E37" s="39" t="s">
        <v>1306</v>
      </c>
      <c r="F37" s="39"/>
      <c r="G37" s="39"/>
      <c r="H37" s="39"/>
      <c r="I37" s="39"/>
      <c r="J37" s="39" t="s">
        <v>1302</v>
      </c>
      <c r="K37" s="39">
        <v>12</v>
      </c>
      <c r="L37" s="40">
        <v>44757</v>
      </c>
      <c r="M37" s="40">
        <f t="shared" si="3"/>
        <v>45138</v>
      </c>
      <c r="N37" s="41"/>
    </row>
    <row r="38" spans="1:740" s="21" customFormat="1" x14ac:dyDescent="0.3">
      <c r="A38" s="10"/>
      <c r="B38" s="13">
        <f t="shared" si="2"/>
        <v>3</v>
      </c>
      <c r="C38" s="16"/>
      <c r="D38" s="17" t="s">
        <v>1310</v>
      </c>
      <c r="E38" s="18" t="s">
        <v>1306</v>
      </c>
      <c r="F38" s="18"/>
      <c r="G38" s="18"/>
      <c r="H38" s="18"/>
      <c r="I38" s="18"/>
      <c r="J38" s="18" t="s">
        <v>1302</v>
      </c>
      <c r="K38" s="18">
        <v>12</v>
      </c>
      <c r="L38" s="19">
        <v>44782</v>
      </c>
      <c r="M38" s="19">
        <f t="shared" si="3"/>
        <v>45169</v>
      </c>
      <c r="N38" s="2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10"/>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10"/>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c r="LX38" s="10"/>
      <c r="LY38" s="10"/>
      <c r="LZ38" s="10"/>
      <c r="MA38" s="10"/>
      <c r="MB38" s="10"/>
      <c r="MC38" s="10"/>
      <c r="MD38" s="10"/>
      <c r="ME38" s="10"/>
      <c r="MF38" s="10"/>
      <c r="MG38" s="10"/>
      <c r="MH38" s="10"/>
      <c r="MI38" s="10"/>
      <c r="MJ38" s="10"/>
      <c r="MK38" s="10"/>
      <c r="ML38" s="10"/>
      <c r="MM38" s="10"/>
      <c r="MN38" s="10"/>
      <c r="MO38" s="10"/>
      <c r="MP38" s="10"/>
      <c r="MQ38" s="10"/>
      <c r="MR38" s="10"/>
      <c r="MS38" s="10"/>
      <c r="MT38" s="10"/>
      <c r="MU38" s="10"/>
      <c r="MV38" s="10"/>
      <c r="MW38" s="10"/>
      <c r="MX38" s="10"/>
      <c r="MY38" s="10"/>
      <c r="MZ38" s="10"/>
      <c r="NA38" s="10"/>
      <c r="NB38" s="10"/>
      <c r="NC38" s="10"/>
      <c r="ND38" s="10"/>
      <c r="NE38" s="10"/>
      <c r="NF38" s="10"/>
      <c r="NG38" s="10"/>
      <c r="NH38" s="10"/>
      <c r="NI38" s="10"/>
      <c r="NJ38" s="10"/>
      <c r="NK38" s="10"/>
      <c r="NL38" s="10"/>
      <c r="NM38" s="10"/>
      <c r="NN38" s="10"/>
      <c r="NO38" s="10"/>
      <c r="NP38" s="10"/>
      <c r="NQ38" s="10"/>
      <c r="NR38" s="10"/>
      <c r="NS38" s="10"/>
      <c r="NT38" s="10"/>
      <c r="NU38" s="10"/>
      <c r="NV38" s="10"/>
      <c r="NW38" s="10"/>
      <c r="NX38" s="10"/>
      <c r="NY38" s="10"/>
      <c r="NZ38" s="10"/>
      <c r="OA38" s="10"/>
      <c r="OB38" s="10"/>
      <c r="OC38" s="10"/>
      <c r="OD38" s="10"/>
      <c r="OE38" s="10"/>
      <c r="OF38" s="10"/>
      <c r="OG38" s="10"/>
      <c r="OH38" s="10"/>
      <c r="OI38" s="10"/>
      <c r="OJ38" s="10"/>
      <c r="OK38" s="10"/>
      <c r="OL38" s="10"/>
      <c r="OM38" s="10"/>
      <c r="ON38" s="10"/>
      <c r="OO38" s="10"/>
      <c r="OP38" s="10"/>
      <c r="OQ38" s="10"/>
      <c r="OR38" s="10"/>
      <c r="OS38" s="10"/>
      <c r="OT38" s="10"/>
      <c r="OU38" s="10"/>
      <c r="OV38" s="10"/>
      <c r="OW38" s="10"/>
      <c r="OX38" s="10"/>
      <c r="OY38" s="10"/>
      <c r="OZ38" s="10"/>
      <c r="PA38" s="10"/>
      <c r="PB38" s="10"/>
      <c r="PC38" s="10"/>
      <c r="PD38" s="10"/>
      <c r="PE38" s="10"/>
      <c r="PF38" s="10"/>
      <c r="PG38" s="10"/>
      <c r="PH38" s="10"/>
      <c r="PI38" s="10"/>
      <c r="PJ38" s="10"/>
      <c r="PK38" s="10"/>
      <c r="PL38" s="10"/>
      <c r="PM38" s="10"/>
      <c r="PN38" s="10"/>
      <c r="PO38" s="10"/>
      <c r="PP38" s="10"/>
      <c r="PQ38" s="10"/>
      <c r="PR38" s="10"/>
      <c r="PS38" s="10"/>
      <c r="PT38" s="10"/>
      <c r="PU38" s="10"/>
      <c r="PV38" s="10"/>
      <c r="PW38" s="10"/>
      <c r="PX38" s="10"/>
      <c r="PY38" s="10"/>
      <c r="PZ38" s="10"/>
      <c r="QA38" s="10"/>
      <c r="QB38" s="10"/>
      <c r="QC38" s="10"/>
      <c r="QD38" s="10"/>
      <c r="QE38" s="10"/>
      <c r="QF38" s="10"/>
      <c r="QG38" s="10"/>
      <c r="QH38" s="10"/>
      <c r="QI38" s="10"/>
      <c r="QJ38" s="10"/>
      <c r="QK38" s="10"/>
      <c r="QL38" s="10"/>
      <c r="QM38" s="10"/>
      <c r="QN38" s="10"/>
      <c r="QO38" s="10"/>
      <c r="QP38" s="10"/>
      <c r="QQ38" s="10"/>
      <c r="QR38" s="10"/>
      <c r="QS38" s="10"/>
      <c r="QT38" s="10"/>
      <c r="QU38" s="10"/>
      <c r="QV38" s="10"/>
      <c r="QW38" s="10"/>
      <c r="QX38" s="10"/>
      <c r="QY38" s="10"/>
      <c r="QZ38" s="10"/>
      <c r="RA38" s="10"/>
      <c r="RB38" s="10"/>
      <c r="RC38" s="10"/>
      <c r="RD38" s="10"/>
      <c r="RE38" s="10"/>
      <c r="RF38" s="10"/>
      <c r="RG38" s="10"/>
      <c r="RH38" s="10"/>
      <c r="RI38" s="10"/>
      <c r="RJ38" s="10"/>
      <c r="RK38" s="10"/>
      <c r="RL38" s="10"/>
      <c r="RM38" s="10"/>
      <c r="RN38" s="10"/>
      <c r="RO38" s="10"/>
      <c r="RP38" s="10"/>
      <c r="RQ38" s="10"/>
      <c r="RR38" s="10"/>
      <c r="RS38" s="10"/>
      <c r="RT38" s="10"/>
      <c r="RU38" s="10"/>
      <c r="RV38" s="10"/>
      <c r="RW38" s="10"/>
      <c r="RX38" s="10"/>
      <c r="RY38" s="10"/>
      <c r="RZ38" s="10"/>
      <c r="SA38" s="10"/>
      <c r="SB38" s="10"/>
      <c r="SC38" s="10"/>
      <c r="SD38" s="10"/>
      <c r="SE38" s="10"/>
      <c r="SF38" s="10"/>
      <c r="SG38" s="10"/>
      <c r="SH38" s="10"/>
      <c r="SI38" s="10"/>
      <c r="SJ38" s="10"/>
      <c r="SK38" s="10"/>
      <c r="SL38" s="10"/>
      <c r="SM38" s="10"/>
      <c r="SN38" s="10"/>
      <c r="SO38" s="10"/>
      <c r="SP38" s="10"/>
      <c r="SQ38" s="10"/>
      <c r="SR38" s="10"/>
      <c r="SS38" s="10"/>
      <c r="ST38" s="10"/>
      <c r="SU38" s="10"/>
      <c r="SV38" s="10"/>
      <c r="SW38" s="10"/>
      <c r="SX38" s="10"/>
      <c r="SY38" s="10"/>
      <c r="SZ38" s="10"/>
      <c r="TA38" s="10"/>
      <c r="TB38" s="10"/>
      <c r="TC38" s="10"/>
      <c r="TD38" s="10"/>
      <c r="TE38" s="10"/>
      <c r="TF38" s="10"/>
      <c r="TG38" s="10"/>
      <c r="TH38" s="10"/>
      <c r="TI38" s="10"/>
      <c r="TJ38" s="10"/>
      <c r="TK38" s="10"/>
      <c r="TL38" s="10"/>
      <c r="TM38" s="10"/>
      <c r="TN38" s="10"/>
      <c r="TO38" s="10"/>
      <c r="TP38" s="10"/>
      <c r="TQ38" s="10"/>
      <c r="TR38" s="10"/>
      <c r="TS38" s="10"/>
      <c r="TT38" s="10"/>
      <c r="TU38" s="10"/>
      <c r="TV38" s="10"/>
      <c r="TW38" s="10"/>
      <c r="TX38" s="10"/>
      <c r="TY38" s="10"/>
      <c r="TZ38" s="10"/>
      <c r="UA38" s="10"/>
      <c r="UB38" s="10"/>
      <c r="UC38" s="10"/>
      <c r="UD38" s="10"/>
      <c r="UE38" s="10"/>
      <c r="UF38" s="10"/>
      <c r="UG38" s="10"/>
      <c r="UH38" s="10"/>
      <c r="UI38" s="10"/>
      <c r="UJ38" s="10"/>
      <c r="UK38" s="10"/>
      <c r="UL38" s="10"/>
      <c r="UM38" s="10"/>
      <c r="UN38" s="10"/>
      <c r="UO38" s="10"/>
      <c r="UP38" s="10"/>
      <c r="UQ38" s="10"/>
      <c r="UR38" s="10"/>
      <c r="US38" s="10"/>
      <c r="UT38" s="10"/>
      <c r="UU38" s="10"/>
      <c r="UV38" s="10"/>
      <c r="UW38" s="10"/>
      <c r="UX38" s="10"/>
      <c r="UY38" s="10"/>
      <c r="UZ38" s="10"/>
      <c r="VA38" s="10"/>
      <c r="VB38" s="10"/>
      <c r="VC38" s="10"/>
      <c r="VD38" s="10"/>
      <c r="VE38" s="10"/>
      <c r="VF38" s="10"/>
      <c r="VG38" s="10"/>
      <c r="VH38" s="10"/>
      <c r="VI38" s="10"/>
      <c r="VJ38" s="10"/>
      <c r="VK38" s="10"/>
      <c r="VL38" s="10"/>
      <c r="VM38" s="10"/>
      <c r="VN38" s="10"/>
      <c r="VO38" s="10"/>
      <c r="VP38" s="10"/>
      <c r="VQ38" s="10"/>
      <c r="VR38" s="10"/>
      <c r="VS38" s="10"/>
      <c r="VT38" s="10"/>
      <c r="VU38" s="10"/>
      <c r="VV38" s="10"/>
      <c r="VW38" s="10"/>
      <c r="VX38" s="10"/>
      <c r="VY38" s="10"/>
      <c r="VZ38" s="10"/>
      <c r="WA38" s="10"/>
      <c r="WB38" s="10"/>
      <c r="WC38" s="10"/>
      <c r="WD38" s="10"/>
      <c r="WE38" s="10"/>
      <c r="WF38" s="10"/>
      <c r="WG38" s="10"/>
      <c r="WH38" s="10"/>
      <c r="WI38" s="10"/>
      <c r="WJ38" s="10"/>
      <c r="WK38" s="10"/>
      <c r="WL38" s="10"/>
      <c r="WM38" s="10"/>
      <c r="WN38" s="10"/>
      <c r="WO38" s="10"/>
      <c r="WP38" s="10"/>
      <c r="WQ38" s="10"/>
      <c r="WR38" s="10"/>
      <c r="WS38" s="10"/>
      <c r="WT38" s="10"/>
      <c r="WU38" s="10"/>
      <c r="WV38" s="10"/>
      <c r="WW38" s="10"/>
      <c r="WX38" s="10"/>
      <c r="WY38" s="10"/>
      <c r="WZ38" s="10"/>
      <c r="XA38" s="10"/>
      <c r="XB38" s="10"/>
      <c r="XC38" s="10"/>
      <c r="XD38" s="10"/>
      <c r="XE38" s="10"/>
      <c r="XF38" s="10"/>
      <c r="XG38" s="10"/>
      <c r="XH38" s="10"/>
      <c r="XI38" s="10"/>
      <c r="XJ38" s="10"/>
      <c r="XK38" s="10"/>
      <c r="XL38" s="10"/>
      <c r="XM38" s="10"/>
      <c r="XN38" s="10"/>
      <c r="XO38" s="10"/>
      <c r="XP38" s="10"/>
      <c r="XQ38" s="10"/>
      <c r="XR38" s="10"/>
      <c r="XS38" s="10"/>
      <c r="XT38" s="10"/>
      <c r="XU38" s="10"/>
      <c r="XV38" s="10"/>
      <c r="XW38" s="10"/>
      <c r="XX38" s="10"/>
      <c r="XY38" s="10"/>
      <c r="XZ38" s="10"/>
      <c r="YA38" s="10"/>
      <c r="YB38" s="10"/>
      <c r="YC38" s="10"/>
      <c r="YD38" s="10"/>
      <c r="YE38" s="10"/>
      <c r="YF38" s="10"/>
      <c r="YG38" s="10"/>
      <c r="YH38" s="10"/>
      <c r="YI38" s="10"/>
      <c r="YJ38" s="10"/>
      <c r="YK38" s="10"/>
      <c r="YL38" s="10"/>
      <c r="YM38" s="10"/>
      <c r="YN38" s="10"/>
      <c r="YO38" s="10"/>
      <c r="YP38" s="10"/>
      <c r="YQ38" s="10"/>
      <c r="YR38" s="10"/>
      <c r="YS38" s="10"/>
      <c r="YT38" s="10"/>
      <c r="YU38" s="10"/>
      <c r="YV38" s="10"/>
      <c r="YW38" s="10"/>
      <c r="YX38" s="10"/>
      <c r="YY38" s="10"/>
      <c r="YZ38" s="10"/>
      <c r="ZA38" s="10"/>
      <c r="ZB38" s="10"/>
      <c r="ZC38" s="10"/>
      <c r="ZD38" s="10"/>
      <c r="ZE38" s="10"/>
      <c r="ZF38" s="10"/>
      <c r="ZG38" s="10"/>
      <c r="ZH38" s="10"/>
      <c r="ZI38" s="10"/>
      <c r="ZJ38" s="10"/>
      <c r="ZK38" s="10"/>
      <c r="ZL38" s="10"/>
      <c r="ZM38" s="10"/>
      <c r="ZN38" s="10"/>
      <c r="ZO38" s="10"/>
      <c r="ZP38" s="10"/>
      <c r="ZQ38" s="10"/>
      <c r="ZR38" s="10"/>
      <c r="ZS38" s="10"/>
      <c r="ZT38" s="10"/>
      <c r="ZU38" s="10"/>
      <c r="ZV38" s="10"/>
      <c r="ZW38" s="10"/>
      <c r="ZX38" s="10"/>
      <c r="ZY38" s="10"/>
      <c r="ZZ38" s="10"/>
      <c r="AAA38" s="10"/>
      <c r="AAB38" s="10"/>
      <c r="AAC38" s="10"/>
      <c r="AAD38" s="10"/>
      <c r="AAE38" s="10"/>
      <c r="AAF38" s="10"/>
      <c r="AAG38" s="10"/>
      <c r="AAH38" s="10"/>
      <c r="AAI38" s="10"/>
      <c r="AAJ38" s="10"/>
      <c r="AAK38" s="10"/>
      <c r="AAL38" s="10"/>
      <c r="AAM38" s="10"/>
      <c r="AAN38" s="10"/>
      <c r="AAO38" s="10"/>
      <c r="AAP38" s="10"/>
      <c r="AAQ38" s="10"/>
      <c r="AAR38" s="10"/>
      <c r="AAS38" s="10"/>
      <c r="AAT38" s="10"/>
      <c r="AAU38" s="10"/>
      <c r="AAV38" s="10"/>
      <c r="AAW38" s="10"/>
      <c r="AAX38" s="10"/>
      <c r="AAY38" s="10"/>
      <c r="AAZ38" s="10"/>
      <c r="ABA38" s="10"/>
      <c r="ABB38" s="10"/>
      <c r="ABC38" s="10"/>
      <c r="ABD38" s="10"/>
      <c r="ABE38" s="10"/>
      <c r="ABF38" s="10"/>
      <c r="ABG38" s="10"/>
      <c r="ABH38" s="10"/>
      <c r="ABI38" s="10"/>
      <c r="ABJ38" s="10"/>
      <c r="ABK38" s="10"/>
      <c r="ABL38" s="10"/>
    </row>
    <row r="39" spans="1:740" s="35" customFormat="1" x14ac:dyDescent="0.3">
      <c r="B39" s="36">
        <f t="shared" si="2"/>
        <v>3</v>
      </c>
      <c r="C39" s="37"/>
      <c r="D39" s="38" t="s">
        <v>1310</v>
      </c>
      <c r="E39" s="39" t="s">
        <v>1306</v>
      </c>
      <c r="F39" s="39"/>
      <c r="G39" s="39"/>
      <c r="H39" s="39"/>
      <c r="I39" s="39"/>
      <c r="J39" s="39" t="s">
        <v>1302</v>
      </c>
      <c r="K39" s="39">
        <v>12</v>
      </c>
      <c r="L39" s="40">
        <v>44697</v>
      </c>
      <c r="M39" s="40">
        <f t="shared" si="3"/>
        <v>45077</v>
      </c>
      <c r="N39" s="41"/>
    </row>
    <row r="40" spans="1:740" s="21" customFormat="1" x14ac:dyDescent="0.3">
      <c r="A40" s="10"/>
      <c r="B40" s="13">
        <f t="shared" si="2"/>
        <v>3</v>
      </c>
      <c r="C40" s="16"/>
      <c r="D40" s="17" t="s">
        <v>1310</v>
      </c>
      <c r="E40" s="18" t="s">
        <v>1306</v>
      </c>
      <c r="F40" s="18"/>
      <c r="G40" s="19">
        <v>44818</v>
      </c>
      <c r="H40" s="19">
        <v>44820</v>
      </c>
      <c r="I40" s="19">
        <v>44820</v>
      </c>
      <c r="J40" s="18" t="s">
        <v>1302</v>
      </c>
      <c r="K40" s="18">
        <v>12</v>
      </c>
      <c r="L40" s="19">
        <v>44860</v>
      </c>
      <c r="M40" s="19">
        <f t="shared" si="3"/>
        <v>45230</v>
      </c>
      <c r="N40" s="20" t="s">
        <v>1317</v>
      </c>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10"/>
      <c r="JP40" s="10"/>
      <c r="JQ40" s="10"/>
      <c r="JR40" s="10"/>
      <c r="JS40" s="10"/>
      <c r="JT40" s="10"/>
      <c r="JU40" s="10"/>
      <c r="JV40" s="10"/>
      <c r="JW40" s="10"/>
      <c r="JX40" s="10"/>
      <c r="JY40" s="10"/>
      <c r="JZ40" s="10"/>
      <c r="KA40" s="10"/>
      <c r="KB40" s="10"/>
      <c r="KC40" s="10"/>
      <c r="KD40" s="10"/>
      <c r="KE40" s="10"/>
      <c r="KF40" s="10"/>
      <c r="KG40" s="10"/>
      <c r="KH40" s="10"/>
      <c r="KI40" s="10"/>
      <c r="KJ40" s="10"/>
      <c r="KK40" s="10"/>
      <c r="KL40" s="10"/>
      <c r="KM40" s="10"/>
      <c r="KN40" s="10"/>
      <c r="KO40" s="10"/>
      <c r="KP40" s="10"/>
      <c r="KQ40" s="10"/>
      <c r="KR40" s="10"/>
      <c r="KS40" s="10"/>
      <c r="KT40" s="10"/>
      <c r="KU40" s="10"/>
      <c r="KV40" s="10"/>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c r="LX40" s="10"/>
      <c r="LY40" s="10"/>
      <c r="LZ40" s="10"/>
      <c r="MA40" s="10"/>
      <c r="MB40" s="10"/>
      <c r="MC40" s="10"/>
      <c r="MD40" s="10"/>
      <c r="ME40" s="10"/>
      <c r="MF40" s="10"/>
      <c r="MG40" s="10"/>
      <c r="MH40" s="10"/>
      <c r="MI40" s="10"/>
      <c r="MJ40" s="10"/>
      <c r="MK40" s="10"/>
      <c r="ML40" s="10"/>
      <c r="MM40" s="10"/>
      <c r="MN40" s="10"/>
      <c r="MO40" s="10"/>
      <c r="MP40" s="10"/>
      <c r="MQ40" s="10"/>
      <c r="MR40" s="10"/>
      <c r="MS40" s="10"/>
      <c r="MT40" s="10"/>
      <c r="MU40" s="10"/>
      <c r="MV40" s="10"/>
      <c r="MW40" s="10"/>
      <c r="MX40" s="10"/>
      <c r="MY40" s="10"/>
      <c r="MZ40" s="10"/>
      <c r="NA40" s="10"/>
      <c r="NB40" s="10"/>
      <c r="NC40" s="10"/>
      <c r="ND40" s="10"/>
      <c r="NE40" s="10"/>
      <c r="NF40" s="10"/>
      <c r="NG40" s="10"/>
      <c r="NH40" s="10"/>
      <c r="NI40" s="10"/>
      <c r="NJ40" s="10"/>
      <c r="NK40" s="10"/>
      <c r="NL40" s="10"/>
      <c r="NM40" s="10"/>
      <c r="NN40" s="10"/>
      <c r="NO40" s="10"/>
      <c r="NP40" s="10"/>
      <c r="NQ40" s="10"/>
      <c r="NR40" s="10"/>
      <c r="NS40" s="10"/>
      <c r="NT40" s="10"/>
      <c r="NU40" s="10"/>
      <c r="NV40" s="10"/>
      <c r="NW40" s="10"/>
      <c r="NX40" s="10"/>
      <c r="NY40" s="10"/>
      <c r="NZ40" s="10"/>
      <c r="OA40" s="10"/>
      <c r="OB40" s="10"/>
      <c r="OC40" s="10"/>
      <c r="OD40" s="10"/>
      <c r="OE40" s="10"/>
      <c r="OF40" s="10"/>
      <c r="OG40" s="10"/>
      <c r="OH40" s="10"/>
      <c r="OI40" s="10"/>
      <c r="OJ40" s="10"/>
      <c r="OK40" s="10"/>
      <c r="OL40" s="10"/>
      <c r="OM40" s="10"/>
      <c r="ON40" s="10"/>
      <c r="OO40" s="10"/>
      <c r="OP40" s="10"/>
      <c r="OQ40" s="10"/>
      <c r="OR40" s="10"/>
      <c r="OS40" s="10"/>
      <c r="OT40" s="10"/>
      <c r="OU40" s="10"/>
      <c r="OV40" s="10"/>
      <c r="OW40" s="10"/>
      <c r="OX40" s="10"/>
      <c r="OY40" s="10"/>
      <c r="OZ40" s="10"/>
      <c r="PA40" s="10"/>
      <c r="PB40" s="10"/>
      <c r="PC40" s="10"/>
      <c r="PD40" s="10"/>
      <c r="PE40" s="10"/>
      <c r="PF40" s="10"/>
      <c r="PG40" s="10"/>
      <c r="PH40" s="10"/>
      <c r="PI40" s="10"/>
      <c r="PJ40" s="10"/>
      <c r="PK40" s="10"/>
      <c r="PL40" s="10"/>
      <c r="PM40" s="10"/>
      <c r="PN40" s="10"/>
      <c r="PO40" s="10"/>
      <c r="PP40" s="10"/>
      <c r="PQ40" s="10"/>
      <c r="PR40" s="10"/>
      <c r="PS40" s="10"/>
      <c r="PT40" s="10"/>
      <c r="PU40" s="10"/>
      <c r="PV40" s="10"/>
      <c r="PW40" s="10"/>
      <c r="PX40" s="10"/>
      <c r="PY40" s="10"/>
      <c r="PZ40" s="10"/>
      <c r="QA40" s="10"/>
      <c r="QB40" s="10"/>
      <c r="QC40" s="10"/>
      <c r="QD40" s="10"/>
      <c r="QE40" s="10"/>
      <c r="QF40" s="10"/>
      <c r="QG40" s="10"/>
      <c r="QH40" s="10"/>
      <c r="QI40" s="10"/>
      <c r="QJ40" s="10"/>
      <c r="QK40" s="10"/>
      <c r="QL40" s="10"/>
      <c r="QM40" s="10"/>
      <c r="QN40" s="10"/>
      <c r="QO40" s="10"/>
      <c r="QP40" s="10"/>
      <c r="QQ40" s="10"/>
      <c r="QR40" s="10"/>
      <c r="QS40" s="10"/>
      <c r="QT40" s="10"/>
      <c r="QU40" s="10"/>
      <c r="QV40" s="10"/>
      <c r="QW40" s="10"/>
      <c r="QX40" s="10"/>
      <c r="QY40" s="10"/>
      <c r="QZ40" s="10"/>
      <c r="RA40" s="10"/>
      <c r="RB40" s="10"/>
      <c r="RC40" s="10"/>
      <c r="RD40" s="10"/>
      <c r="RE40" s="10"/>
      <c r="RF40" s="10"/>
      <c r="RG40" s="10"/>
      <c r="RH40" s="10"/>
      <c r="RI40" s="10"/>
      <c r="RJ40" s="10"/>
      <c r="RK40" s="10"/>
      <c r="RL40" s="10"/>
      <c r="RM40" s="10"/>
      <c r="RN40" s="10"/>
      <c r="RO40" s="10"/>
      <c r="RP40" s="10"/>
      <c r="RQ40" s="10"/>
      <c r="RR40" s="10"/>
      <c r="RS40" s="10"/>
      <c r="RT40" s="10"/>
      <c r="RU40" s="10"/>
      <c r="RV40" s="10"/>
      <c r="RW40" s="10"/>
      <c r="RX40" s="10"/>
      <c r="RY40" s="10"/>
      <c r="RZ40" s="10"/>
      <c r="SA40" s="10"/>
      <c r="SB40" s="10"/>
      <c r="SC40" s="10"/>
      <c r="SD40" s="10"/>
      <c r="SE40" s="10"/>
      <c r="SF40" s="10"/>
      <c r="SG40" s="10"/>
      <c r="SH40" s="10"/>
      <c r="SI40" s="10"/>
      <c r="SJ40" s="10"/>
      <c r="SK40" s="10"/>
      <c r="SL40" s="10"/>
      <c r="SM40" s="10"/>
      <c r="SN40" s="10"/>
      <c r="SO40" s="10"/>
      <c r="SP40" s="10"/>
      <c r="SQ40" s="10"/>
      <c r="SR40" s="10"/>
      <c r="SS40" s="10"/>
      <c r="ST40" s="10"/>
      <c r="SU40" s="10"/>
      <c r="SV40" s="10"/>
      <c r="SW40" s="10"/>
      <c r="SX40" s="10"/>
      <c r="SY40" s="10"/>
      <c r="SZ40" s="10"/>
      <c r="TA40" s="10"/>
      <c r="TB40" s="10"/>
      <c r="TC40" s="10"/>
      <c r="TD40" s="10"/>
      <c r="TE40" s="10"/>
      <c r="TF40" s="10"/>
      <c r="TG40" s="10"/>
      <c r="TH40" s="10"/>
      <c r="TI40" s="10"/>
      <c r="TJ40" s="10"/>
      <c r="TK40" s="10"/>
      <c r="TL40" s="10"/>
      <c r="TM40" s="10"/>
      <c r="TN40" s="10"/>
      <c r="TO40" s="10"/>
      <c r="TP40" s="10"/>
      <c r="TQ40" s="10"/>
      <c r="TR40" s="10"/>
      <c r="TS40" s="10"/>
      <c r="TT40" s="10"/>
      <c r="TU40" s="10"/>
      <c r="TV40" s="10"/>
      <c r="TW40" s="10"/>
      <c r="TX40" s="10"/>
      <c r="TY40" s="10"/>
      <c r="TZ40" s="10"/>
      <c r="UA40" s="10"/>
      <c r="UB40" s="10"/>
      <c r="UC40" s="10"/>
      <c r="UD40" s="10"/>
      <c r="UE40" s="10"/>
      <c r="UF40" s="10"/>
      <c r="UG40" s="10"/>
      <c r="UH40" s="10"/>
      <c r="UI40" s="10"/>
      <c r="UJ40" s="10"/>
      <c r="UK40" s="10"/>
      <c r="UL40" s="10"/>
      <c r="UM40" s="10"/>
      <c r="UN40" s="10"/>
      <c r="UO40" s="10"/>
      <c r="UP40" s="10"/>
      <c r="UQ40" s="10"/>
      <c r="UR40" s="10"/>
      <c r="US40" s="10"/>
      <c r="UT40" s="10"/>
      <c r="UU40" s="10"/>
      <c r="UV40" s="10"/>
      <c r="UW40" s="10"/>
      <c r="UX40" s="10"/>
      <c r="UY40" s="10"/>
      <c r="UZ40" s="10"/>
      <c r="VA40" s="10"/>
      <c r="VB40" s="10"/>
      <c r="VC40" s="10"/>
      <c r="VD40" s="10"/>
      <c r="VE40" s="10"/>
      <c r="VF40" s="10"/>
      <c r="VG40" s="10"/>
      <c r="VH40" s="10"/>
      <c r="VI40" s="10"/>
      <c r="VJ40" s="10"/>
      <c r="VK40" s="10"/>
      <c r="VL40" s="10"/>
      <c r="VM40" s="10"/>
      <c r="VN40" s="10"/>
      <c r="VO40" s="10"/>
      <c r="VP40" s="10"/>
      <c r="VQ40" s="10"/>
      <c r="VR40" s="10"/>
      <c r="VS40" s="10"/>
      <c r="VT40" s="10"/>
      <c r="VU40" s="10"/>
      <c r="VV40" s="10"/>
      <c r="VW40" s="10"/>
      <c r="VX40" s="10"/>
      <c r="VY40" s="10"/>
      <c r="VZ40" s="10"/>
      <c r="WA40" s="10"/>
      <c r="WB40" s="10"/>
      <c r="WC40" s="10"/>
      <c r="WD40" s="10"/>
      <c r="WE40" s="10"/>
      <c r="WF40" s="10"/>
      <c r="WG40" s="10"/>
      <c r="WH40" s="10"/>
      <c r="WI40" s="10"/>
      <c r="WJ40" s="10"/>
      <c r="WK40" s="10"/>
      <c r="WL40" s="10"/>
      <c r="WM40" s="10"/>
      <c r="WN40" s="10"/>
      <c r="WO40" s="10"/>
      <c r="WP40" s="10"/>
      <c r="WQ40" s="10"/>
      <c r="WR40" s="10"/>
      <c r="WS40" s="10"/>
      <c r="WT40" s="10"/>
      <c r="WU40" s="10"/>
      <c r="WV40" s="10"/>
      <c r="WW40" s="10"/>
      <c r="WX40" s="10"/>
      <c r="WY40" s="10"/>
      <c r="WZ40" s="10"/>
      <c r="XA40" s="10"/>
      <c r="XB40" s="10"/>
      <c r="XC40" s="10"/>
      <c r="XD40" s="10"/>
      <c r="XE40" s="10"/>
      <c r="XF40" s="10"/>
      <c r="XG40" s="10"/>
      <c r="XH40" s="10"/>
      <c r="XI40" s="10"/>
      <c r="XJ40" s="10"/>
      <c r="XK40" s="10"/>
      <c r="XL40" s="10"/>
      <c r="XM40" s="10"/>
      <c r="XN40" s="10"/>
      <c r="XO40" s="10"/>
      <c r="XP40" s="10"/>
      <c r="XQ40" s="10"/>
      <c r="XR40" s="10"/>
      <c r="XS40" s="10"/>
      <c r="XT40" s="10"/>
      <c r="XU40" s="10"/>
      <c r="XV40" s="10"/>
      <c r="XW40" s="10"/>
      <c r="XX40" s="10"/>
      <c r="XY40" s="10"/>
      <c r="XZ40" s="10"/>
      <c r="YA40" s="10"/>
      <c r="YB40" s="10"/>
      <c r="YC40" s="10"/>
      <c r="YD40" s="10"/>
      <c r="YE40" s="10"/>
      <c r="YF40" s="10"/>
      <c r="YG40" s="10"/>
      <c r="YH40" s="10"/>
      <c r="YI40" s="10"/>
      <c r="YJ40" s="10"/>
      <c r="YK40" s="10"/>
      <c r="YL40" s="10"/>
      <c r="YM40" s="10"/>
      <c r="YN40" s="10"/>
      <c r="YO40" s="10"/>
      <c r="YP40" s="10"/>
      <c r="YQ40" s="10"/>
      <c r="YR40" s="10"/>
      <c r="YS40" s="10"/>
      <c r="YT40" s="10"/>
      <c r="YU40" s="10"/>
      <c r="YV40" s="10"/>
      <c r="YW40" s="10"/>
      <c r="YX40" s="10"/>
      <c r="YY40" s="10"/>
      <c r="YZ40" s="10"/>
      <c r="ZA40" s="10"/>
      <c r="ZB40" s="10"/>
      <c r="ZC40" s="10"/>
      <c r="ZD40" s="10"/>
      <c r="ZE40" s="10"/>
      <c r="ZF40" s="10"/>
      <c r="ZG40" s="10"/>
      <c r="ZH40" s="10"/>
      <c r="ZI40" s="10"/>
      <c r="ZJ40" s="10"/>
      <c r="ZK40" s="10"/>
      <c r="ZL40" s="10"/>
      <c r="ZM40" s="10"/>
      <c r="ZN40" s="10"/>
      <c r="ZO40" s="10"/>
      <c r="ZP40" s="10"/>
      <c r="ZQ40" s="10"/>
      <c r="ZR40" s="10"/>
      <c r="ZS40" s="10"/>
      <c r="ZT40" s="10"/>
      <c r="ZU40" s="10"/>
      <c r="ZV40" s="10"/>
      <c r="ZW40" s="10"/>
      <c r="ZX40" s="10"/>
      <c r="ZY40" s="10"/>
      <c r="ZZ40" s="10"/>
      <c r="AAA40" s="10"/>
      <c r="AAB40" s="10"/>
      <c r="AAC40" s="10"/>
      <c r="AAD40" s="10"/>
      <c r="AAE40" s="10"/>
      <c r="AAF40" s="10"/>
      <c r="AAG40" s="10"/>
      <c r="AAH40" s="10"/>
      <c r="AAI40" s="10"/>
      <c r="AAJ40" s="10"/>
      <c r="AAK40" s="10"/>
      <c r="AAL40" s="10"/>
      <c r="AAM40" s="10"/>
      <c r="AAN40" s="10"/>
      <c r="AAO40" s="10"/>
      <c r="AAP40" s="10"/>
      <c r="AAQ40" s="10"/>
      <c r="AAR40" s="10"/>
      <c r="AAS40" s="10"/>
      <c r="AAT40" s="10"/>
      <c r="AAU40" s="10"/>
      <c r="AAV40" s="10"/>
      <c r="AAW40" s="10"/>
      <c r="AAX40" s="10"/>
      <c r="AAY40" s="10"/>
      <c r="AAZ40" s="10"/>
      <c r="ABA40" s="10"/>
      <c r="ABB40" s="10"/>
      <c r="ABC40" s="10"/>
      <c r="ABD40" s="10"/>
      <c r="ABE40" s="10"/>
      <c r="ABF40" s="10"/>
      <c r="ABG40" s="10"/>
      <c r="ABH40" s="10"/>
      <c r="ABI40" s="10"/>
      <c r="ABJ40" s="10"/>
      <c r="ABK40" s="10"/>
      <c r="ABL40" s="10"/>
    </row>
    <row r="41" spans="1:740" s="35" customFormat="1" x14ac:dyDescent="0.3">
      <c r="B41" s="36">
        <f t="shared" si="2"/>
        <v>3</v>
      </c>
      <c r="C41" s="37"/>
      <c r="D41" s="38" t="s">
        <v>1310</v>
      </c>
      <c r="E41" s="39" t="s">
        <v>1306</v>
      </c>
      <c r="F41" s="39"/>
      <c r="G41" s="40">
        <v>44806</v>
      </c>
      <c r="H41" s="40">
        <v>44819</v>
      </c>
      <c r="I41" s="40">
        <v>44826</v>
      </c>
      <c r="J41" s="39" t="s">
        <v>1302</v>
      </c>
      <c r="K41" s="39">
        <v>12</v>
      </c>
      <c r="L41" s="40">
        <v>44868</v>
      </c>
      <c r="M41" s="40">
        <f t="shared" si="3"/>
        <v>45260</v>
      </c>
      <c r="N41" s="42" t="s">
        <v>1318</v>
      </c>
    </row>
    <row r="42" spans="1:740" s="21" customFormat="1" x14ac:dyDescent="0.3">
      <c r="A42" s="10"/>
      <c r="B42" s="13">
        <f t="shared" si="2"/>
        <v>3</v>
      </c>
      <c r="C42" s="16"/>
      <c r="D42" s="17" t="s">
        <v>1310</v>
      </c>
      <c r="E42" s="18" t="s">
        <v>1306</v>
      </c>
      <c r="F42" s="18"/>
      <c r="G42" s="19">
        <v>44932</v>
      </c>
      <c r="H42" s="19">
        <v>44972</v>
      </c>
      <c r="I42" s="19">
        <v>44972</v>
      </c>
      <c r="J42" s="18" t="s">
        <v>1302</v>
      </c>
      <c r="K42" s="18">
        <v>12</v>
      </c>
      <c r="L42" s="19">
        <v>45049</v>
      </c>
      <c r="M42" s="19">
        <f t="shared" si="3"/>
        <v>45443</v>
      </c>
      <c r="N42" s="29" t="s">
        <v>1319</v>
      </c>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c r="MP42" s="10"/>
      <c r="MQ42" s="10"/>
      <c r="MR42" s="10"/>
      <c r="MS42" s="10"/>
      <c r="MT42" s="10"/>
      <c r="MU42" s="10"/>
      <c r="MV42" s="10"/>
      <c r="MW42" s="10"/>
      <c r="MX42" s="10"/>
      <c r="MY42" s="10"/>
      <c r="MZ42" s="10"/>
      <c r="NA42" s="10"/>
      <c r="NB42" s="10"/>
      <c r="NC42" s="10"/>
      <c r="ND42" s="10"/>
      <c r="NE42" s="10"/>
      <c r="NF42" s="10"/>
      <c r="NG42" s="10"/>
      <c r="NH42" s="10"/>
      <c r="NI42" s="10"/>
      <c r="NJ42" s="10"/>
      <c r="NK42" s="10"/>
      <c r="NL42" s="10"/>
      <c r="NM42" s="10"/>
      <c r="NN42" s="10"/>
      <c r="NO42" s="10"/>
      <c r="NP42" s="10"/>
      <c r="NQ42" s="10"/>
      <c r="NR42" s="10"/>
      <c r="NS42" s="10"/>
      <c r="NT42" s="10"/>
      <c r="NU42" s="10"/>
      <c r="NV42" s="10"/>
      <c r="NW42" s="10"/>
      <c r="NX42" s="10"/>
      <c r="NY42" s="10"/>
      <c r="NZ42" s="10"/>
      <c r="OA42" s="10"/>
      <c r="OB42" s="10"/>
      <c r="OC42" s="10"/>
      <c r="OD42" s="10"/>
      <c r="OE42" s="10"/>
      <c r="OF42" s="10"/>
      <c r="OG42" s="10"/>
      <c r="OH42" s="10"/>
      <c r="OI42" s="10"/>
      <c r="OJ42" s="10"/>
      <c r="OK42" s="10"/>
      <c r="OL42" s="10"/>
      <c r="OM42" s="10"/>
      <c r="ON42" s="10"/>
      <c r="OO42" s="10"/>
      <c r="OP42" s="10"/>
      <c r="OQ42" s="10"/>
      <c r="OR42" s="10"/>
      <c r="OS42" s="10"/>
      <c r="OT42" s="10"/>
      <c r="OU42" s="10"/>
      <c r="OV42" s="10"/>
      <c r="OW42" s="10"/>
      <c r="OX42" s="10"/>
      <c r="OY42" s="10"/>
      <c r="OZ42" s="10"/>
      <c r="PA42" s="10"/>
      <c r="PB42" s="10"/>
      <c r="PC42" s="10"/>
      <c r="PD42" s="10"/>
      <c r="PE42" s="10"/>
      <c r="PF42" s="10"/>
      <c r="PG42" s="10"/>
      <c r="PH42" s="10"/>
      <c r="PI42" s="10"/>
      <c r="PJ42" s="10"/>
      <c r="PK42" s="10"/>
      <c r="PL42" s="10"/>
      <c r="PM42" s="10"/>
      <c r="PN42" s="10"/>
      <c r="PO42" s="10"/>
      <c r="PP42" s="10"/>
      <c r="PQ42" s="10"/>
      <c r="PR42" s="10"/>
      <c r="PS42" s="10"/>
      <c r="PT42" s="10"/>
      <c r="PU42" s="10"/>
      <c r="PV42" s="10"/>
      <c r="PW42" s="10"/>
      <c r="PX42" s="10"/>
      <c r="PY42" s="10"/>
      <c r="PZ42" s="10"/>
      <c r="QA42" s="10"/>
      <c r="QB42" s="10"/>
      <c r="QC42" s="10"/>
      <c r="QD42" s="10"/>
      <c r="QE42" s="10"/>
      <c r="QF42" s="10"/>
      <c r="QG42" s="10"/>
      <c r="QH42" s="10"/>
      <c r="QI42" s="10"/>
      <c r="QJ42" s="10"/>
      <c r="QK42" s="10"/>
      <c r="QL42" s="10"/>
      <c r="QM42" s="10"/>
      <c r="QN42" s="10"/>
      <c r="QO42" s="10"/>
      <c r="QP42" s="10"/>
      <c r="QQ42" s="10"/>
      <c r="QR42" s="10"/>
      <c r="QS42" s="10"/>
      <c r="QT42" s="10"/>
      <c r="QU42" s="10"/>
      <c r="QV42" s="10"/>
      <c r="QW42" s="10"/>
      <c r="QX42" s="10"/>
      <c r="QY42" s="10"/>
      <c r="QZ42" s="10"/>
      <c r="RA42" s="10"/>
      <c r="RB42" s="10"/>
      <c r="RC42" s="10"/>
      <c r="RD42" s="10"/>
      <c r="RE42" s="10"/>
      <c r="RF42" s="10"/>
      <c r="RG42" s="10"/>
      <c r="RH42" s="10"/>
      <c r="RI42" s="10"/>
      <c r="RJ42" s="10"/>
      <c r="RK42" s="10"/>
      <c r="RL42" s="10"/>
      <c r="RM42" s="10"/>
      <c r="RN42" s="10"/>
      <c r="RO42" s="10"/>
      <c r="RP42" s="10"/>
      <c r="RQ42" s="10"/>
      <c r="RR42" s="10"/>
      <c r="RS42" s="10"/>
      <c r="RT42" s="10"/>
      <c r="RU42" s="10"/>
      <c r="RV42" s="10"/>
      <c r="RW42" s="10"/>
      <c r="RX42" s="10"/>
      <c r="RY42" s="10"/>
      <c r="RZ42" s="10"/>
      <c r="SA42" s="10"/>
      <c r="SB42" s="10"/>
      <c r="SC42" s="10"/>
      <c r="SD42" s="10"/>
      <c r="SE42" s="10"/>
      <c r="SF42" s="10"/>
      <c r="SG42" s="10"/>
      <c r="SH42" s="10"/>
      <c r="SI42" s="10"/>
      <c r="SJ42" s="10"/>
      <c r="SK42" s="10"/>
      <c r="SL42" s="10"/>
      <c r="SM42" s="10"/>
      <c r="SN42" s="10"/>
      <c r="SO42" s="10"/>
      <c r="SP42" s="10"/>
      <c r="SQ42" s="10"/>
      <c r="SR42" s="10"/>
      <c r="SS42" s="10"/>
      <c r="ST42" s="10"/>
      <c r="SU42" s="10"/>
      <c r="SV42" s="10"/>
      <c r="SW42" s="10"/>
      <c r="SX42" s="10"/>
      <c r="SY42" s="10"/>
      <c r="SZ42" s="10"/>
      <c r="TA42" s="10"/>
      <c r="TB42" s="10"/>
      <c r="TC42" s="10"/>
      <c r="TD42" s="10"/>
      <c r="TE42" s="10"/>
      <c r="TF42" s="10"/>
      <c r="TG42" s="10"/>
      <c r="TH42" s="10"/>
      <c r="TI42" s="10"/>
      <c r="TJ42" s="10"/>
      <c r="TK42" s="10"/>
      <c r="TL42" s="10"/>
      <c r="TM42" s="10"/>
      <c r="TN42" s="10"/>
      <c r="TO42" s="10"/>
      <c r="TP42" s="10"/>
      <c r="TQ42" s="10"/>
      <c r="TR42" s="10"/>
      <c r="TS42" s="10"/>
      <c r="TT42" s="10"/>
      <c r="TU42" s="10"/>
      <c r="TV42" s="10"/>
      <c r="TW42" s="10"/>
      <c r="TX42" s="10"/>
      <c r="TY42" s="10"/>
      <c r="TZ42" s="10"/>
      <c r="UA42" s="10"/>
      <c r="UB42" s="10"/>
      <c r="UC42" s="10"/>
      <c r="UD42" s="10"/>
      <c r="UE42" s="10"/>
      <c r="UF42" s="10"/>
      <c r="UG42" s="10"/>
      <c r="UH42" s="10"/>
      <c r="UI42" s="10"/>
      <c r="UJ42" s="10"/>
      <c r="UK42" s="10"/>
      <c r="UL42" s="10"/>
      <c r="UM42" s="10"/>
      <c r="UN42" s="10"/>
      <c r="UO42" s="10"/>
      <c r="UP42" s="10"/>
      <c r="UQ42" s="10"/>
      <c r="UR42" s="10"/>
      <c r="US42" s="10"/>
      <c r="UT42" s="10"/>
      <c r="UU42" s="10"/>
      <c r="UV42" s="10"/>
      <c r="UW42" s="10"/>
      <c r="UX42" s="10"/>
      <c r="UY42" s="10"/>
      <c r="UZ42" s="10"/>
      <c r="VA42" s="10"/>
      <c r="VB42" s="10"/>
      <c r="VC42" s="10"/>
      <c r="VD42" s="10"/>
      <c r="VE42" s="10"/>
      <c r="VF42" s="10"/>
      <c r="VG42" s="10"/>
      <c r="VH42" s="10"/>
      <c r="VI42" s="10"/>
      <c r="VJ42" s="10"/>
      <c r="VK42" s="10"/>
      <c r="VL42" s="10"/>
      <c r="VM42" s="10"/>
      <c r="VN42" s="10"/>
      <c r="VO42" s="10"/>
      <c r="VP42" s="10"/>
      <c r="VQ42" s="10"/>
      <c r="VR42" s="10"/>
      <c r="VS42" s="10"/>
      <c r="VT42" s="10"/>
      <c r="VU42" s="10"/>
      <c r="VV42" s="10"/>
      <c r="VW42" s="10"/>
      <c r="VX42" s="10"/>
      <c r="VY42" s="10"/>
      <c r="VZ42" s="10"/>
      <c r="WA42" s="10"/>
      <c r="WB42" s="10"/>
      <c r="WC42" s="10"/>
      <c r="WD42" s="10"/>
      <c r="WE42" s="10"/>
      <c r="WF42" s="10"/>
      <c r="WG42" s="10"/>
      <c r="WH42" s="10"/>
      <c r="WI42" s="10"/>
      <c r="WJ42" s="10"/>
      <c r="WK42" s="10"/>
      <c r="WL42" s="10"/>
      <c r="WM42" s="10"/>
      <c r="WN42" s="10"/>
      <c r="WO42" s="10"/>
      <c r="WP42" s="10"/>
      <c r="WQ42" s="10"/>
      <c r="WR42" s="10"/>
      <c r="WS42" s="10"/>
      <c r="WT42" s="10"/>
      <c r="WU42" s="10"/>
      <c r="WV42" s="10"/>
      <c r="WW42" s="10"/>
      <c r="WX42" s="10"/>
      <c r="WY42" s="10"/>
      <c r="WZ42" s="10"/>
      <c r="XA42" s="10"/>
      <c r="XB42" s="10"/>
      <c r="XC42" s="10"/>
      <c r="XD42" s="10"/>
      <c r="XE42" s="10"/>
      <c r="XF42" s="10"/>
      <c r="XG42" s="10"/>
      <c r="XH42" s="10"/>
      <c r="XI42" s="10"/>
      <c r="XJ42" s="10"/>
      <c r="XK42" s="10"/>
      <c r="XL42" s="10"/>
      <c r="XM42" s="10"/>
      <c r="XN42" s="10"/>
      <c r="XO42" s="10"/>
      <c r="XP42" s="10"/>
      <c r="XQ42" s="10"/>
      <c r="XR42" s="10"/>
      <c r="XS42" s="10"/>
      <c r="XT42" s="10"/>
      <c r="XU42" s="10"/>
      <c r="XV42" s="10"/>
      <c r="XW42" s="10"/>
      <c r="XX42" s="10"/>
      <c r="XY42" s="10"/>
      <c r="XZ42" s="10"/>
      <c r="YA42" s="10"/>
      <c r="YB42" s="10"/>
      <c r="YC42" s="10"/>
      <c r="YD42" s="10"/>
      <c r="YE42" s="10"/>
      <c r="YF42" s="10"/>
      <c r="YG42" s="10"/>
      <c r="YH42" s="10"/>
      <c r="YI42" s="10"/>
      <c r="YJ42" s="10"/>
      <c r="YK42" s="10"/>
      <c r="YL42" s="10"/>
      <c r="YM42" s="10"/>
      <c r="YN42" s="10"/>
      <c r="YO42" s="10"/>
      <c r="YP42" s="10"/>
      <c r="YQ42" s="10"/>
      <c r="YR42" s="10"/>
      <c r="YS42" s="10"/>
      <c r="YT42" s="10"/>
      <c r="YU42" s="10"/>
      <c r="YV42" s="10"/>
      <c r="YW42" s="10"/>
      <c r="YX42" s="10"/>
      <c r="YY42" s="10"/>
      <c r="YZ42" s="10"/>
      <c r="ZA42" s="10"/>
      <c r="ZB42" s="10"/>
      <c r="ZC42" s="10"/>
      <c r="ZD42" s="10"/>
      <c r="ZE42" s="10"/>
      <c r="ZF42" s="10"/>
      <c r="ZG42" s="10"/>
      <c r="ZH42" s="10"/>
      <c r="ZI42" s="10"/>
      <c r="ZJ42" s="10"/>
      <c r="ZK42" s="10"/>
      <c r="ZL42" s="10"/>
      <c r="ZM42" s="10"/>
      <c r="ZN42" s="10"/>
      <c r="ZO42" s="10"/>
      <c r="ZP42" s="10"/>
      <c r="ZQ42" s="10"/>
      <c r="ZR42" s="10"/>
      <c r="ZS42" s="10"/>
      <c r="ZT42" s="10"/>
      <c r="ZU42" s="10"/>
      <c r="ZV42" s="10"/>
      <c r="ZW42" s="10"/>
      <c r="ZX42" s="10"/>
      <c r="ZY42" s="10"/>
      <c r="ZZ42" s="10"/>
      <c r="AAA42" s="10"/>
      <c r="AAB42" s="10"/>
      <c r="AAC42" s="10"/>
      <c r="AAD42" s="10"/>
      <c r="AAE42" s="10"/>
      <c r="AAF42" s="10"/>
      <c r="AAG42" s="10"/>
      <c r="AAH42" s="10"/>
      <c r="AAI42" s="10"/>
      <c r="AAJ42" s="10"/>
      <c r="AAK42" s="10"/>
      <c r="AAL42" s="10"/>
      <c r="AAM42" s="10"/>
      <c r="AAN42" s="10"/>
      <c r="AAO42" s="10"/>
      <c r="AAP42" s="10"/>
      <c r="AAQ42" s="10"/>
      <c r="AAR42" s="10"/>
      <c r="AAS42" s="10"/>
      <c r="AAT42" s="10"/>
      <c r="AAU42" s="10"/>
      <c r="AAV42" s="10"/>
      <c r="AAW42" s="10"/>
      <c r="AAX42" s="10"/>
      <c r="AAY42" s="10"/>
      <c r="AAZ42" s="10"/>
      <c r="ABA42" s="10"/>
      <c r="ABB42" s="10"/>
      <c r="ABC42" s="10"/>
      <c r="ABD42" s="10"/>
      <c r="ABE42" s="10"/>
      <c r="ABF42" s="10"/>
      <c r="ABG42" s="10"/>
      <c r="ABH42" s="10"/>
      <c r="ABI42" s="10"/>
      <c r="ABJ42" s="10"/>
      <c r="ABK42" s="10"/>
      <c r="ABL42" s="10"/>
    </row>
    <row r="43" spans="1:740" s="35" customFormat="1" x14ac:dyDescent="0.3">
      <c r="B43" s="36">
        <f t="shared" si="2"/>
        <v>3</v>
      </c>
      <c r="C43" s="37"/>
      <c r="D43" s="38" t="s">
        <v>1310</v>
      </c>
      <c r="E43" s="39" t="s">
        <v>1306</v>
      </c>
      <c r="F43" s="39"/>
      <c r="G43" s="40">
        <v>44967</v>
      </c>
      <c r="H43" s="40">
        <v>44981</v>
      </c>
      <c r="I43" s="40">
        <v>44984</v>
      </c>
      <c r="J43" s="39" t="s">
        <v>1302</v>
      </c>
      <c r="K43" s="39">
        <v>12</v>
      </c>
      <c r="L43" s="40">
        <v>45056</v>
      </c>
      <c r="M43" s="40">
        <f t="shared" si="3"/>
        <v>45443</v>
      </c>
      <c r="N43" s="42" t="s">
        <v>1319</v>
      </c>
    </row>
    <row r="44" spans="1:740" s="21" customFormat="1" x14ac:dyDescent="0.3">
      <c r="A44" s="10"/>
      <c r="B44" s="13">
        <f t="shared" si="2"/>
        <v>3</v>
      </c>
      <c r="C44" s="16"/>
      <c r="D44" s="17" t="s">
        <v>1310</v>
      </c>
      <c r="E44" s="18" t="s">
        <v>1306</v>
      </c>
      <c r="F44" s="18"/>
      <c r="G44" s="19">
        <v>44825</v>
      </c>
      <c r="H44" s="19">
        <v>44831</v>
      </c>
      <c r="I44" s="19">
        <v>44833</v>
      </c>
      <c r="J44" s="18" t="s">
        <v>1302</v>
      </c>
      <c r="K44" s="18">
        <v>12</v>
      </c>
      <c r="L44" s="19">
        <v>44860</v>
      </c>
      <c r="M44" s="19">
        <f t="shared" si="3"/>
        <v>45230</v>
      </c>
      <c r="N44" s="29" t="s">
        <v>1320</v>
      </c>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10"/>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10"/>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c r="MF44" s="10"/>
      <c r="MG44" s="10"/>
      <c r="MH44" s="10"/>
      <c r="MI44" s="10"/>
      <c r="MJ44" s="10"/>
      <c r="MK44" s="10"/>
      <c r="ML44" s="10"/>
      <c r="MM44" s="10"/>
      <c r="MN44" s="10"/>
      <c r="MO44" s="10"/>
      <c r="MP44" s="10"/>
      <c r="MQ44" s="10"/>
      <c r="MR44" s="10"/>
      <c r="MS44" s="10"/>
      <c r="MT44" s="10"/>
      <c r="MU44" s="10"/>
      <c r="MV44" s="10"/>
      <c r="MW44" s="10"/>
      <c r="MX44" s="10"/>
      <c r="MY44" s="10"/>
      <c r="MZ44" s="10"/>
      <c r="NA44" s="10"/>
      <c r="NB44" s="10"/>
      <c r="NC44" s="10"/>
      <c r="ND44" s="10"/>
      <c r="NE44" s="10"/>
      <c r="NF44" s="10"/>
      <c r="NG44" s="10"/>
      <c r="NH44" s="10"/>
      <c r="NI44" s="10"/>
      <c r="NJ44" s="10"/>
      <c r="NK44" s="10"/>
      <c r="NL44" s="10"/>
      <c r="NM44" s="10"/>
      <c r="NN44" s="10"/>
      <c r="NO44" s="10"/>
      <c r="NP44" s="10"/>
      <c r="NQ44" s="10"/>
      <c r="NR44" s="10"/>
      <c r="NS44" s="10"/>
      <c r="NT44" s="10"/>
      <c r="NU44" s="10"/>
      <c r="NV44" s="10"/>
      <c r="NW44" s="10"/>
      <c r="NX44" s="10"/>
      <c r="NY44" s="10"/>
      <c r="NZ44" s="10"/>
      <c r="OA44" s="10"/>
      <c r="OB44" s="10"/>
      <c r="OC44" s="10"/>
      <c r="OD44" s="10"/>
      <c r="OE44" s="10"/>
      <c r="OF44" s="10"/>
      <c r="OG44" s="10"/>
      <c r="OH44" s="10"/>
      <c r="OI44" s="10"/>
      <c r="OJ44" s="10"/>
      <c r="OK44" s="10"/>
      <c r="OL44" s="10"/>
      <c r="OM44" s="10"/>
      <c r="ON44" s="10"/>
      <c r="OO44" s="10"/>
      <c r="OP44" s="10"/>
      <c r="OQ44" s="10"/>
      <c r="OR44" s="10"/>
      <c r="OS44" s="10"/>
      <c r="OT44" s="10"/>
      <c r="OU44" s="10"/>
      <c r="OV44" s="10"/>
      <c r="OW44" s="10"/>
      <c r="OX44" s="10"/>
      <c r="OY44" s="10"/>
      <c r="OZ44" s="10"/>
      <c r="PA44" s="10"/>
      <c r="PB44" s="10"/>
      <c r="PC44" s="10"/>
      <c r="PD44" s="10"/>
      <c r="PE44" s="10"/>
      <c r="PF44" s="10"/>
      <c r="PG44" s="10"/>
      <c r="PH44" s="10"/>
      <c r="PI44" s="10"/>
      <c r="PJ44" s="10"/>
      <c r="PK44" s="10"/>
      <c r="PL44" s="10"/>
      <c r="PM44" s="10"/>
      <c r="PN44" s="10"/>
      <c r="PO44" s="10"/>
      <c r="PP44" s="10"/>
      <c r="PQ44" s="10"/>
      <c r="PR44" s="10"/>
      <c r="PS44" s="10"/>
      <c r="PT44" s="10"/>
      <c r="PU44" s="10"/>
      <c r="PV44" s="10"/>
      <c r="PW44" s="10"/>
      <c r="PX44" s="10"/>
      <c r="PY44" s="10"/>
      <c r="PZ44" s="10"/>
      <c r="QA44" s="10"/>
      <c r="QB44" s="10"/>
      <c r="QC44" s="10"/>
      <c r="QD44" s="10"/>
      <c r="QE44" s="10"/>
      <c r="QF44" s="10"/>
      <c r="QG44" s="10"/>
      <c r="QH44" s="10"/>
      <c r="QI44" s="10"/>
      <c r="QJ44" s="10"/>
      <c r="QK44" s="10"/>
      <c r="QL44" s="10"/>
      <c r="QM44" s="10"/>
      <c r="QN44" s="10"/>
      <c r="QO44" s="10"/>
      <c r="QP44" s="10"/>
      <c r="QQ44" s="10"/>
      <c r="QR44" s="10"/>
      <c r="QS44" s="10"/>
      <c r="QT44" s="10"/>
      <c r="QU44" s="10"/>
      <c r="QV44" s="10"/>
      <c r="QW44" s="10"/>
      <c r="QX44" s="10"/>
      <c r="QY44" s="10"/>
      <c r="QZ44" s="10"/>
      <c r="RA44" s="10"/>
      <c r="RB44" s="10"/>
      <c r="RC44" s="10"/>
      <c r="RD44" s="10"/>
      <c r="RE44" s="10"/>
      <c r="RF44" s="10"/>
      <c r="RG44" s="10"/>
      <c r="RH44" s="10"/>
      <c r="RI44" s="10"/>
      <c r="RJ44" s="10"/>
      <c r="RK44" s="10"/>
      <c r="RL44" s="10"/>
      <c r="RM44" s="10"/>
      <c r="RN44" s="10"/>
      <c r="RO44" s="10"/>
      <c r="RP44" s="10"/>
      <c r="RQ44" s="10"/>
      <c r="RR44" s="10"/>
      <c r="RS44" s="10"/>
      <c r="RT44" s="10"/>
      <c r="RU44" s="10"/>
      <c r="RV44" s="10"/>
      <c r="RW44" s="10"/>
      <c r="RX44" s="10"/>
      <c r="RY44" s="10"/>
      <c r="RZ44" s="10"/>
      <c r="SA44" s="10"/>
      <c r="SB44" s="10"/>
      <c r="SC44" s="10"/>
      <c r="SD44" s="10"/>
      <c r="SE44" s="10"/>
      <c r="SF44" s="10"/>
      <c r="SG44" s="10"/>
      <c r="SH44" s="10"/>
      <c r="SI44" s="10"/>
      <c r="SJ44" s="10"/>
      <c r="SK44" s="10"/>
      <c r="SL44" s="10"/>
      <c r="SM44" s="10"/>
      <c r="SN44" s="10"/>
      <c r="SO44" s="10"/>
      <c r="SP44" s="10"/>
      <c r="SQ44" s="10"/>
      <c r="SR44" s="10"/>
      <c r="SS44" s="10"/>
      <c r="ST44" s="10"/>
      <c r="SU44" s="10"/>
      <c r="SV44" s="10"/>
      <c r="SW44" s="10"/>
      <c r="SX44" s="10"/>
      <c r="SY44" s="10"/>
      <c r="SZ44" s="10"/>
      <c r="TA44" s="10"/>
      <c r="TB44" s="10"/>
      <c r="TC44" s="10"/>
      <c r="TD44" s="10"/>
      <c r="TE44" s="10"/>
      <c r="TF44" s="10"/>
      <c r="TG44" s="10"/>
      <c r="TH44" s="10"/>
      <c r="TI44" s="10"/>
      <c r="TJ44" s="10"/>
      <c r="TK44" s="10"/>
      <c r="TL44" s="10"/>
      <c r="TM44" s="10"/>
      <c r="TN44" s="10"/>
      <c r="TO44" s="10"/>
      <c r="TP44" s="10"/>
      <c r="TQ44" s="10"/>
      <c r="TR44" s="10"/>
      <c r="TS44" s="10"/>
      <c r="TT44" s="10"/>
      <c r="TU44" s="10"/>
      <c r="TV44" s="10"/>
      <c r="TW44" s="10"/>
      <c r="TX44" s="10"/>
      <c r="TY44" s="10"/>
      <c r="TZ44" s="10"/>
      <c r="UA44" s="10"/>
      <c r="UB44" s="10"/>
      <c r="UC44" s="10"/>
      <c r="UD44" s="10"/>
      <c r="UE44" s="10"/>
      <c r="UF44" s="10"/>
      <c r="UG44" s="10"/>
      <c r="UH44" s="10"/>
      <c r="UI44" s="10"/>
      <c r="UJ44" s="10"/>
      <c r="UK44" s="10"/>
      <c r="UL44" s="10"/>
      <c r="UM44" s="10"/>
      <c r="UN44" s="10"/>
      <c r="UO44" s="10"/>
      <c r="UP44" s="10"/>
      <c r="UQ44" s="10"/>
      <c r="UR44" s="10"/>
      <c r="US44" s="10"/>
      <c r="UT44" s="10"/>
      <c r="UU44" s="10"/>
      <c r="UV44" s="10"/>
      <c r="UW44" s="10"/>
      <c r="UX44" s="10"/>
      <c r="UY44" s="10"/>
      <c r="UZ44" s="10"/>
      <c r="VA44" s="10"/>
      <c r="VB44" s="10"/>
      <c r="VC44" s="10"/>
      <c r="VD44" s="10"/>
      <c r="VE44" s="10"/>
      <c r="VF44" s="10"/>
      <c r="VG44" s="10"/>
      <c r="VH44" s="10"/>
      <c r="VI44" s="10"/>
      <c r="VJ44" s="10"/>
      <c r="VK44" s="10"/>
      <c r="VL44" s="10"/>
      <c r="VM44" s="10"/>
      <c r="VN44" s="10"/>
      <c r="VO44" s="10"/>
      <c r="VP44" s="10"/>
      <c r="VQ44" s="10"/>
      <c r="VR44" s="10"/>
      <c r="VS44" s="10"/>
      <c r="VT44" s="10"/>
      <c r="VU44" s="10"/>
      <c r="VV44" s="10"/>
      <c r="VW44" s="10"/>
      <c r="VX44" s="10"/>
      <c r="VY44" s="10"/>
      <c r="VZ44" s="10"/>
      <c r="WA44" s="10"/>
      <c r="WB44" s="10"/>
      <c r="WC44" s="10"/>
      <c r="WD44" s="10"/>
      <c r="WE44" s="10"/>
      <c r="WF44" s="10"/>
      <c r="WG44" s="10"/>
      <c r="WH44" s="10"/>
      <c r="WI44" s="10"/>
      <c r="WJ44" s="10"/>
      <c r="WK44" s="10"/>
      <c r="WL44" s="10"/>
      <c r="WM44" s="10"/>
      <c r="WN44" s="10"/>
      <c r="WO44" s="10"/>
      <c r="WP44" s="10"/>
      <c r="WQ44" s="10"/>
      <c r="WR44" s="10"/>
      <c r="WS44" s="10"/>
      <c r="WT44" s="10"/>
      <c r="WU44" s="10"/>
      <c r="WV44" s="10"/>
      <c r="WW44" s="10"/>
      <c r="WX44" s="10"/>
      <c r="WY44" s="10"/>
      <c r="WZ44" s="10"/>
      <c r="XA44" s="10"/>
      <c r="XB44" s="10"/>
      <c r="XC44" s="10"/>
      <c r="XD44" s="10"/>
      <c r="XE44" s="10"/>
      <c r="XF44" s="10"/>
      <c r="XG44" s="10"/>
      <c r="XH44" s="10"/>
      <c r="XI44" s="10"/>
      <c r="XJ44" s="10"/>
      <c r="XK44" s="10"/>
      <c r="XL44" s="10"/>
      <c r="XM44" s="10"/>
      <c r="XN44" s="10"/>
      <c r="XO44" s="10"/>
      <c r="XP44" s="10"/>
      <c r="XQ44" s="10"/>
      <c r="XR44" s="10"/>
      <c r="XS44" s="10"/>
      <c r="XT44" s="10"/>
      <c r="XU44" s="10"/>
      <c r="XV44" s="10"/>
      <c r="XW44" s="10"/>
      <c r="XX44" s="10"/>
      <c r="XY44" s="10"/>
      <c r="XZ44" s="10"/>
      <c r="YA44" s="10"/>
      <c r="YB44" s="10"/>
      <c r="YC44" s="10"/>
      <c r="YD44" s="10"/>
      <c r="YE44" s="10"/>
      <c r="YF44" s="10"/>
      <c r="YG44" s="10"/>
      <c r="YH44" s="10"/>
      <c r="YI44" s="10"/>
      <c r="YJ44" s="10"/>
      <c r="YK44" s="10"/>
      <c r="YL44" s="10"/>
      <c r="YM44" s="10"/>
      <c r="YN44" s="10"/>
      <c r="YO44" s="10"/>
      <c r="YP44" s="10"/>
      <c r="YQ44" s="10"/>
      <c r="YR44" s="10"/>
      <c r="YS44" s="10"/>
      <c r="YT44" s="10"/>
      <c r="YU44" s="10"/>
      <c r="YV44" s="10"/>
      <c r="YW44" s="10"/>
      <c r="YX44" s="10"/>
      <c r="YY44" s="10"/>
      <c r="YZ44" s="10"/>
      <c r="ZA44" s="10"/>
      <c r="ZB44" s="10"/>
      <c r="ZC44" s="10"/>
      <c r="ZD44" s="10"/>
      <c r="ZE44" s="10"/>
      <c r="ZF44" s="10"/>
      <c r="ZG44" s="10"/>
      <c r="ZH44" s="10"/>
      <c r="ZI44" s="10"/>
      <c r="ZJ44" s="10"/>
      <c r="ZK44" s="10"/>
      <c r="ZL44" s="10"/>
      <c r="ZM44" s="10"/>
      <c r="ZN44" s="10"/>
      <c r="ZO44" s="10"/>
      <c r="ZP44" s="10"/>
      <c r="ZQ44" s="10"/>
      <c r="ZR44" s="10"/>
      <c r="ZS44" s="10"/>
      <c r="ZT44" s="10"/>
      <c r="ZU44" s="10"/>
      <c r="ZV44" s="10"/>
      <c r="ZW44" s="10"/>
      <c r="ZX44" s="10"/>
      <c r="ZY44" s="10"/>
      <c r="ZZ44" s="10"/>
      <c r="AAA44" s="10"/>
      <c r="AAB44" s="10"/>
      <c r="AAC44" s="10"/>
      <c r="AAD44" s="10"/>
      <c r="AAE44" s="10"/>
      <c r="AAF44" s="10"/>
      <c r="AAG44" s="10"/>
      <c r="AAH44" s="10"/>
      <c r="AAI44" s="10"/>
      <c r="AAJ44" s="10"/>
      <c r="AAK44" s="10"/>
      <c r="AAL44" s="10"/>
      <c r="AAM44" s="10"/>
      <c r="AAN44" s="10"/>
      <c r="AAO44" s="10"/>
      <c r="AAP44" s="10"/>
      <c r="AAQ44" s="10"/>
      <c r="AAR44" s="10"/>
      <c r="AAS44" s="10"/>
      <c r="AAT44" s="10"/>
      <c r="AAU44" s="10"/>
      <c r="AAV44" s="10"/>
      <c r="AAW44" s="10"/>
      <c r="AAX44" s="10"/>
      <c r="AAY44" s="10"/>
      <c r="AAZ44" s="10"/>
      <c r="ABA44" s="10"/>
      <c r="ABB44" s="10"/>
      <c r="ABC44" s="10"/>
      <c r="ABD44" s="10"/>
      <c r="ABE44" s="10"/>
      <c r="ABF44" s="10"/>
      <c r="ABG44" s="10"/>
      <c r="ABH44" s="10"/>
      <c r="ABI44" s="10"/>
      <c r="ABJ44" s="10"/>
      <c r="ABK44" s="10"/>
      <c r="ABL44" s="10"/>
    </row>
    <row r="45" spans="1:740" s="35" customFormat="1" x14ac:dyDescent="0.3">
      <c r="B45" s="36">
        <f t="shared" si="2"/>
        <v>3</v>
      </c>
      <c r="C45" s="37"/>
      <c r="D45" s="38" t="s">
        <v>1310</v>
      </c>
      <c r="E45" s="39" t="s">
        <v>1306</v>
      </c>
      <c r="F45" s="39"/>
      <c r="G45" s="40">
        <v>44825</v>
      </c>
      <c r="H45" s="40">
        <v>44831</v>
      </c>
      <c r="I45" s="40">
        <v>44833</v>
      </c>
      <c r="J45" s="39" t="s">
        <v>1302</v>
      </c>
      <c r="K45" s="39">
        <v>12</v>
      </c>
      <c r="L45" s="40">
        <v>44868</v>
      </c>
      <c r="M45" s="40">
        <f t="shared" si="3"/>
        <v>45260</v>
      </c>
      <c r="N45" s="41"/>
    </row>
    <row r="46" spans="1:740" s="21" customFormat="1" x14ac:dyDescent="0.3">
      <c r="A46" s="10"/>
      <c r="B46" s="13">
        <f t="shared" si="2"/>
        <v>3</v>
      </c>
      <c r="C46" s="16"/>
      <c r="D46" s="17"/>
      <c r="E46" s="18"/>
      <c r="F46" s="18"/>
      <c r="G46" s="18"/>
      <c r="H46" s="18"/>
      <c r="I46" s="18"/>
      <c r="J46" s="18" t="s">
        <v>1302</v>
      </c>
      <c r="K46" s="18"/>
      <c r="L46" s="18"/>
      <c r="M46" s="18"/>
      <c r="N46" s="2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10"/>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10"/>
      <c r="PE46" s="10"/>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10"/>
      <c r="QJ46" s="10"/>
      <c r="QK46" s="10"/>
      <c r="QL46" s="10"/>
      <c r="QM46" s="10"/>
      <c r="QN46" s="10"/>
      <c r="QO46" s="10"/>
      <c r="QP46" s="10"/>
      <c r="QQ46" s="10"/>
      <c r="QR46" s="10"/>
      <c r="QS46" s="10"/>
      <c r="QT46" s="10"/>
      <c r="QU46" s="10"/>
      <c r="QV46" s="10"/>
      <c r="QW46" s="10"/>
      <c r="QX46" s="10"/>
      <c r="QY46" s="10"/>
      <c r="QZ46" s="10"/>
      <c r="RA46" s="10"/>
      <c r="RB46" s="10"/>
      <c r="RC46" s="10"/>
      <c r="RD46" s="10"/>
      <c r="RE46" s="10"/>
      <c r="RF46" s="10"/>
      <c r="RG46" s="10"/>
      <c r="RH46" s="10"/>
      <c r="RI46" s="10"/>
      <c r="RJ46" s="10"/>
      <c r="RK46" s="10"/>
      <c r="RL46" s="10"/>
      <c r="RM46" s="10"/>
      <c r="RN46" s="10"/>
      <c r="RO46" s="10"/>
      <c r="RP46" s="10"/>
      <c r="RQ46" s="10"/>
      <c r="RR46" s="10"/>
      <c r="RS46" s="10"/>
      <c r="RT46" s="10"/>
      <c r="RU46" s="10"/>
      <c r="RV46" s="10"/>
      <c r="RW46" s="10"/>
      <c r="RX46" s="10"/>
      <c r="RY46" s="10"/>
      <c r="RZ46" s="10"/>
      <c r="SA46" s="10"/>
      <c r="SB46" s="10"/>
      <c r="SC46" s="10"/>
      <c r="SD46" s="10"/>
      <c r="SE46" s="10"/>
      <c r="SF46" s="10"/>
      <c r="SG46" s="10"/>
      <c r="SH46" s="10"/>
      <c r="SI46" s="10"/>
      <c r="SJ46" s="10"/>
      <c r="SK46" s="10"/>
      <c r="SL46" s="10"/>
      <c r="SM46" s="10"/>
      <c r="SN46" s="10"/>
      <c r="SO46" s="10"/>
      <c r="SP46" s="10"/>
      <c r="SQ46" s="10"/>
      <c r="SR46" s="10"/>
      <c r="SS46" s="10"/>
      <c r="ST46" s="10"/>
      <c r="SU46" s="10"/>
      <c r="SV46" s="10"/>
      <c r="SW46" s="10"/>
      <c r="SX46" s="10"/>
      <c r="SY46" s="10"/>
      <c r="SZ46" s="10"/>
      <c r="TA46" s="10"/>
      <c r="TB46" s="10"/>
      <c r="TC46" s="10"/>
      <c r="TD46" s="10"/>
      <c r="TE46" s="10"/>
      <c r="TF46" s="10"/>
      <c r="TG46" s="10"/>
      <c r="TH46" s="10"/>
      <c r="TI46" s="10"/>
      <c r="TJ46" s="10"/>
      <c r="TK46" s="10"/>
      <c r="TL46" s="10"/>
      <c r="TM46" s="10"/>
      <c r="TN46" s="10"/>
      <c r="TO46" s="10"/>
      <c r="TP46" s="10"/>
      <c r="TQ46" s="10"/>
      <c r="TR46" s="10"/>
      <c r="TS46" s="10"/>
      <c r="TT46" s="10"/>
      <c r="TU46" s="10"/>
      <c r="TV46" s="10"/>
      <c r="TW46" s="10"/>
      <c r="TX46" s="10"/>
      <c r="TY46" s="10"/>
      <c r="TZ46" s="10"/>
      <c r="UA46" s="10"/>
      <c r="UB46" s="10"/>
      <c r="UC46" s="10"/>
      <c r="UD46" s="10"/>
      <c r="UE46" s="10"/>
      <c r="UF46" s="10"/>
      <c r="UG46" s="10"/>
      <c r="UH46" s="10"/>
      <c r="UI46" s="10"/>
      <c r="UJ46" s="10"/>
      <c r="UK46" s="10"/>
      <c r="UL46" s="10"/>
      <c r="UM46" s="10"/>
      <c r="UN46" s="10"/>
      <c r="UO46" s="10"/>
      <c r="UP46" s="10"/>
      <c r="UQ46" s="10"/>
      <c r="UR46" s="10"/>
      <c r="US46" s="10"/>
      <c r="UT46" s="10"/>
      <c r="UU46" s="10"/>
      <c r="UV46" s="10"/>
      <c r="UW46" s="10"/>
      <c r="UX46" s="10"/>
      <c r="UY46" s="10"/>
      <c r="UZ46" s="10"/>
      <c r="VA46" s="10"/>
      <c r="VB46" s="10"/>
      <c r="VC46" s="10"/>
      <c r="VD46" s="10"/>
      <c r="VE46" s="10"/>
      <c r="VF46" s="10"/>
      <c r="VG46" s="10"/>
      <c r="VH46" s="10"/>
      <c r="VI46" s="10"/>
      <c r="VJ46" s="10"/>
      <c r="VK46" s="10"/>
      <c r="VL46" s="10"/>
      <c r="VM46" s="10"/>
      <c r="VN46" s="10"/>
      <c r="VO46" s="10"/>
      <c r="VP46" s="10"/>
      <c r="VQ46" s="10"/>
      <c r="VR46" s="10"/>
      <c r="VS46" s="10"/>
      <c r="VT46" s="10"/>
      <c r="VU46" s="10"/>
      <c r="VV46" s="10"/>
      <c r="VW46" s="10"/>
      <c r="VX46" s="10"/>
      <c r="VY46" s="10"/>
      <c r="VZ46" s="10"/>
      <c r="WA46" s="10"/>
      <c r="WB46" s="10"/>
      <c r="WC46" s="10"/>
      <c r="WD46" s="10"/>
      <c r="WE46" s="10"/>
      <c r="WF46" s="10"/>
      <c r="WG46" s="10"/>
      <c r="WH46" s="10"/>
      <c r="WI46" s="10"/>
      <c r="WJ46" s="10"/>
      <c r="WK46" s="10"/>
      <c r="WL46" s="10"/>
      <c r="WM46" s="10"/>
      <c r="WN46" s="10"/>
      <c r="WO46" s="10"/>
      <c r="WP46" s="10"/>
      <c r="WQ46" s="10"/>
      <c r="WR46" s="10"/>
      <c r="WS46" s="10"/>
      <c r="WT46" s="10"/>
      <c r="WU46" s="10"/>
      <c r="WV46" s="10"/>
      <c r="WW46" s="10"/>
      <c r="WX46" s="10"/>
      <c r="WY46" s="10"/>
      <c r="WZ46" s="10"/>
      <c r="XA46" s="10"/>
      <c r="XB46" s="10"/>
      <c r="XC46" s="10"/>
      <c r="XD46" s="10"/>
      <c r="XE46" s="10"/>
      <c r="XF46" s="10"/>
      <c r="XG46" s="10"/>
      <c r="XH46" s="10"/>
      <c r="XI46" s="10"/>
      <c r="XJ46" s="10"/>
      <c r="XK46" s="10"/>
      <c r="XL46" s="10"/>
      <c r="XM46" s="10"/>
      <c r="XN46" s="10"/>
      <c r="XO46" s="10"/>
      <c r="XP46" s="10"/>
      <c r="XQ46" s="10"/>
      <c r="XR46" s="10"/>
      <c r="XS46" s="10"/>
      <c r="XT46" s="10"/>
      <c r="XU46" s="10"/>
      <c r="XV46" s="10"/>
      <c r="XW46" s="10"/>
      <c r="XX46" s="10"/>
      <c r="XY46" s="10"/>
      <c r="XZ46" s="10"/>
      <c r="YA46" s="10"/>
      <c r="YB46" s="10"/>
      <c r="YC46" s="10"/>
      <c r="YD46" s="10"/>
      <c r="YE46" s="10"/>
      <c r="YF46" s="10"/>
      <c r="YG46" s="10"/>
      <c r="YH46" s="10"/>
      <c r="YI46" s="10"/>
      <c r="YJ46" s="10"/>
      <c r="YK46" s="10"/>
      <c r="YL46" s="10"/>
      <c r="YM46" s="10"/>
      <c r="YN46" s="10"/>
      <c r="YO46" s="10"/>
      <c r="YP46" s="10"/>
      <c r="YQ46" s="10"/>
      <c r="YR46" s="10"/>
      <c r="YS46" s="10"/>
      <c r="YT46" s="10"/>
      <c r="YU46" s="10"/>
      <c r="YV46" s="10"/>
      <c r="YW46" s="10"/>
      <c r="YX46" s="10"/>
      <c r="YY46" s="10"/>
      <c r="YZ46" s="10"/>
      <c r="ZA46" s="10"/>
      <c r="ZB46" s="10"/>
      <c r="ZC46" s="10"/>
      <c r="ZD46" s="10"/>
      <c r="ZE46" s="10"/>
      <c r="ZF46" s="10"/>
      <c r="ZG46" s="10"/>
      <c r="ZH46" s="10"/>
      <c r="ZI46" s="10"/>
      <c r="ZJ46" s="10"/>
      <c r="ZK46" s="10"/>
      <c r="ZL46" s="10"/>
      <c r="ZM46" s="10"/>
      <c r="ZN46" s="10"/>
      <c r="ZO46" s="10"/>
      <c r="ZP46" s="10"/>
      <c r="ZQ46" s="10"/>
      <c r="ZR46" s="10"/>
      <c r="ZS46" s="10"/>
      <c r="ZT46" s="10"/>
      <c r="ZU46" s="10"/>
      <c r="ZV46" s="10"/>
      <c r="ZW46" s="10"/>
      <c r="ZX46" s="10"/>
      <c r="ZY46" s="10"/>
      <c r="ZZ46" s="10"/>
      <c r="AAA46" s="10"/>
      <c r="AAB46" s="10"/>
      <c r="AAC46" s="10"/>
      <c r="AAD46" s="10"/>
      <c r="AAE46" s="10"/>
      <c r="AAF46" s="10"/>
      <c r="AAG46" s="10"/>
      <c r="AAH46" s="10"/>
      <c r="AAI46" s="10"/>
      <c r="AAJ46" s="10"/>
      <c r="AAK46" s="10"/>
      <c r="AAL46" s="10"/>
      <c r="AAM46" s="10"/>
      <c r="AAN46" s="10"/>
      <c r="AAO46" s="10"/>
      <c r="AAP46" s="10"/>
      <c r="AAQ46" s="10"/>
      <c r="AAR46" s="10"/>
      <c r="AAS46" s="10"/>
      <c r="AAT46" s="10"/>
      <c r="AAU46" s="10"/>
      <c r="AAV46" s="10"/>
      <c r="AAW46" s="10"/>
      <c r="AAX46" s="10"/>
      <c r="AAY46" s="10"/>
      <c r="AAZ46" s="10"/>
      <c r="ABA46" s="10"/>
      <c r="ABB46" s="10"/>
      <c r="ABC46" s="10"/>
      <c r="ABD46" s="10"/>
      <c r="ABE46" s="10"/>
      <c r="ABF46" s="10"/>
      <c r="ABG46" s="10"/>
      <c r="ABH46" s="10"/>
      <c r="ABI46" s="10"/>
      <c r="ABJ46" s="10"/>
      <c r="ABK46" s="10"/>
      <c r="ABL46" s="10"/>
    </row>
    <row r="47" spans="1:740" s="35" customFormat="1" x14ac:dyDescent="0.3">
      <c r="B47" s="36">
        <f t="shared" si="2"/>
        <v>3</v>
      </c>
      <c r="C47" s="37"/>
      <c r="D47" s="38" t="s">
        <v>1310</v>
      </c>
      <c r="E47" s="39" t="s">
        <v>1306</v>
      </c>
      <c r="F47" s="39"/>
      <c r="G47" s="40">
        <v>44930</v>
      </c>
      <c r="H47" s="40">
        <v>44984</v>
      </c>
      <c r="I47" s="40">
        <v>44970</v>
      </c>
      <c r="J47" s="39" t="s">
        <v>1302</v>
      </c>
      <c r="K47" s="39">
        <v>12</v>
      </c>
      <c r="L47" s="40">
        <v>45049</v>
      </c>
      <c r="M47" s="40">
        <f>EOMONTH(L47,K47)</f>
        <v>45443</v>
      </c>
      <c r="N47" s="42" t="s">
        <v>1321</v>
      </c>
      <c r="O47" s="41"/>
    </row>
    <row r="48" spans="1:740" s="21" customFormat="1" x14ac:dyDescent="0.3">
      <c r="A48" s="10"/>
      <c r="B48" s="13">
        <f t="shared" si="2"/>
        <v>3</v>
      </c>
      <c r="C48" s="16"/>
      <c r="D48" s="17" t="s">
        <v>1311</v>
      </c>
      <c r="E48" s="18" t="s">
        <v>1312</v>
      </c>
      <c r="F48" s="18"/>
      <c r="G48" s="19">
        <v>45106</v>
      </c>
      <c r="H48" s="19"/>
      <c r="I48" s="19">
        <v>45160</v>
      </c>
      <c r="J48" s="18" t="s">
        <v>1302</v>
      </c>
      <c r="K48" s="18">
        <v>12</v>
      </c>
      <c r="L48" s="19">
        <v>45182</v>
      </c>
      <c r="M48" s="19">
        <f>EOMONTH(L48,K48)</f>
        <v>45565</v>
      </c>
      <c r="N48" s="20" t="s">
        <v>1322</v>
      </c>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c r="IG48" s="10"/>
      <c r="IH48" s="10"/>
      <c r="II48" s="10"/>
      <c r="IJ48" s="10"/>
      <c r="IK48" s="10"/>
      <c r="IL48" s="10"/>
      <c r="IM48" s="10"/>
      <c r="IN48" s="10"/>
      <c r="IO48" s="10"/>
      <c r="IP48" s="10"/>
      <c r="IQ48" s="10"/>
      <c r="IR48" s="10"/>
      <c r="IS48" s="10"/>
      <c r="IT48" s="10"/>
      <c r="IU48" s="10"/>
      <c r="IV48" s="10"/>
      <c r="IW48" s="10"/>
      <c r="IX48" s="10"/>
      <c r="IY48" s="10"/>
      <c r="IZ48" s="10"/>
      <c r="JA48" s="10"/>
      <c r="JB48" s="10"/>
      <c r="JC48" s="10"/>
      <c r="JD48" s="10"/>
      <c r="JE48" s="10"/>
      <c r="JF48" s="10"/>
      <c r="JG48" s="10"/>
      <c r="JH48" s="10"/>
      <c r="JI48" s="10"/>
      <c r="JJ48" s="10"/>
      <c r="JK48" s="10"/>
      <c r="JL48" s="10"/>
      <c r="JM48" s="10"/>
      <c r="JN48" s="10"/>
      <c r="JO48" s="10"/>
      <c r="JP48" s="10"/>
      <c r="JQ48" s="10"/>
      <c r="JR48" s="10"/>
      <c r="JS48" s="10"/>
      <c r="JT48" s="10"/>
      <c r="JU48" s="10"/>
      <c r="JV48" s="10"/>
      <c r="JW48" s="10"/>
      <c r="JX48" s="10"/>
      <c r="JY48" s="10"/>
      <c r="JZ48" s="10"/>
      <c r="KA48" s="10"/>
      <c r="KB48" s="10"/>
      <c r="KC48" s="10"/>
      <c r="KD48" s="10"/>
      <c r="KE48" s="10"/>
      <c r="KF48" s="10"/>
      <c r="KG48" s="10"/>
      <c r="KH48" s="10"/>
      <c r="KI48" s="10"/>
      <c r="KJ48" s="10"/>
      <c r="KK48" s="10"/>
      <c r="KL48" s="10"/>
      <c r="KM48" s="10"/>
      <c r="KN48" s="10"/>
      <c r="KO48" s="10"/>
      <c r="KP48" s="10"/>
      <c r="KQ48" s="10"/>
      <c r="KR48" s="10"/>
      <c r="KS48" s="10"/>
      <c r="KT48" s="10"/>
      <c r="KU48" s="10"/>
      <c r="KV48" s="10"/>
      <c r="KW48" s="10"/>
      <c r="KX48" s="10"/>
      <c r="KY48" s="10"/>
      <c r="KZ48" s="10"/>
      <c r="LA48" s="10"/>
      <c r="LB48" s="10"/>
      <c r="LC48" s="10"/>
      <c r="LD48" s="10"/>
      <c r="LE48" s="10"/>
      <c r="LF48" s="10"/>
      <c r="LG48" s="10"/>
      <c r="LH48" s="10"/>
      <c r="LI48" s="10"/>
      <c r="LJ48" s="10"/>
      <c r="LK48" s="10"/>
      <c r="LL48" s="10"/>
      <c r="LM48" s="10"/>
      <c r="LN48" s="10"/>
      <c r="LO48" s="10"/>
      <c r="LP48" s="10"/>
      <c r="LQ48" s="10"/>
      <c r="LR48" s="10"/>
      <c r="LS48" s="10"/>
      <c r="LT48" s="10"/>
      <c r="LU48" s="10"/>
      <c r="LV48" s="10"/>
      <c r="LW48" s="10"/>
      <c r="LX48" s="10"/>
      <c r="LY48" s="10"/>
      <c r="LZ48" s="10"/>
      <c r="MA48" s="10"/>
      <c r="MB48" s="10"/>
      <c r="MC48" s="10"/>
      <c r="MD48" s="10"/>
      <c r="ME48" s="10"/>
      <c r="MF48" s="10"/>
      <c r="MG48" s="10"/>
      <c r="MH48" s="10"/>
      <c r="MI48" s="10"/>
      <c r="MJ48" s="10"/>
      <c r="MK48" s="10"/>
      <c r="ML48" s="10"/>
      <c r="MM48" s="10"/>
      <c r="MN48" s="10"/>
      <c r="MO48" s="10"/>
      <c r="MP48" s="10"/>
      <c r="MQ48" s="10"/>
      <c r="MR48" s="10"/>
      <c r="MS48" s="10"/>
      <c r="MT48" s="10"/>
      <c r="MU48" s="10"/>
      <c r="MV48" s="10"/>
      <c r="MW48" s="10"/>
      <c r="MX48" s="10"/>
      <c r="MY48" s="10"/>
      <c r="MZ48" s="10"/>
      <c r="NA48" s="10"/>
      <c r="NB48" s="10"/>
      <c r="NC48" s="10"/>
      <c r="ND48" s="10"/>
      <c r="NE48" s="10"/>
      <c r="NF48" s="10"/>
      <c r="NG48" s="10"/>
      <c r="NH48" s="10"/>
      <c r="NI48" s="10"/>
      <c r="NJ48" s="10"/>
      <c r="NK48" s="10"/>
      <c r="NL48" s="10"/>
      <c r="NM48" s="10"/>
      <c r="NN48" s="10"/>
      <c r="NO48" s="10"/>
      <c r="NP48" s="10"/>
      <c r="NQ48" s="10"/>
      <c r="NR48" s="10"/>
      <c r="NS48" s="10"/>
      <c r="NT48" s="10"/>
      <c r="NU48" s="10"/>
      <c r="NV48" s="10"/>
      <c r="NW48" s="10"/>
      <c r="NX48" s="10"/>
      <c r="NY48" s="10"/>
      <c r="NZ48" s="10"/>
      <c r="OA48" s="10"/>
      <c r="OB48" s="10"/>
      <c r="OC48" s="10"/>
      <c r="OD48" s="10"/>
      <c r="OE48" s="10"/>
      <c r="OF48" s="10"/>
      <c r="OG48" s="10"/>
      <c r="OH48" s="10"/>
      <c r="OI48" s="10"/>
      <c r="OJ48" s="10"/>
      <c r="OK48" s="10"/>
      <c r="OL48" s="10"/>
      <c r="OM48" s="10"/>
      <c r="ON48" s="10"/>
      <c r="OO48" s="10"/>
      <c r="OP48" s="10"/>
      <c r="OQ48" s="10"/>
      <c r="OR48" s="10"/>
      <c r="OS48" s="10"/>
      <c r="OT48" s="10"/>
      <c r="OU48" s="10"/>
      <c r="OV48" s="10"/>
      <c r="OW48" s="10"/>
      <c r="OX48" s="10"/>
      <c r="OY48" s="10"/>
      <c r="OZ48" s="10"/>
      <c r="PA48" s="10"/>
      <c r="PB48" s="10"/>
      <c r="PC48" s="10"/>
      <c r="PD48" s="10"/>
      <c r="PE48" s="10"/>
      <c r="PF48" s="10"/>
      <c r="PG48" s="10"/>
      <c r="PH48" s="10"/>
      <c r="PI48" s="10"/>
      <c r="PJ48" s="10"/>
      <c r="PK48" s="10"/>
      <c r="PL48" s="10"/>
      <c r="PM48" s="10"/>
      <c r="PN48" s="10"/>
      <c r="PO48" s="10"/>
      <c r="PP48" s="10"/>
      <c r="PQ48" s="10"/>
      <c r="PR48" s="10"/>
      <c r="PS48" s="10"/>
      <c r="PT48" s="10"/>
      <c r="PU48" s="10"/>
      <c r="PV48" s="10"/>
      <c r="PW48" s="10"/>
      <c r="PX48" s="10"/>
      <c r="PY48" s="10"/>
      <c r="PZ48" s="10"/>
      <c r="QA48" s="10"/>
      <c r="QB48" s="10"/>
      <c r="QC48" s="10"/>
      <c r="QD48" s="10"/>
      <c r="QE48" s="10"/>
      <c r="QF48" s="10"/>
      <c r="QG48" s="10"/>
      <c r="QH48" s="10"/>
      <c r="QI48" s="10"/>
      <c r="QJ48" s="10"/>
      <c r="QK48" s="10"/>
      <c r="QL48" s="10"/>
      <c r="QM48" s="10"/>
      <c r="QN48" s="10"/>
      <c r="QO48" s="10"/>
      <c r="QP48" s="10"/>
      <c r="QQ48" s="10"/>
      <c r="QR48" s="10"/>
      <c r="QS48" s="10"/>
      <c r="QT48" s="10"/>
      <c r="QU48" s="10"/>
      <c r="QV48" s="10"/>
      <c r="QW48" s="10"/>
      <c r="QX48" s="10"/>
      <c r="QY48" s="10"/>
      <c r="QZ48" s="10"/>
      <c r="RA48" s="10"/>
      <c r="RB48" s="10"/>
      <c r="RC48" s="10"/>
      <c r="RD48" s="10"/>
      <c r="RE48" s="10"/>
      <c r="RF48" s="10"/>
      <c r="RG48" s="10"/>
      <c r="RH48" s="10"/>
      <c r="RI48" s="10"/>
      <c r="RJ48" s="10"/>
      <c r="RK48" s="10"/>
      <c r="RL48" s="10"/>
      <c r="RM48" s="10"/>
      <c r="RN48" s="10"/>
      <c r="RO48" s="10"/>
      <c r="RP48" s="10"/>
      <c r="RQ48" s="10"/>
      <c r="RR48" s="10"/>
      <c r="RS48" s="10"/>
      <c r="RT48" s="10"/>
      <c r="RU48" s="10"/>
      <c r="RV48" s="10"/>
      <c r="RW48" s="10"/>
      <c r="RX48" s="10"/>
      <c r="RY48" s="10"/>
      <c r="RZ48" s="10"/>
      <c r="SA48" s="10"/>
      <c r="SB48" s="10"/>
      <c r="SC48" s="10"/>
      <c r="SD48" s="10"/>
      <c r="SE48" s="10"/>
      <c r="SF48" s="10"/>
      <c r="SG48" s="10"/>
      <c r="SH48" s="10"/>
      <c r="SI48" s="10"/>
      <c r="SJ48" s="10"/>
      <c r="SK48" s="10"/>
      <c r="SL48" s="10"/>
      <c r="SM48" s="10"/>
      <c r="SN48" s="10"/>
      <c r="SO48" s="10"/>
      <c r="SP48" s="10"/>
      <c r="SQ48" s="10"/>
      <c r="SR48" s="10"/>
      <c r="SS48" s="10"/>
      <c r="ST48" s="10"/>
      <c r="SU48" s="10"/>
      <c r="SV48" s="10"/>
      <c r="SW48" s="10"/>
      <c r="SX48" s="10"/>
      <c r="SY48" s="10"/>
      <c r="SZ48" s="10"/>
      <c r="TA48" s="10"/>
      <c r="TB48" s="10"/>
      <c r="TC48" s="10"/>
      <c r="TD48" s="10"/>
      <c r="TE48" s="10"/>
      <c r="TF48" s="10"/>
      <c r="TG48" s="10"/>
      <c r="TH48" s="10"/>
      <c r="TI48" s="10"/>
      <c r="TJ48" s="10"/>
      <c r="TK48" s="10"/>
      <c r="TL48" s="10"/>
      <c r="TM48" s="10"/>
      <c r="TN48" s="10"/>
      <c r="TO48" s="10"/>
      <c r="TP48" s="10"/>
      <c r="TQ48" s="10"/>
      <c r="TR48" s="10"/>
      <c r="TS48" s="10"/>
      <c r="TT48" s="10"/>
      <c r="TU48" s="10"/>
      <c r="TV48" s="10"/>
      <c r="TW48" s="10"/>
      <c r="TX48" s="10"/>
      <c r="TY48" s="10"/>
      <c r="TZ48" s="10"/>
      <c r="UA48" s="10"/>
      <c r="UB48" s="10"/>
      <c r="UC48" s="10"/>
      <c r="UD48" s="10"/>
      <c r="UE48" s="10"/>
      <c r="UF48" s="10"/>
      <c r="UG48" s="10"/>
      <c r="UH48" s="10"/>
      <c r="UI48" s="10"/>
      <c r="UJ48" s="10"/>
      <c r="UK48" s="10"/>
      <c r="UL48" s="10"/>
      <c r="UM48" s="10"/>
      <c r="UN48" s="10"/>
      <c r="UO48" s="10"/>
      <c r="UP48" s="10"/>
      <c r="UQ48" s="10"/>
      <c r="UR48" s="10"/>
      <c r="US48" s="10"/>
      <c r="UT48" s="10"/>
      <c r="UU48" s="10"/>
      <c r="UV48" s="10"/>
      <c r="UW48" s="10"/>
      <c r="UX48" s="10"/>
      <c r="UY48" s="10"/>
      <c r="UZ48" s="10"/>
      <c r="VA48" s="10"/>
      <c r="VB48" s="10"/>
      <c r="VC48" s="10"/>
      <c r="VD48" s="10"/>
      <c r="VE48" s="10"/>
      <c r="VF48" s="10"/>
      <c r="VG48" s="10"/>
      <c r="VH48" s="10"/>
      <c r="VI48" s="10"/>
      <c r="VJ48" s="10"/>
      <c r="VK48" s="10"/>
      <c r="VL48" s="10"/>
      <c r="VM48" s="10"/>
      <c r="VN48" s="10"/>
      <c r="VO48" s="10"/>
      <c r="VP48" s="10"/>
      <c r="VQ48" s="10"/>
      <c r="VR48" s="10"/>
      <c r="VS48" s="10"/>
      <c r="VT48" s="10"/>
      <c r="VU48" s="10"/>
      <c r="VV48" s="10"/>
      <c r="VW48" s="10"/>
      <c r="VX48" s="10"/>
      <c r="VY48" s="10"/>
      <c r="VZ48" s="10"/>
      <c r="WA48" s="10"/>
      <c r="WB48" s="10"/>
      <c r="WC48" s="10"/>
      <c r="WD48" s="10"/>
      <c r="WE48" s="10"/>
      <c r="WF48" s="10"/>
      <c r="WG48" s="10"/>
      <c r="WH48" s="10"/>
      <c r="WI48" s="10"/>
      <c r="WJ48" s="10"/>
      <c r="WK48" s="10"/>
      <c r="WL48" s="10"/>
      <c r="WM48" s="10"/>
      <c r="WN48" s="10"/>
      <c r="WO48" s="10"/>
      <c r="WP48" s="10"/>
      <c r="WQ48" s="10"/>
      <c r="WR48" s="10"/>
      <c r="WS48" s="10"/>
      <c r="WT48" s="10"/>
      <c r="WU48" s="10"/>
      <c r="WV48" s="10"/>
      <c r="WW48" s="10"/>
      <c r="WX48" s="10"/>
      <c r="WY48" s="10"/>
      <c r="WZ48" s="10"/>
      <c r="XA48" s="10"/>
      <c r="XB48" s="10"/>
      <c r="XC48" s="10"/>
      <c r="XD48" s="10"/>
      <c r="XE48" s="10"/>
      <c r="XF48" s="10"/>
      <c r="XG48" s="10"/>
      <c r="XH48" s="10"/>
      <c r="XI48" s="10"/>
      <c r="XJ48" s="10"/>
      <c r="XK48" s="10"/>
      <c r="XL48" s="10"/>
      <c r="XM48" s="10"/>
      <c r="XN48" s="10"/>
      <c r="XO48" s="10"/>
      <c r="XP48" s="10"/>
      <c r="XQ48" s="10"/>
      <c r="XR48" s="10"/>
      <c r="XS48" s="10"/>
      <c r="XT48" s="10"/>
      <c r="XU48" s="10"/>
      <c r="XV48" s="10"/>
      <c r="XW48" s="10"/>
      <c r="XX48" s="10"/>
      <c r="XY48" s="10"/>
      <c r="XZ48" s="10"/>
      <c r="YA48" s="10"/>
      <c r="YB48" s="10"/>
      <c r="YC48" s="10"/>
      <c r="YD48" s="10"/>
      <c r="YE48" s="10"/>
      <c r="YF48" s="10"/>
      <c r="YG48" s="10"/>
      <c r="YH48" s="10"/>
      <c r="YI48" s="10"/>
      <c r="YJ48" s="10"/>
      <c r="YK48" s="10"/>
      <c r="YL48" s="10"/>
      <c r="YM48" s="10"/>
      <c r="YN48" s="10"/>
      <c r="YO48" s="10"/>
      <c r="YP48" s="10"/>
      <c r="YQ48" s="10"/>
      <c r="YR48" s="10"/>
      <c r="YS48" s="10"/>
      <c r="YT48" s="10"/>
      <c r="YU48" s="10"/>
      <c r="YV48" s="10"/>
      <c r="YW48" s="10"/>
      <c r="YX48" s="10"/>
      <c r="YY48" s="10"/>
      <c r="YZ48" s="10"/>
      <c r="ZA48" s="10"/>
      <c r="ZB48" s="10"/>
      <c r="ZC48" s="10"/>
      <c r="ZD48" s="10"/>
      <c r="ZE48" s="10"/>
      <c r="ZF48" s="10"/>
      <c r="ZG48" s="10"/>
      <c r="ZH48" s="10"/>
      <c r="ZI48" s="10"/>
      <c r="ZJ48" s="10"/>
      <c r="ZK48" s="10"/>
      <c r="ZL48" s="10"/>
      <c r="ZM48" s="10"/>
      <c r="ZN48" s="10"/>
      <c r="ZO48" s="10"/>
      <c r="ZP48" s="10"/>
      <c r="ZQ48" s="10"/>
      <c r="ZR48" s="10"/>
      <c r="ZS48" s="10"/>
      <c r="ZT48" s="10"/>
      <c r="ZU48" s="10"/>
      <c r="ZV48" s="10"/>
      <c r="ZW48" s="10"/>
      <c r="ZX48" s="10"/>
      <c r="ZY48" s="10"/>
      <c r="ZZ48" s="10"/>
      <c r="AAA48" s="10"/>
      <c r="AAB48" s="10"/>
      <c r="AAC48" s="10"/>
      <c r="AAD48" s="10"/>
      <c r="AAE48" s="10"/>
      <c r="AAF48" s="10"/>
      <c r="AAG48" s="10"/>
      <c r="AAH48" s="10"/>
      <c r="AAI48" s="10"/>
      <c r="AAJ48" s="10"/>
      <c r="AAK48" s="10"/>
      <c r="AAL48" s="10"/>
      <c r="AAM48" s="10"/>
      <c r="AAN48" s="10"/>
      <c r="AAO48" s="10"/>
      <c r="AAP48" s="10"/>
      <c r="AAQ48" s="10"/>
      <c r="AAR48" s="10"/>
      <c r="AAS48" s="10"/>
      <c r="AAT48" s="10"/>
      <c r="AAU48" s="10"/>
      <c r="AAV48" s="10"/>
      <c r="AAW48" s="10"/>
      <c r="AAX48" s="10"/>
      <c r="AAY48" s="10"/>
      <c r="AAZ48" s="10"/>
      <c r="ABA48" s="10"/>
      <c r="ABB48" s="10"/>
      <c r="ABC48" s="10"/>
      <c r="ABD48" s="10"/>
      <c r="ABE48" s="10"/>
      <c r="ABF48" s="10"/>
      <c r="ABG48" s="10"/>
      <c r="ABH48" s="10"/>
      <c r="ABI48" s="10"/>
      <c r="ABJ48" s="10"/>
      <c r="ABK48" s="10"/>
      <c r="ABL48" s="10"/>
    </row>
    <row r="49" spans="1:740" s="35" customFormat="1" x14ac:dyDescent="0.3">
      <c r="B49" s="36">
        <f t="shared" si="2"/>
        <v>3</v>
      </c>
      <c r="C49" s="37"/>
      <c r="D49" s="38" t="s">
        <v>1310</v>
      </c>
      <c r="E49" s="39" t="s">
        <v>1306</v>
      </c>
      <c r="F49" s="39"/>
      <c r="G49" s="40">
        <v>44881</v>
      </c>
      <c r="H49" s="40">
        <v>44932</v>
      </c>
      <c r="I49" s="40">
        <v>44971</v>
      </c>
      <c r="J49" s="39" t="s">
        <v>1302</v>
      </c>
      <c r="K49" s="39">
        <v>12</v>
      </c>
      <c r="L49" s="40">
        <v>45029</v>
      </c>
      <c r="M49" s="40">
        <f>EOMONTH(L49,K49)</f>
        <v>45412</v>
      </c>
      <c r="N49" s="42" t="s">
        <v>1319</v>
      </c>
    </row>
    <row r="50" spans="1:740" s="21" customFormat="1" x14ac:dyDescent="0.3">
      <c r="A50" s="10"/>
      <c r="B50" s="13">
        <f t="shared" si="2"/>
        <v>3</v>
      </c>
      <c r="C50" s="16"/>
      <c r="D50" s="17" t="s">
        <v>1310</v>
      </c>
      <c r="E50" s="18" t="s">
        <v>1306</v>
      </c>
      <c r="F50" s="18"/>
      <c r="G50" s="19">
        <v>44881</v>
      </c>
      <c r="H50" s="19">
        <v>44932</v>
      </c>
      <c r="I50" s="19">
        <v>44606</v>
      </c>
      <c r="J50" s="18" t="s">
        <v>1302</v>
      </c>
      <c r="K50" s="18">
        <v>12</v>
      </c>
      <c r="L50" s="19">
        <v>44954</v>
      </c>
      <c r="M50" s="19">
        <f>EOMONTH(L50,K50)</f>
        <v>45322</v>
      </c>
      <c r="N50" s="2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10"/>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10"/>
      <c r="JP50" s="10"/>
      <c r="JQ50" s="10"/>
      <c r="JR50" s="10"/>
      <c r="JS50" s="10"/>
      <c r="JT50" s="10"/>
      <c r="JU50" s="10"/>
      <c r="JV50" s="10"/>
      <c r="JW50" s="10"/>
      <c r="JX50" s="10"/>
      <c r="JY50" s="10"/>
      <c r="JZ50" s="10"/>
      <c r="KA50" s="10"/>
      <c r="KB50" s="10"/>
      <c r="KC50" s="10"/>
      <c r="KD50" s="10"/>
      <c r="KE50" s="10"/>
      <c r="KF50" s="10"/>
      <c r="KG50" s="10"/>
      <c r="KH50" s="10"/>
      <c r="KI50" s="10"/>
      <c r="KJ50" s="10"/>
      <c r="KK50" s="10"/>
      <c r="KL50" s="10"/>
      <c r="KM50" s="10"/>
      <c r="KN50" s="10"/>
      <c r="KO50" s="10"/>
      <c r="KP50" s="10"/>
      <c r="KQ50" s="10"/>
      <c r="KR50" s="10"/>
      <c r="KS50" s="10"/>
      <c r="KT50" s="10"/>
      <c r="KU50" s="10"/>
      <c r="KV50" s="10"/>
      <c r="KW50" s="10"/>
      <c r="KX50" s="10"/>
      <c r="KY50" s="10"/>
      <c r="KZ50" s="10"/>
      <c r="LA50" s="10"/>
      <c r="LB50" s="10"/>
      <c r="LC50" s="10"/>
      <c r="LD50" s="10"/>
      <c r="LE50" s="10"/>
      <c r="LF50" s="10"/>
      <c r="LG50" s="10"/>
      <c r="LH50" s="10"/>
      <c r="LI50" s="10"/>
      <c r="LJ50" s="10"/>
      <c r="LK50" s="10"/>
      <c r="LL50" s="10"/>
      <c r="LM50" s="10"/>
      <c r="LN50" s="10"/>
      <c r="LO50" s="10"/>
      <c r="LP50" s="10"/>
      <c r="LQ50" s="10"/>
      <c r="LR50" s="10"/>
      <c r="LS50" s="10"/>
      <c r="LT50" s="10"/>
      <c r="LU50" s="10"/>
      <c r="LV50" s="10"/>
      <c r="LW50" s="10"/>
      <c r="LX50" s="10"/>
      <c r="LY50" s="10"/>
      <c r="LZ50" s="10"/>
      <c r="MA50" s="10"/>
      <c r="MB50" s="10"/>
      <c r="MC50" s="10"/>
      <c r="MD50" s="10"/>
      <c r="ME50" s="10"/>
      <c r="MF50" s="10"/>
      <c r="MG50" s="10"/>
      <c r="MH50" s="10"/>
      <c r="MI50" s="10"/>
      <c r="MJ50" s="10"/>
      <c r="MK50" s="10"/>
      <c r="ML50" s="10"/>
      <c r="MM50" s="10"/>
      <c r="MN50" s="10"/>
      <c r="MO50" s="10"/>
      <c r="MP50" s="10"/>
      <c r="MQ50" s="10"/>
      <c r="MR50" s="10"/>
      <c r="MS50" s="10"/>
      <c r="MT50" s="10"/>
      <c r="MU50" s="10"/>
      <c r="MV50" s="10"/>
      <c r="MW50" s="10"/>
      <c r="MX50" s="10"/>
      <c r="MY50" s="10"/>
      <c r="MZ50" s="10"/>
      <c r="NA50" s="10"/>
      <c r="NB50" s="10"/>
      <c r="NC50" s="10"/>
      <c r="ND50" s="10"/>
      <c r="NE50" s="10"/>
      <c r="NF50" s="10"/>
      <c r="NG50" s="10"/>
      <c r="NH50" s="10"/>
      <c r="NI50" s="10"/>
      <c r="NJ50" s="10"/>
      <c r="NK50" s="10"/>
      <c r="NL50" s="10"/>
      <c r="NM50" s="10"/>
      <c r="NN50" s="10"/>
      <c r="NO50" s="10"/>
      <c r="NP50" s="10"/>
      <c r="NQ50" s="10"/>
      <c r="NR50" s="10"/>
      <c r="NS50" s="10"/>
      <c r="NT50" s="10"/>
      <c r="NU50" s="10"/>
      <c r="NV50" s="10"/>
      <c r="NW50" s="10"/>
      <c r="NX50" s="10"/>
      <c r="NY50" s="10"/>
      <c r="NZ50" s="10"/>
      <c r="OA50" s="10"/>
      <c r="OB50" s="10"/>
      <c r="OC50" s="10"/>
      <c r="OD50" s="10"/>
      <c r="OE50" s="10"/>
      <c r="OF50" s="10"/>
      <c r="OG50" s="10"/>
      <c r="OH50" s="10"/>
      <c r="OI50" s="10"/>
      <c r="OJ50" s="10"/>
      <c r="OK50" s="10"/>
      <c r="OL50" s="10"/>
      <c r="OM50" s="10"/>
      <c r="ON50" s="10"/>
      <c r="OO50" s="10"/>
      <c r="OP50" s="10"/>
      <c r="OQ50" s="10"/>
      <c r="OR50" s="10"/>
      <c r="OS50" s="10"/>
      <c r="OT50" s="10"/>
      <c r="OU50" s="10"/>
      <c r="OV50" s="10"/>
      <c r="OW50" s="10"/>
      <c r="OX50" s="10"/>
      <c r="OY50" s="10"/>
      <c r="OZ50" s="10"/>
      <c r="PA50" s="10"/>
      <c r="PB50" s="10"/>
      <c r="PC50" s="10"/>
      <c r="PD50" s="10"/>
      <c r="PE50" s="10"/>
      <c r="PF50" s="10"/>
      <c r="PG50" s="10"/>
      <c r="PH50" s="10"/>
      <c r="PI50" s="10"/>
      <c r="PJ50" s="10"/>
      <c r="PK50" s="10"/>
      <c r="PL50" s="10"/>
      <c r="PM50" s="10"/>
      <c r="PN50" s="10"/>
      <c r="PO50" s="10"/>
      <c r="PP50" s="10"/>
      <c r="PQ50" s="10"/>
      <c r="PR50" s="10"/>
      <c r="PS50" s="10"/>
      <c r="PT50" s="10"/>
      <c r="PU50" s="10"/>
      <c r="PV50" s="10"/>
      <c r="PW50" s="10"/>
      <c r="PX50" s="10"/>
      <c r="PY50" s="10"/>
      <c r="PZ50" s="10"/>
      <c r="QA50" s="10"/>
      <c r="QB50" s="10"/>
      <c r="QC50" s="10"/>
      <c r="QD50" s="10"/>
      <c r="QE50" s="10"/>
      <c r="QF50" s="10"/>
      <c r="QG50" s="10"/>
      <c r="QH50" s="10"/>
      <c r="QI50" s="10"/>
      <c r="QJ50" s="10"/>
      <c r="QK50" s="10"/>
      <c r="QL50" s="10"/>
      <c r="QM50" s="10"/>
      <c r="QN50" s="10"/>
      <c r="QO50" s="10"/>
      <c r="QP50" s="10"/>
      <c r="QQ50" s="10"/>
      <c r="QR50" s="10"/>
      <c r="QS50" s="10"/>
      <c r="QT50" s="10"/>
      <c r="QU50" s="10"/>
      <c r="QV50" s="10"/>
      <c r="QW50" s="10"/>
      <c r="QX50" s="10"/>
      <c r="QY50" s="10"/>
      <c r="QZ50" s="10"/>
      <c r="RA50" s="10"/>
      <c r="RB50" s="10"/>
      <c r="RC50" s="10"/>
      <c r="RD50" s="10"/>
      <c r="RE50" s="10"/>
      <c r="RF50" s="10"/>
      <c r="RG50" s="10"/>
      <c r="RH50" s="10"/>
      <c r="RI50" s="10"/>
      <c r="RJ50" s="10"/>
      <c r="RK50" s="10"/>
      <c r="RL50" s="10"/>
      <c r="RM50" s="10"/>
      <c r="RN50" s="10"/>
      <c r="RO50" s="10"/>
      <c r="RP50" s="10"/>
      <c r="RQ50" s="10"/>
      <c r="RR50" s="10"/>
      <c r="RS50" s="10"/>
      <c r="RT50" s="10"/>
      <c r="RU50" s="10"/>
      <c r="RV50" s="10"/>
      <c r="RW50" s="10"/>
      <c r="RX50" s="10"/>
      <c r="RY50" s="10"/>
      <c r="RZ50" s="10"/>
      <c r="SA50" s="10"/>
      <c r="SB50" s="10"/>
      <c r="SC50" s="10"/>
      <c r="SD50" s="10"/>
      <c r="SE50" s="10"/>
      <c r="SF50" s="10"/>
      <c r="SG50" s="10"/>
      <c r="SH50" s="10"/>
      <c r="SI50" s="10"/>
      <c r="SJ50" s="10"/>
      <c r="SK50" s="10"/>
      <c r="SL50" s="10"/>
      <c r="SM50" s="10"/>
      <c r="SN50" s="10"/>
      <c r="SO50" s="10"/>
      <c r="SP50" s="10"/>
      <c r="SQ50" s="10"/>
      <c r="SR50" s="10"/>
      <c r="SS50" s="10"/>
      <c r="ST50" s="10"/>
      <c r="SU50" s="10"/>
      <c r="SV50" s="10"/>
      <c r="SW50" s="10"/>
      <c r="SX50" s="10"/>
      <c r="SY50" s="10"/>
      <c r="SZ50" s="10"/>
      <c r="TA50" s="10"/>
      <c r="TB50" s="10"/>
      <c r="TC50" s="10"/>
      <c r="TD50" s="10"/>
      <c r="TE50" s="10"/>
      <c r="TF50" s="10"/>
      <c r="TG50" s="10"/>
      <c r="TH50" s="10"/>
      <c r="TI50" s="10"/>
      <c r="TJ50" s="10"/>
      <c r="TK50" s="10"/>
      <c r="TL50" s="10"/>
      <c r="TM50" s="10"/>
      <c r="TN50" s="10"/>
      <c r="TO50" s="10"/>
      <c r="TP50" s="10"/>
      <c r="TQ50" s="10"/>
      <c r="TR50" s="10"/>
      <c r="TS50" s="10"/>
      <c r="TT50" s="10"/>
      <c r="TU50" s="10"/>
      <c r="TV50" s="10"/>
      <c r="TW50" s="10"/>
      <c r="TX50" s="10"/>
      <c r="TY50" s="10"/>
      <c r="TZ50" s="10"/>
      <c r="UA50" s="10"/>
      <c r="UB50" s="10"/>
      <c r="UC50" s="10"/>
      <c r="UD50" s="10"/>
      <c r="UE50" s="10"/>
      <c r="UF50" s="10"/>
      <c r="UG50" s="10"/>
      <c r="UH50" s="10"/>
      <c r="UI50" s="10"/>
      <c r="UJ50" s="10"/>
      <c r="UK50" s="10"/>
      <c r="UL50" s="10"/>
      <c r="UM50" s="10"/>
      <c r="UN50" s="10"/>
      <c r="UO50" s="10"/>
      <c r="UP50" s="10"/>
      <c r="UQ50" s="10"/>
      <c r="UR50" s="10"/>
      <c r="US50" s="10"/>
      <c r="UT50" s="10"/>
      <c r="UU50" s="10"/>
      <c r="UV50" s="10"/>
      <c r="UW50" s="10"/>
      <c r="UX50" s="10"/>
      <c r="UY50" s="10"/>
      <c r="UZ50" s="10"/>
      <c r="VA50" s="10"/>
      <c r="VB50" s="10"/>
      <c r="VC50" s="10"/>
      <c r="VD50" s="10"/>
      <c r="VE50" s="10"/>
      <c r="VF50" s="10"/>
      <c r="VG50" s="10"/>
      <c r="VH50" s="10"/>
      <c r="VI50" s="10"/>
      <c r="VJ50" s="10"/>
      <c r="VK50" s="10"/>
      <c r="VL50" s="10"/>
      <c r="VM50" s="10"/>
      <c r="VN50" s="10"/>
      <c r="VO50" s="10"/>
      <c r="VP50" s="10"/>
      <c r="VQ50" s="10"/>
      <c r="VR50" s="10"/>
      <c r="VS50" s="10"/>
      <c r="VT50" s="10"/>
      <c r="VU50" s="10"/>
      <c r="VV50" s="10"/>
      <c r="VW50" s="10"/>
      <c r="VX50" s="10"/>
      <c r="VY50" s="10"/>
      <c r="VZ50" s="10"/>
      <c r="WA50" s="10"/>
      <c r="WB50" s="10"/>
      <c r="WC50" s="10"/>
      <c r="WD50" s="10"/>
      <c r="WE50" s="10"/>
      <c r="WF50" s="10"/>
      <c r="WG50" s="10"/>
      <c r="WH50" s="10"/>
      <c r="WI50" s="10"/>
      <c r="WJ50" s="10"/>
      <c r="WK50" s="10"/>
      <c r="WL50" s="10"/>
      <c r="WM50" s="10"/>
      <c r="WN50" s="10"/>
      <c r="WO50" s="10"/>
      <c r="WP50" s="10"/>
      <c r="WQ50" s="10"/>
      <c r="WR50" s="10"/>
      <c r="WS50" s="10"/>
      <c r="WT50" s="10"/>
      <c r="WU50" s="10"/>
      <c r="WV50" s="10"/>
      <c r="WW50" s="10"/>
      <c r="WX50" s="10"/>
      <c r="WY50" s="10"/>
      <c r="WZ50" s="10"/>
      <c r="XA50" s="10"/>
      <c r="XB50" s="10"/>
      <c r="XC50" s="10"/>
      <c r="XD50" s="10"/>
      <c r="XE50" s="10"/>
      <c r="XF50" s="10"/>
      <c r="XG50" s="10"/>
      <c r="XH50" s="10"/>
      <c r="XI50" s="10"/>
      <c r="XJ50" s="10"/>
      <c r="XK50" s="10"/>
      <c r="XL50" s="10"/>
      <c r="XM50" s="10"/>
      <c r="XN50" s="10"/>
      <c r="XO50" s="10"/>
      <c r="XP50" s="10"/>
      <c r="XQ50" s="10"/>
      <c r="XR50" s="10"/>
      <c r="XS50" s="10"/>
      <c r="XT50" s="10"/>
      <c r="XU50" s="10"/>
      <c r="XV50" s="10"/>
      <c r="XW50" s="10"/>
      <c r="XX50" s="10"/>
      <c r="XY50" s="10"/>
      <c r="XZ50" s="10"/>
      <c r="YA50" s="10"/>
      <c r="YB50" s="10"/>
      <c r="YC50" s="10"/>
      <c r="YD50" s="10"/>
      <c r="YE50" s="10"/>
      <c r="YF50" s="10"/>
      <c r="YG50" s="10"/>
      <c r="YH50" s="10"/>
      <c r="YI50" s="10"/>
      <c r="YJ50" s="10"/>
      <c r="YK50" s="10"/>
      <c r="YL50" s="10"/>
      <c r="YM50" s="10"/>
      <c r="YN50" s="10"/>
      <c r="YO50" s="10"/>
      <c r="YP50" s="10"/>
      <c r="YQ50" s="10"/>
      <c r="YR50" s="10"/>
      <c r="YS50" s="10"/>
      <c r="YT50" s="10"/>
      <c r="YU50" s="10"/>
      <c r="YV50" s="10"/>
      <c r="YW50" s="10"/>
      <c r="YX50" s="10"/>
      <c r="YY50" s="10"/>
      <c r="YZ50" s="10"/>
      <c r="ZA50" s="10"/>
      <c r="ZB50" s="10"/>
      <c r="ZC50" s="10"/>
      <c r="ZD50" s="10"/>
      <c r="ZE50" s="10"/>
      <c r="ZF50" s="10"/>
      <c r="ZG50" s="10"/>
      <c r="ZH50" s="10"/>
      <c r="ZI50" s="10"/>
      <c r="ZJ50" s="10"/>
      <c r="ZK50" s="10"/>
      <c r="ZL50" s="10"/>
      <c r="ZM50" s="10"/>
      <c r="ZN50" s="10"/>
      <c r="ZO50" s="10"/>
      <c r="ZP50" s="10"/>
      <c r="ZQ50" s="10"/>
      <c r="ZR50" s="10"/>
      <c r="ZS50" s="10"/>
      <c r="ZT50" s="10"/>
      <c r="ZU50" s="10"/>
      <c r="ZV50" s="10"/>
      <c r="ZW50" s="10"/>
      <c r="ZX50" s="10"/>
      <c r="ZY50" s="10"/>
      <c r="ZZ50" s="10"/>
      <c r="AAA50" s="10"/>
      <c r="AAB50" s="10"/>
      <c r="AAC50" s="10"/>
      <c r="AAD50" s="10"/>
      <c r="AAE50" s="10"/>
      <c r="AAF50" s="10"/>
      <c r="AAG50" s="10"/>
      <c r="AAH50" s="10"/>
      <c r="AAI50" s="10"/>
      <c r="AAJ50" s="10"/>
      <c r="AAK50" s="10"/>
      <c r="AAL50" s="10"/>
      <c r="AAM50" s="10"/>
      <c r="AAN50" s="10"/>
      <c r="AAO50" s="10"/>
      <c r="AAP50" s="10"/>
      <c r="AAQ50" s="10"/>
      <c r="AAR50" s="10"/>
      <c r="AAS50" s="10"/>
      <c r="AAT50" s="10"/>
      <c r="AAU50" s="10"/>
      <c r="AAV50" s="10"/>
      <c r="AAW50" s="10"/>
      <c r="AAX50" s="10"/>
      <c r="AAY50" s="10"/>
      <c r="AAZ50" s="10"/>
      <c r="ABA50" s="10"/>
      <c r="ABB50" s="10"/>
      <c r="ABC50" s="10"/>
      <c r="ABD50" s="10"/>
      <c r="ABE50" s="10"/>
      <c r="ABF50" s="10"/>
      <c r="ABG50" s="10"/>
      <c r="ABH50" s="10"/>
      <c r="ABI50" s="10"/>
      <c r="ABJ50" s="10"/>
      <c r="ABK50" s="10"/>
      <c r="ABL50" s="10"/>
    </row>
    <row r="51" spans="1:740" s="35" customFormat="1" x14ac:dyDescent="0.3">
      <c r="B51" s="36">
        <f t="shared" si="2"/>
        <v>0</v>
      </c>
      <c r="C51" s="37"/>
      <c r="D51" s="38" t="s">
        <v>1311</v>
      </c>
      <c r="E51" s="39"/>
      <c r="F51" s="40">
        <v>45273</v>
      </c>
      <c r="G51" s="39"/>
      <c r="H51" s="39"/>
      <c r="I51" s="39"/>
      <c r="J51" s="39" t="s">
        <v>1314</v>
      </c>
      <c r="K51" s="39"/>
      <c r="L51" s="39"/>
      <c r="M51" s="39"/>
      <c r="N51" s="43" t="s">
        <v>1323</v>
      </c>
    </row>
    <row r="52" spans="1:740" s="21" customFormat="1" x14ac:dyDescent="0.3">
      <c r="A52" s="10"/>
      <c r="B52" s="13">
        <f t="shared" si="2"/>
        <v>3</v>
      </c>
      <c r="C52" s="16"/>
      <c r="D52" s="17" t="s">
        <v>1311</v>
      </c>
      <c r="E52" s="18" t="s">
        <v>1312</v>
      </c>
      <c r="F52" s="19">
        <v>45147</v>
      </c>
      <c r="G52" s="19">
        <v>45211</v>
      </c>
      <c r="H52" s="18"/>
      <c r="I52" s="18"/>
      <c r="J52" s="18" t="s">
        <v>1302</v>
      </c>
      <c r="K52" s="18">
        <v>12</v>
      </c>
      <c r="L52" s="19">
        <v>45301</v>
      </c>
      <c r="M52" s="19">
        <f>EOMONTH(L52,K52)</f>
        <v>45688</v>
      </c>
      <c r="N52" s="29" t="s">
        <v>1324</v>
      </c>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c r="HX52" s="10"/>
      <c r="HY52" s="10"/>
      <c r="HZ52" s="10"/>
      <c r="IA52" s="10"/>
      <c r="IB52" s="10"/>
      <c r="IC52" s="10"/>
      <c r="ID52" s="10"/>
      <c r="IE52" s="10"/>
      <c r="IF52" s="10"/>
      <c r="IG52" s="10"/>
      <c r="IH52" s="10"/>
      <c r="II52" s="10"/>
      <c r="IJ52" s="10"/>
      <c r="IK52" s="10"/>
      <c r="IL52" s="10"/>
      <c r="IM52" s="10"/>
      <c r="IN52" s="10"/>
      <c r="IO52" s="10"/>
      <c r="IP52" s="10"/>
      <c r="IQ52" s="10"/>
      <c r="IR52" s="10"/>
      <c r="IS52" s="10"/>
      <c r="IT52" s="10"/>
      <c r="IU52" s="10"/>
      <c r="IV52" s="10"/>
      <c r="IW52" s="10"/>
      <c r="IX52" s="10"/>
      <c r="IY52" s="10"/>
      <c r="IZ52" s="10"/>
      <c r="JA52" s="10"/>
      <c r="JB52" s="10"/>
      <c r="JC52" s="10"/>
      <c r="JD52" s="10"/>
      <c r="JE52" s="10"/>
      <c r="JF52" s="10"/>
      <c r="JG52" s="10"/>
      <c r="JH52" s="10"/>
      <c r="JI52" s="10"/>
      <c r="JJ52" s="10"/>
      <c r="JK52" s="10"/>
      <c r="JL52" s="10"/>
      <c r="JM52" s="10"/>
      <c r="JN52" s="10"/>
      <c r="JO52" s="10"/>
      <c r="JP52" s="10"/>
      <c r="JQ52" s="10"/>
      <c r="JR52" s="10"/>
      <c r="JS52" s="10"/>
      <c r="JT52" s="10"/>
      <c r="JU52" s="10"/>
      <c r="JV52" s="10"/>
      <c r="JW52" s="10"/>
      <c r="JX52" s="10"/>
      <c r="JY52" s="10"/>
      <c r="JZ52" s="10"/>
      <c r="KA52" s="10"/>
      <c r="KB52" s="10"/>
      <c r="KC52" s="10"/>
      <c r="KD52" s="10"/>
      <c r="KE52" s="10"/>
      <c r="KF52" s="10"/>
      <c r="KG52" s="10"/>
      <c r="KH52" s="10"/>
      <c r="KI52" s="10"/>
      <c r="KJ52" s="10"/>
      <c r="KK52" s="10"/>
      <c r="KL52" s="10"/>
      <c r="KM52" s="10"/>
      <c r="KN52" s="10"/>
      <c r="KO52" s="10"/>
      <c r="KP52" s="10"/>
      <c r="KQ52" s="10"/>
      <c r="KR52" s="10"/>
      <c r="KS52" s="10"/>
      <c r="KT52" s="10"/>
      <c r="KU52" s="10"/>
      <c r="KV52" s="10"/>
      <c r="KW52" s="10"/>
      <c r="KX52" s="10"/>
      <c r="KY52" s="10"/>
      <c r="KZ52" s="10"/>
      <c r="LA52" s="10"/>
      <c r="LB52" s="10"/>
      <c r="LC52" s="10"/>
      <c r="LD52" s="10"/>
      <c r="LE52" s="10"/>
      <c r="LF52" s="10"/>
      <c r="LG52" s="10"/>
      <c r="LH52" s="10"/>
      <c r="LI52" s="10"/>
      <c r="LJ52" s="10"/>
      <c r="LK52" s="10"/>
      <c r="LL52" s="10"/>
      <c r="LM52" s="10"/>
      <c r="LN52" s="10"/>
      <c r="LO52" s="10"/>
      <c r="LP52" s="10"/>
      <c r="LQ52" s="10"/>
      <c r="LR52" s="10"/>
      <c r="LS52" s="10"/>
      <c r="LT52" s="10"/>
      <c r="LU52" s="10"/>
      <c r="LV52" s="10"/>
      <c r="LW52" s="10"/>
      <c r="LX52" s="10"/>
      <c r="LY52" s="10"/>
      <c r="LZ52" s="10"/>
      <c r="MA52" s="10"/>
      <c r="MB52" s="10"/>
      <c r="MC52" s="10"/>
      <c r="MD52" s="10"/>
      <c r="ME52" s="10"/>
      <c r="MF52" s="10"/>
      <c r="MG52" s="10"/>
      <c r="MH52" s="10"/>
      <c r="MI52" s="10"/>
      <c r="MJ52" s="10"/>
      <c r="MK52" s="10"/>
      <c r="ML52" s="10"/>
      <c r="MM52" s="10"/>
      <c r="MN52" s="10"/>
      <c r="MO52" s="10"/>
      <c r="MP52" s="10"/>
      <c r="MQ52" s="10"/>
      <c r="MR52" s="10"/>
      <c r="MS52" s="10"/>
      <c r="MT52" s="10"/>
      <c r="MU52" s="10"/>
      <c r="MV52" s="10"/>
      <c r="MW52" s="10"/>
      <c r="MX52" s="10"/>
      <c r="MY52" s="10"/>
      <c r="MZ52" s="10"/>
      <c r="NA52" s="10"/>
      <c r="NB52" s="10"/>
      <c r="NC52" s="10"/>
      <c r="ND52" s="10"/>
      <c r="NE52" s="10"/>
      <c r="NF52" s="10"/>
      <c r="NG52" s="10"/>
      <c r="NH52" s="10"/>
      <c r="NI52" s="10"/>
      <c r="NJ52" s="10"/>
      <c r="NK52" s="10"/>
      <c r="NL52" s="10"/>
      <c r="NM52" s="10"/>
      <c r="NN52" s="10"/>
      <c r="NO52" s="10"/>
      <c r="NP52" s="10"/>
      <c r="NQ52" s="10"/>
      <c r="NR52" s="10"/>
      <c r="NS52" s="10"/>
      <c r="NT52" s="10"/>
      <c r="NU52" s="10"/>
      <c r="NV52" s="10"/>
      <c r="NW52" s="10"/>
      <c r="NX52" s="10"/>
      <c r="NY52" s="10"/>
      <c r="NZ52" s="10"/>
      <c r="OA52" s="10"/>
      <c r="OB52" s="10"/>
      <c r="OC52" s="10"/>
      <c r="OD52" s="10"/>
      <c r="OE52" s="10"/>
      <c r="OF52" s="10"/>
      <c r="OG52" s="10"/>
      <c r="OH52" s="10"/>
      <c r="OI52" s="10"/>
      <c r="OJ52" s="10"/>
      <c r="OK52" s="10"/>
      <c r="OL52" s="10"/>
      <c r="OM52" s="10"/>
      <c r="ON52" s="10"/>
      <c r="OO52" s="10"/>
      <c r="OP52" s="10"/>
      <c r="OQ52" s="10"/>
      <c r="OR52" s="10"/>
      <c r="OS52" s="10"/>
      <c r="OT52" s="10"/>
      <c r="OU52" s="10"/>
      <c r="OV52" s="10"/>
      <c r="OW52" s="10"/>
      <c r="OX52" s="10"/>
      <c r="OY52" s="10"/>
      <c r="OZ52" s="10"/>
      <c r="PA52" s="10"/>
      <c r="PB52" s="10"/>
      <c r="PC52" s="10"/>
      <c r="PD52" s="10"/>
      <c r="PE52" s="10"/>
      <c r="PF52" s="10"/>
      <c r="PG52" s="10"/>
      <c r="PH52" s="10"/>
      <c r="PI52" s="10"/>
      <c r="PJ52" s="10"/>
      <c r="PK52" s="10"/>
      <c r="PL52" s="10"/>
      <c r="PM52" s="10"/>
      <c r="PN52" s="10"/>
      <c r="PO52" s="10"/>
      <c r="PP52" s="10"/>
      <c r="PQ52" s="10"/>
      <c r="PR52" s="10"/>
      <c r="PS52" s="10"/>
      <c r="PT52" s="10"/>
      <c r="PU52" s="10"/>
      <c r="PV52" s="10"/>
      <c r="PW52" s="10"/>
      <c r="PX52" s="10"/>
      <c r="PY52" s="10"/>
      <c r="PZ52" s="10"/>
      <c r="QA52" s="10"/>
      <c r="QB52" s="10"/>
      <c r="QC52" s="10"/>
      <c r="QD52" s="10"/>
      <c r="QE52" s="10"/>
      <c r="QF52" s="10"/>
      <c r="QG52" s="10"/>
      <c r="QH52" s="10"/>
      <c r="QI52" s="10"/>
      <c r="QJ52" s="10"/>
      <c r="QK52" s="10"/>
      <c r="QL52" s="10"/>
      <c r="QM52" s="10"/>
      <c r="QN52" s="10"/>
      <c r="QO52" s="10"/>
      <c r="QP52" s="10"/>
      <c r="QQ52" s="10"/>
      <c r="QR52" s="10"/>
      <c r="QS52" s="10"/>
      <c r="QT52" s="10"/>
      <c r="QU52" s="10"/>
      <c r="QV52" s="10"/>
      <c r="QW52" s="10"/>
      <c r="QX52" s="10"/>
      <c r="QY52" s="10"/>
      <c r="QZ52" s="10"/>
      <c r="RA52" s="10"/>
      <c r="RB52" s="10"/>
      <c r="RC52" s="10"/>
      <c r="RD52" s="10"/>
      <c r="RE52" s="10"/>
      <c r="RF52" s="10"/>
      <c r="RG52" s="10"/>
      <c r="RH52" s="10"/>
      <c r="RI52" s="10"/>
      <c r="RJ52" s="10"/>
      <c r="RK52" s="10"/>
      <c r="RL52" s="10"/>
      <c r="RM52" s="10"/>
      <c r="RN52" s="10"/>
      <c r="RO52" s="10"/>
      <c r="RP52" s="10"/>
      <c r="RQ52" s="10"/>
      <c r="RR52" s="10"/>
      <c r="RS52" s="10"/>
      <c r="RT52" s="10"/>
      <c r="RU52" s="10"/>
      <c r="RV52" s="10"/>
      <c r="RW52" s="10"/>
      <c r="RX52" s="10"/>
      <c r="RY52" s="10"/>
      <c r="RZ52" s="10"/>
      <c r="SA52" s="10"/>
      <c r="SB52" s="10"/>
      <c r="SC52" s="10"/>
      <c r="SD52" s="10"/>
      <c r="SE52" s="10"/>
      <c r="SF52" s="10"/>
      <c r="SG52" s="10"/>
      <c r="SH52" s="10"/>
      <c r="SI52" s="10"/>
      <c r="SJ52" s="10"/>
      <c r="SK52" s="10"/>
      <c r="SL52" s="10"/>
      <c r="SM52" s="10"/>
      <c r="SN52" s="10"/>
      <c r="SO52" s="10"/>
      <c r="SP52" s="10"/>
      <c r="SQ52" s="10"/>
      <c r="SR52" s="10"/>
      <c r="SS52" s="10"/>
      <c r="ST52" s="10"/>
      <c r="SU52" s="10"/>
      <c r="SV52" s="10"/>
      <c r="SW52" s="10"/>
      <c r="SX52" s="10"/>
      <c r="SY52" s="10"/>
      <c r="SZ52" s="10"/>
      <c r="TA52" s="10"/>
      <c r="TB52" s="10"/>
      <c r="TC52" s="10"/>
      <c r="TD52" s="10"/>
      <c r="TE52" s="10"/>
      <c r="TF52" s="10"/>
      <c r="TG52" s="10"/>
      <c r="TH52" s="10"/>
      <c r="TI52" s="10"/>
      <c r="TJ52" s="10"/>
      <c r="TK52" s="10"/>
      <c r="TL52" s="10"/>
      <c r="TM52" s="10"/>
      <c r="TN52" s="10"/>
      <c r="TO52" s="10"/>
      <c r="TP52" s="10"/>
      <c r="TQ52" s="10"/>
      <c r="TR52" s="10"/>
      <c r="TS52" s="10"/>
      <c r="TT52" s="10"/>
      <c r="TU52" s="10"/>
      <c r="TV52" s="10"/>
      <c r="TW52" s="10"/>
      <c r="TX52" s="10"/>
      <c r="TY52" s="10"/>
      <c r="TZ52" s="10"/>
      <c r="UA52" s="10"/>
      <c r="UB52" s="10"/>
      <c r="UC52" s="10"/>
      <c r="UD52" s="10"/>
      <c r="UE52" s="10"/>
      <c r="UF52" s="10"/>
      <c r="UG52" s="10"/>
      <c r="UH52" s="10"/>
      <c r="UI52" s="10"/>
      <c r="UJ52" s="10"/>
      <c r="UK52" s="10"/>
      <c r="UL52" s="10"/>
      <c r="UM52" s="10"/>
      <c r="UN52" s="10"/>
      <c r="UO52" s="10"/>
      <c r="UP52" s="10"/>
      <c r="UQ52" s="10"/>
      <c r="UR52" s="10"/>
      <c r="US52" s="10"/>
      <c r="UT52" s="10"/>
      <c r="UU52" s="10"/>
      <c r="UV52" s="10"/>
      <c r="UW52" s="10"/>
      <c r="UX52" s="10"/>
      <c r="UY52" s="10"/>
      <c r="UZ52" s="10"/>
      <c r="VA52" s="10"/>
      <c r="VB52" s="10"/>
      <c r="VC52" s="10"/>
      <c r="VD52" s="10"/>
      <c r="VE52" s="10"/>
      <c r="VF52" s="10"/>
      <c r="VG52" s="10"/>
      <c r="VH52" s="10"/>
      <c r="VI52" s="10"/>
      <c r="VJ52" s="10"/>
      <c r="VK52" s="10"/>
      <c r="VL52" s="10"/>
      <c r="VM52" s="10"/>
      <c r="VN52" s="10"/>
      <c r="VO52" s="10"/>
      <c r="VP52" s="10"/>
      <c r="VQ52" s="10"/>
      <c r="VR52" s="10"/>
      <c r="VS52" s="10"/>
      <c r="VT52" s="10"/>
      <c r="VU52" s="10"/>
      <c r="VV52" s="10"/>
      <c r="VW52" s="10"/>
      <c r="VX52" s="10"/>
      <c r="VY52" s="10"/>
      <c r="VZ52" s="10"/>
      <c r="WA52" s="10"/>
      <c r="WB52" s="10"/>
      <c r="WC52" s="10"/>
      <c r="WD52" s="10"/>
      <c r="WE52" s="10"/>
      <c r="WF52" s="10"/>
      <c r="WG52" s="10"/>
      <c r="WH52" s="10"/>
      <c r="WI52" s="10"/>
      <c r="WJ52" s="10"/>
      <c r="WK52" s="10"/>
      <c r="WL52" s="10"/>
      <c r="WM52" s="10"/>
      <c r="WN52" s="10"/>
      <c r="WO52" s="10"/>
      <c r="WP52" s="10"/>
      <c r="WQ52" s="10"/>
      <c r="WR52" s="10"/>
      <c r="WS52" s="10"/>
      <c r="WT52" s="10"/>
      <c r="WU52" s="10"/>
      <c r="WV52" s="10"/>
      <c r="WW52" s="10"/>
      <c r="WX52" s="10"/>
      <c r="WY52" s="10"/>
      <c r="WZ52" s="10"/>
      <c r="XA52" s="10"/>
      <c r="XB52" s="10"/>
      <c r="XC52" s="10"/>
      <c r="XD52" s="10"/>
      <c r="XE52" s="10"/>
      <c r="XF52" s="10"/>
      <c r="XG52" s="10"/>
      <c r="XH52" s="10"/>
      <c r="XI52" s="10"/>
      <c r="XJ52" s="10"/>
      <c r="XK52" s="10"/>
      <c r="XL52" s="10"/>
      <c r="XM52" s="10"/>
      <c r="XN52" s="10"/>
      <c r="XO52" s="10"/>
      <c r="XP52" s="10"/>
      <c r="XQ52" s="10"/>
      <c r="XR52" s="10"/>
      <c r="XS52" s="10"/>
      <c r="XT52" s="10"/>
      <c r="XU52" s="10"/>
      <c r="XV52" s="10"/>
      <c r="XW52" s="10"/>
      <c r="XX52" s="10"/>
      <c r="XY52" s="10"/>
      <c r="XZ52" s="10"/>
      <c r="YA52" s="10"/>
      <c r="YB52" s="10"/>
      <c r="YC52" s="10"/>
      <c r="YD52" s="10"/>
      <c r="YE52" s="10"/>
      <c r="YF52" s="10"/>
      <c r="YG52" s="10"/>
      <c r="YH52" s="10"/>
      <c r="YI52" s="10"/>
      <c r="YJ52" s="10"/>
      <c r="YK52" s="10"/>
      <c r="YL52" s="10"/>
      <c r="YM52" s="10"/>
      <c r="YN52" s="10"/>
      <c r="YO52" s="10"/>
      <c r="YP52" s="10"/>
      <c r="YQ52" s="10"/>
      <c r="YR52" s="10"/>
      <c r="YS52" s="10"/>
      <c r="YT52" s="10"/>
      <c r="YU52" s="10"/>
      <c r="YV52" s="10"/>
      <c r="YW52" s="10"/>
      <c r="YX52" s="10"/>
      <c r="YY52" s="10"/>
      <c r="YZ52" s="10"/>
      <c r="ZA52" s="10"/>
      <c r="ZB52" s="10"/>
      <c r="ZC52" s="10"/>
      <c r="ZD52" s="10"/>
      <c r="ZE52" s="10"/>
      <c r="ZF52" s="10"/>
      <c r="ZG52" s="10"/>
      <c r="ZH52" s="10"/>
      <c r="ZI52" s="10"/>
      <c r="ZJ52" s="10"/>
      <c r="ZK52" s="10"/>
      <c r="ZL52" s="10"/>
      <c r="ZM52" s="10"/>
      <c r="ZN52" s="10"/>
      <c r="ZO52" s="10"/>
      <c r="ZP52" s="10"/>
      <c r="ZQ52" s="10"/>
      <c r="ZR52" s="10"/>
      <c r="ZS52" s="10"/>
      <c r="ZT52" s="10"/>
      <c r="ZU52" s="10"/>
      <c r="ZV52" s="10"/>
      <c r="ZW52" s="10"/>
      <c r="ZX52" s="10"/>
      <c r="ZY52" s="10"/>
      <c r="ZZ52" s="10"/>
      <c r="AAA52" s="10"/>
      <c r="AAB52" s="10"/>
      <c r="AAC52" s="10"/>
      <c r="AAD52" s="10"/>
      <c r="AAE52" s="10"/>
      <c r="AAF52" s="10"/>
      <c r="AAG52" s="10"/>
      <c r="AAH52" s="10"/>
      <c r="AAI52" s="10"/>
      <c r="AAJ52" s="10"/>
      <c r="AAK52" s="10"/>
      <c r="AAL52" s="10"/>
      <c r="AAM52" s="10"/>
      <c r="AAN52" s="10"/>
      <c r="AAO52" s="10"/>
      <c r="AAP52" s="10"/>
      <c r="AAQ52" s="10"/>
      <c r="AAR52" s="10"/>
      <c r="AAS52" s="10"/>
      <c r="AAT52" s="10"/>
      <c r="AAU52" s="10"/>
      <c r="AAV52" s="10"/>
      <c r="AAW52" s="10"/>
      <c r="AAX52" s="10"/>
      <c r="AAY52" s="10"/>
      <c r="AAZ52" s="10"/>
      <c r="ABA52" s="10"/>
      <c r="ABB52" s="10"/>
      <c r="ABC52" s="10"/>
      <c r="ABD52" s="10"/>
      <c r="ABE52" s="10"/>
      <c r="ABF52" s="10"/>
      <c r="ABG52" s="10"/>
      <c r="ABH52" s="10"/>
      <c r="ABI52" s="10"/>
      <c r="ABJ52" s="10"/>
      <c r="ABK52" s="10"/>
      <c r="ABL52" s="10"/>
    </row>
    <row r="53" spans="1:740" s="35" customFormat="1" x14ac:dyDescent="0.3">
      <c r="B53" s="36">
        <f t="shared" si="2"/>
        <v>3</v>
      </c>
      <c r="C53" s="37"/>
      <c r="D53" s="38" t="s">
        <v>1310</v>
      </c>
      <c r="E53" s="39" t="s">
        <v>1306</v>
      </c>
      <c r="F53" s="39"/>
      <c r="G53" s="40">
        <v>45069</v>
      </c>
      <c r="H53" s="40">
        <v>45072</v>
      </c>
      <c r="I53" s="40">
        <v>45072</v>
      </c>
      <c r="J53" s="39" t="s">
        <v>1302</v>
      </c>
      <c r="K53" s="39">
        <v>12</v>
      </c>
      <c r="L53" s="40">
        <v>45154</v>
      </c>
      <c r="M53" s="40">
        <f>EOMONTH(L53,K53)</f>
        <v>45535</v>
      </c>
      <c r="N53" s="41"/>
    </row>
    <row r="54" spans="1:740" s="21" customFormat="1" x14ac:dyDescent="0.3">
      <c r="A54" s="10"/>
      <c r="B54" s="13">
        <f t="shared" si="2"/>
        <v>0</v>
      </c>
      <c r="C54" s="16"/>
      <c r="D54" s="17"/>
      <c r="E54" s="18"/>
      <c r="F54" s="18"/>
      <c r="G54" s="18"/>
      <c r="H54" s="18"/>
      <c r="I54" s="18"/>
      <c r="J54" s="18" t="s">
        <v>1314</v>
      </c>
      <c r="K54" s="18"/>
      <c r="L54" s="18"/>
      <c r="M54" s="18"/>
      <c r="N54" s="2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c r="HX54" s="10"/>
      <c r="HY54" s="10"/>
      <c r="HZ54" s="10"/>
      <c r="IA54" s="10"/>
      <c r="IB54" s="10"/>
      <c r="IC54" s="10"/>
      <c r="ID54" s="10"/>
      <c r="IE54" s="10"/>
      <c r="IF54" s="10"/>
      <c r="IG54" s="10"/>
      <c r="IH54" s="10"/>
      <c r="II54" s="10"/>
      <c r="IJ54" s="10"/>
      <c r="IK54" s="10"/>
      <c r="IL54" s="10"/>
      <c r="IM54" s="10"/>
      <c r="IN54" s="10"/>
      <c r="IO54" s="10"/>
      <c r="IP54" s="10"/>
      <c r="IQ54" s="10"/>
      <c r="IR54" s="10"/>
      <c r="IS54" s="10"/>
      <c r="IT54" s="10"/>
      <c r="IU54" s="10"/>
      <c r="IV54" s="10"/>
      <c r="IW54" s="10"/>
      <c r="IX54" s="10"/>
      <c r="IY54" s="10"/>
      <c r="IZ54" s="10"/>
      <c r="JA54" s="10"/>
      <c r="JB54" s="10"/>
      <c r="JC54" s="10"/>
      <c r="JD54" s="10"/>
      <c r="JE54" s="10"/>
      <c r="JF54" s="10"/>
      <c r="JG54" s="10"/>
      <c r="JH54" s="10"/>
      <c r="JI54" s="10"/>
      <c r="JJ54" s="10"/>
      <c r="JK54" s="10"/>
      <c r="JL54" s="10"/>
      <c r="JM54" s="10"/>
      <c r="JN54" s="10"/>
      <c r="JO54" s="10"/>
      <c r="JP54" s="10"/>
      <c r="JQ54" s="10"/>
      <c r="JR54" s="10"/>
      <c r="JS54" s="10"/>
      <c r="JT54" s="10"/>
      <c r="JU54" s="10"/>
      <c r="JV54" s="10"/>
      <c r="JW54" s="10"/>
      <c r="JX54" s="10"/>
      <c r="JY54" s="10"/>
      <c r="JZ54" s="10"/>
      <c r="KA54" s="10"/>
      <c r="KB54" s="10"/>
      <c r="KC54" s="10"/>
      <c r="KD54" s="10"/>
      <c r="KE54" s="10"/>
      <c r="KF54" s="10"/>
      <c r="KG54" s="10"/>
      <c r="KH54" s="10"/>
      <c r="KI54" s="10"/>
      <c r="KJ54" s="10"/>
      <c r="KK54" s="10"/>
      <c r="KL54" s="10"/>
      <c r="KM54" s="10"/>
      <c r="KN54" s="10"/>
      <c r="KO54" s="10"/>
      <c r="KP54" s="10"/>
      <c r="KQ54" s="10"/>
      <c r="KR54" s="10"/>
      <c r="KS54" s="10"/>
      <c r="KT54" s="10"/>
      <c r="KU54" s="10"/>
      <c r="KV54" s="10"/>
      <c r="KW54" s="10"/>
      <c r="KX54" s="10"/>
      <c r="KY54" s="10"/>
      <c r="KZ54" s="10"/>
      <c r="LA54" s="10"/>
      <c r="LB54" s="10"/>
      <c r="LC54" s="10"/>
      <c r="LD54" s="10"/>
      <c r="LE54" s="10"/>
      <c r="LF54" s="10"/>
      <c r="LG54" s="10"/>
      <c r="LH54" s="10"/>
      <c r="LI54" s="10"/>
      <c r="LJ54" s="10"/>
      <c r="LK54" s="10"/>
      <c r="LL54" s="10"/>
      <c r="LM54" s="10"/>
      <c r="LN54" s="10"/>
      <c r="LO54" s="10"/>
      <c r="LP54" s="10"/>
      <c r="LQ54" s="10"/>
      <c r="LR54" s="10"/>
      <c r="LS54" s="10"/>
      <c r="LT54" s="10"/>
      <c r="LU54" s="10"/>
      <c r="LV54" s="10"/>
      <c r="LW54" s="10"/>
      <c r="LX54" s="10"/>
      <c r="LY54" s="10"/>
      <c r="LZ54" s="10"/>
      <c r="MA54" s="10"/>
      <c r="MB54" s="10"/>
      <c r="MC54" s="10"/>
      <c r="MD54" s="10"/>
      <c r="ME54" s="10"/>
      <c r="MF54" s="10"/>
      <c r="MG54" s="10"/>
      <c r="MH54" s="10"/>
      <c r="MI54" s="10"/>
      <c r="MJ54" s="10"/>
      <c r="MK54" s="10"/>
      <c r="ML54" s="10"/>
      <c r="MM54" s="10"/>
      <c r="MN54" s="10"/>
      <c r="MO54" s="10"/>
      <c r="MP54" s="10"/>
      <c r="MQ54" s="10"/>
      <c r="MR54" s="10"/>
      <c r="MS54" s="10"/>
      <c r="MT54" s="10"/>
      <c r="MU54" s="10"/>
      <c r="MV54" s="10"/>
      <c r="MW54" s="10"/>
      <c r="MX54" s="10"/>
      <c r="MY54" s="10"/>
      <c r="MZ54" s="10"/>
      <c r="NA54" s="10"/>
      <c r="NB54" s="10"/>
      <c r="NC54" s="10"/>
      <c r="ND54" s="10"/>
      <c r="NE54" s="10"/>
      <c r="NF54" s="10"/>
      <c r="NG54" s="10"/>
      <c r="NH54" s="10"/>
      <c r="NI54" s="10"/>
      <c r="NJ54" s="10"/>
      <c r="NK54" s="10"/>
      <c r="NL54" s="10"/>
      <c r="NM54" s="10"/>
      <c r="NN54" s="10"/>
      <c r="NO54" s="10"/>
      <c r="NP54" s="10"/>
      <c r="NQ54" s="10"/>
      <c r="NR54" s="10"/>
      <c r="NS54" s="10"/>
      <c r="NT54" s="10"/>
      <c r="NU54" s="10"/>
      <c r="NV54" s="10"/>
      <c r="NW54" s="10"/>
      <c r="NX54" s="10"/>
      <c r="NY54" s="10"/>
      <c r="NZ54" s="10"/>
      <c r="OA54" s="10"/>
      <c r="OB54" s="10"/>
      <c r="OC54" s="10"/>
      <c r="OD54" s="10"/>
      <c r="OE54" s="10"/>
      <c r="OF54" s="10"/>
      <c r="OG54" s="10"/>
      <c r="OH54" s="10"/>
      <c r="OI54" s="10"/>
      <c r="OJ54" s="10"/>
      <c r="OK54" s="10"/>
      <c r="OL54" s="10"/>
      <c r="OM54" s="10"/>
      <c r="ON54" s="10"/>
      <c r="OO54" s="10"/>
      <c r="OP54" s="10"/>
      <c r="OQ54" s="10"/>
      <c r="OR54" s="10"/>
      <c r="OS54" s="10"/>
      <c r="OT54" s="10"/>
      <c r="OU54" s="10"/>
      <c r="OV54" s="10"/>
      <c r="OW54" s="10"/>
      <c r="OX54" s="10"/>
      <c r="OY54" s="10"/>
      <c r="OZ54" s="10"/>
      <c r="PA54" s="10"/>
      <c r="PB54" s="10"/>
      <c r="PC54" s="10"/>
      <c r="PD54" s="10"/>
      <c r="PE54" s="10"/>
      <c r="PF54" s="10"/>
      <c r="PG54" s="10"/>
      <c r="PH54" s="10"/>
      <c r="PI54" s="10"/>
      <c r="PJ54" s="10"/>
      <c r="PK54" s="10"/>
      <c r="PL54" s="10"/>
      <c r="PM54" s="10"/>
      <c r="PN54" s="10"/>
      <c r="PO54" s="10"/>
      <c r="PP54" s="10"/>
      <c r="PQ54" s="10"/>
      <c r="PR54" s="10"/>
      <c r="PS54" s="10"/>
      <c r="PT54" s="10"/>
      <c r="PU54" s="10"/>
      <c r="PV54" s="10"/>
      <c r="PW54" s="10"/>
      <c r="PX54" s="10"/>
      <c r="PY54" s="10"/>
      <c r="PZ54" s="10"/>
      <c r="QA54" s="10"/>
      <c r="QB54" s="10"/>
      <c r="QC54" s="10"/>
      <c r="QD54" s="10"/>
      <c r="QE54" s="10"/>
      <c r="QF54" s="10"/>
      <c r="QG54" s="10"/>
      <c r="QH54" s="10"/>
      <c r="QI54" s="10"/>
      <c r="QJ54" s="10"/>
      <c r="QK54" s="10"/>
      <c r="QL54" s="10"/>
      <c r="QM54" s="10"/>
      <c r="QN54" s="10"/>
      <c r="QO54" s="10"/>
      <c r="QP54" s="10"/>
      <c r="QQ54" s="10"/>
      <c r="QR54" s="10"/>
      <c r="QS54" s="10"/>
      <c r="QT54" s="10"/>
      <c r="QU54" s="10"/>
      <c r="QV54" s="10"/>
      <c r="QW54" s="10"/>
      <c r="QX54" s="10"/>
      <c r="QY54" s="10"/>
      <c r="QZ54" s="10"/>
      <c r="RA54" s="10"/>
      <c r="RB54" s="10"/>
      <c r="RC54" s="10"/>
      <c r="RD54" s="10"/>
      <c r="RE54" s="10"/>
      <c r="RF54" s="10"/>
      <c r="RG54" s="10"/>
      <c r="RH54" s="10"/>
      <c r="RI54" s="10"/>
      <c r="RJ54" s="10"/>
      <c r="RK54" s="10"/>
      <c r="RL54" s="10"/>
      <c r="RM54" s="10"/>
      <c r="RN54" s="10"/>
      <c r="RO54" s="10"/>
      <c r="RP54" s="10"/>
      <c r="RQ54" s="10"/>
      <c r="RR54" s="10"/>
      <c r="RS54" s="10"/>
      <c r="RT54" s="10"/>
      <c r="RU54" s="10"/>
      <c r="RV54" s="10"/>
      <c r="RW54" s="10"/>
      <c r="RX54" s="10"/>
      <c r="RY54" s="10"/>
      <c r="RZ54" s="10"/>
      <c r="SA54" s="10"/>
      <c r="SB54" s="10"/>
      <c r="SC54" s="10"/>
      <c r="SD54" s="10"/>
      <c r="SE54" s="10"/>
      <c r="SF54" s="10"/>
      <c r="SG54" s="10"/>
      <c r="SH54" s="10"/>
      <c r="SI54" s="10"/>
      <c r="SJ54" s="10"/>
      <c r="SK54" s="10"/>
      <c r="SL54" s="10"/>
      <c r="SM54" s="10"/>
      <c r="SN54" s="10"/>
      <c r="SO54" s="10"/>
      <c r="SP54" s="10"/>
      <c r="SQ54" s="10"/>
      <c r="SR54" s="10"/>
      <c r="SS54" s="10"/>
      <c r="ST54" s="10"/>
      <c r="SU54" s="10"/>
      <c r="SV54" s="10"/>
      <c r="SW54" s="10"/>
      <c r="SX54" s="10"/>
      <c r="SY54" s="10"/>
      <c r="SZ54" s="10"/>
      <c r="TA54" s="10"/>
      <c r="TB54" s="10"/>
      <c r="TC54" s="10"/>
      <c r="TD54" s="10"/>
      <c r="TE54" s="10"/>
      <c r="TF54" s="10"/>
      <c r="TG54" s="10"/>
      <c r="TH54" s="10"/>
      <c r="TI54" s="10"/>
      <c r="TJ54" s="10"/>
      <c r="TK54" s="10"/>
      <c r="TL54" s="10"/>
      <c r="TM54" s="10"/>
      <c r="TN54" s="10"/>
      <c r="TO54" s="10"/>
      <c r="TP54" s="10"/>
      <c r="TQ54" s="10"/>
      <c r="TR54" s="10"/>
      <c r="TS54" s="10"/>
      <c r="TT54" s="10"/>
      <c r="TU54" s="10"/>
      <c r="TV54" s="10"/>
      <c r="TW54" s="10"/>
      <c r="TX54" s="10"/>
      <c r="TY54" s="10"/>
      <c r="TZ54" s="10"/>
      <c r="UA54" s="10"/>
      <c r="UB54" s="10"/>
      <c r="UC54" s="10"/>
      <c r="UD54" s="10"/>
      <c r="UE54" s="10"/>
      <c r="UF54" s="10"/>
      <c r="UG54" s="10"/>
      <c r="UH54" s="10"/>
      <c r="UI54" s="10"/>
      <c r="UJ54" s="10"/>
      <c r="UK54" s="10"/>
      <c r="UL54" s="10"/>
      <c r="UM54" s="10"/>
      <c r="UN54" s="10"/>
      <c r="UO54" s="10"/>
      <c r="UP54" s="10"/>
      <c r="UQ54" s="10"/>
      <c r="UR54" s="10"/>
      <c r="US54" s="10"/>
      <c r="UT54" s="10"/>
      <c r="UU54" s="10"/>
      <c r="UV54" s="10"/>
      <c r="UW54" s="10"/>
      <c r="UX54" s="10"/>
      <c r="UY54" s="10"/>
      <c r="UZ54" s="10"/>
      <c r="VA54" s="10"/>
      <c r="VB54" s="10"/>
      <c r="VC54" s="10"/>
      <c r="VD54" s="10"/>
      <c r="VE54" s="10"/>
      <c r="VF54" s="10"/>
      <c r="VG54" s="10"/>
      <c r="VH54" s="10"/>
      <c r="VI54" s="10"/>
      <c r="VJ54" s="10"/>
      <c r="VK54" s="10"/>
      <c r="VL54" s="10"/>
      <c r="VM54" s="10"/>
      <c r="VN54" s="10"/>
      <c r="VO54" s="10"/>
      <c r="VP54" s="10"/>
      <c r="VQ54" s="10"/>
      <c r="VR54" s="10"/>
      <c r="VS54" s="10"/>
      <c r="VT54" s="10"/>
      <c r="VU54" s="10"/>
      <c r="VV54" s="10"/>
      <c r="VW54" s="10"/>
      <c r="VX54" s="10"/>
      <c r="VY54" s="10"/>
      <c r="VZ54" s="10"/>
      <c r="WA54" s="10"/>
      <c r="WB54" s="10"/>
      <c r="WC54" s="10"/>
      <c r="WD54" s="10"/>
      <c r="WE54" s="10"/>
      <c r="WF54" s="10"/>
      <c r="WG54" s="10"/>
      <c r="WH54" s="10"/>
      <c r="WI54" s="10"/>
      <c r="WJ54" s="10"/>
      <c r="WK54" s="10"/>
      <c r="WL54" s="10"/>
      <c r="WM54" s="10"/>
      <c r="WN54" s="10"/>
      <c r="WO54" s="10"/>
      <c r="WP54" s="10"/>
      <c r="WQ54" s="10"/>
      <c r="WR54" s="10"/>
      <c r="WS54" s="10"/>
      <c r="WT54" s="10"/>
      <c r="WU54" s="10"/>
      <c r="WV54" s="10"/>
      <c r="WW54" s="10"/>
      <c r="WX54" s="10"/>
      <c r="WY54" s="10"/>
      <c r="WZ54" s="10"/>
      <c r="XA54" s="10"/>
      <c r="XB54" s="10"/>
      <c r="XC54" s="10"/>
      <c r="XD54" s="10"/>
      <c r="XE54" s="10"/>
      <c r="XF54" s="10"/>
      <c r="XG54" s="10"/>
      <c r="XH54" s="10"/>
      <c r="XI54" s="10"/>
      <c r="XJ54" s="10"/>
      <c r="XK54" s="10"/>
      <c r="XL54" s="10"/>
      <c r="XM54" s="10"/>
      <c r="XN54" s="10"/>
      <c r="XO54" s="10"/>
      <c r="XP54" s="10"/>
      <c r="XQ54" s="10"/>
      <c r="XR54" s="10"/>
      <c r="XS54" s="10"/>
      <c r="XT54" s="10"/>
      <c r="XU54" s="10"/>
      <c r="XV54" s="10"/>
      <c r="XW54" s="10"/>
      <c r="XX54" s="10"/>
      <c r="XY54" s="10"/>
      <c r="XZ54" s="10"/>
      <c r="YA54" s="10"/>
      <c r="YB54" s="10"/>
      <c r="YC54" s="10"/>
      <c r="YD54" s="10"/>
      <c r="YE54" s="10"/>
      <c r="YF54" s="10"/>
      <c r="YG54" s="10"/>
      <c r="YH54" s="10"/>
      <c r="YI54" s="10"/>
      <c r="YJ54" s="10"/>
      <c r="YK54" s="10"/>
      <c r="YL54" s="10"/>
      <c r="YM54" s="10"/>
      <c r="YN54" s="10"/>
      <c r="YO54" s="10"/>
      <c r="YP54" s="10"/>
      <c r="YQ54" s="10"/>
      <c r="YR54" s="10"/>
      <c r="YS54" s="10"/>
      <c r="YT54" s="10"/>
      <c r="YU54" s="10"/>
      <c r="YV54" s="10"/>
      <c r="YW54" s="10"/>
      <c r="YX54" s="10"/>
      <c r="YY54" s="10"/>
      <c r="YZ54" s="10"/>
      <c r="ZA54" s="10"/>
      <c r="ZB54" s="10"/>
      <c r="ZC54" s="10"/>
      <c r="ZD54" s="10"/>
      <c r="ZE54" s="10"/>
      <c r="ZF54" s="10"/>
      <c r="ZG54" s="10"/>
      <c r="ZH54" s="10"/>
      <c r="ZI54" s="10"/>
      <c r="ZJ54" s="10"/>
      <c r="ZK54" s="10"/>
      <c r="ZL54" s="10"/>
      <c r="ZM54" s="10"/>
      <c r="ZN54" s="10"/>
      <c r="ZO54" s="10"/>
      <c r="ZP54" s="10"/>
      <c r="ZQ54" s="10"/>
      <c r="ZR54" s="10"/>
      <c r="ZS54" s="10"/>
      <c r="ZT54" s="10"/>
      <c r="ZU54" s="10"/>
      <c r="ZV54" s="10"/>
      <c r="ZW54" s="10"/>
      <c r="ZX54" s="10"/>
      <c r="ZY54" s="10"/>
      <c r="ZZ54" s="10"/>
      <c r="AAA54" s="10"/>
      <c r="AAB54" s="10"/>
      <c r="AAC54" s="10"/>
      <c r="AAD54" s="10"/>
      <c r="AAE54" s="10"/>
      <c r="AAF54" s="10"/>
      <c r="AAG54" s="10"/>
      <c r="AAH54" s="10"/>
      <c r="AAI54" s="10"/>
      <c r="AAJ54" s="10"/>
      <c r="AAK54" s="10"/>
      <c r="AAL54" s="10"/>
      <c r="AAM54" s="10"/>
      <c r="AAN54" s="10"/>
      <c r="AAO54" s="10"/>
      <c r="AAP54" s="10"/>
      <c r="AAQ54" s="10"/>
      <c r="AAR54" s="10"/>
      <c r="AAS54" s="10"/>
      <c r="AAT54" s="10"/>
      <c r="AAU54" s="10"/>
      <c r="AAV54" s="10"/>
      <c r="AAW54" s="10"/>
      <c r="AAX54" s="10"/>
      <c r="AAY54" s="10"/>
      <c r="AAZ54" s="10"/>
      <c r="ABA54" s="10"/>
      <c r="ABB54" s="10"/>
      <c r="ABC54" s="10"/>
      <c r="ABD54" s="10"/>
      <c r="ABE54" s="10"/>
      <c r="ABF54" s="10"/>
      <c r="ABG54" s="10"/>
      <c r="ABH54" s="10"/>
      <c r="ABI54" s="10"/>
      <c r="ABJ54" s="10"/>
      <c r="ABK54" s="10"/>
      <c r="ABL54" s="10"/>
    </row>
    <row r="55" spans="1:740" s="35" customFormat="1" x14ac:dyDescent="0.3">
      <c r="B55" s="36">
        <f t="shared" si="2"/>
        <v>0</v>
      </c>
      <c r="C55" s="37"/>
      <c r="D55" s="38" t="s">
        <v>1311</v>
      </c>
      <c r="E55" s="39"/>
      <c r="F55" s="40">
        <v>45273</v>
      </c>
      <c r="G55" s="39"/>
      <c r="H55" s="39"/>
      <c r="I55" s="39"/>
      <c r="J55" s="39" t="s">
        <v>1314</v>
      </c>
      <c r="K55" s="39"/>
      <c r="L55" s="39"/>
      <c r="M55" s="39"/>
      <c r="N55" s="44" t="s">
        <v>1325</v>
      </c>
    </row>
    <row r="56" spans="1:740" s="21" customFormat="1" x14ac:dyDescent="0.3">
      <c r="A56" s="10"/>
      <c r="B56" s="13">
        <f t="shared" si="2"/>
        <v>0</v>
      </c>
      <c r="C56" s="16"/>
      <c r="D56" s="17" t="s">
        <v>1311</v>
      </c>
      <c r="E56" s="18" t="s">
        <v>1306</v>
      </c>
      <c r="F56" s="19">
        <v>45142</v>
      </c>
      <c r="G56" s="18"/>
      <c r="H56" s="18"/>
      <c r="I56" s="18"/>
      <c r="J56" s="18" t="s">
        <v>1314</v>
      </c>
      <c r="K56" s="18"/>
      <c r="L56" s="18"/>
      <c r="M56" s="18"/>
      <c r="N56" s="30" t="s">
        <v>1326</v>
      </c>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10"/>
      <c r="HH56" s="10"/>
      <c r="HI56" s="10"/>
      <c r="HJ56" s="10"/>
      <c r="HK56" s="10"/>
      <c r="HL56" s="10"/>
      <c r="HM56" s="10"/>
      <c r="HN56" s="10"/>
      <c r="HO56" s="10"/>
      <c r="HP56" s="10"/>
      <c r="HQ56" s="10"/>
      <c r="HR56" s="10"/>
      <c r="HS56" s="10"/>
      <c r="HT56" s="10"/>
      <c r="HU56" s="10"/>
      <c r="HV56" s="10"/>
      <c r="HW56" s="10"/>
      <c r="HX56" s="10"/>
      <c r="HY56" s="10"/>
      <c r="HZ56" s="10"/>
      <c r="IA56" s="10"/>
      <c r="IB56" s="10"/>
      <c r="IC56" s="10"/>
      <c r="ID56" s="10"/>
      <c r="IE56" s="10"/>
      <c r="IF56" s="10"/>
      <c r="IG56" s="10"/>
      <c r="IH56" s="10"/>
      <c r="II56" s="10"/>
      <c r="IJ56" s="10"/>
      <c r="IK56" s="10"/>
      <c r="IL56" s="10"/>
      <c r="IM56" s="10"/>
      <c r="IN56" s="10"/>
      <c r="IO56" s="10"/>
      <c r="IP56" s="10"/>
      <c r="IQ56" s="10"/>
      <c r="IR56" s="10"/>
      <c r="IS56" s="10"/>
      <c r="IT56" s="10"/>
      <c r="IU56" s="10"/>
      <c r="IV56" s="10"/>
      <c r="IW56" s="10"/>
      <c r="IX56" s="10"/>
      <c r="IY56" s="10"/>
      <c r="IZ56" s="10"/>
      <c r="JA56" s="10"/>
      <c r="JB56" s="10"/>
      <c r="JC56" s="10"/>
      <c r="JD56" s="10"/>
      <c r="JE56" s="10"/>
      <c r="JF56" s="10"/>
      <c r="JG56" s="10"/>
      <c r="JH56" s="10"/>
      <c r="JI56" s="10"/>
      <c r="JJ56" s="10"/>
      <c r="JK56" s="10"/>
      <c r="JL56" s="10"/>
      <c r="JM56" s="10"/>
      <c r="JN56" s="10"/>
      <c r="JO56" s="10"/>
      <c r="JP56" s="10"/>
      <c r="JQ56" s="10"/>
      <c r="JR56" s="10"/>
      <c r="JS56" s="10"/>
      <c r="JT56" s="10"/>
      <c r="JU56" s="10"/>
      <c r="JV56" s="10"/>
      <c r="JW56" s="10"/>
      <c r="JX56" s="10"/>
      <c r="JY56" s="10"/>
      <c r="JZ56" s="10"/>
      <c r="KA56" s="10"/>
      <c r="KB56" s="10"/>
      <c r="KC56" s="10"/>
      <c r="KD56" s="10"/>
      <c r="KE56" s="10"/>
      <c r="KF56" s="10"/>
      <c r="KG56" s="10"/>
      <c r="KH56" s="10"/>
      <c r="KI56" s="10"/>
      <c r="KJ56" s="10"/>
      <c r="KK56" s="10"/>
      <c r="KL56" s="10"/>
      <c r="KM56" s="10"/>
      <c r="KN56" s="10"/>
      <c r="KO56" s="10"/>
      <c r="KP56" s="10"/>
      <c r="KQ56" s="10"/>
      <c r="KR56" s="10"/>
      <c r="KS56" s="10"/>
      <c r="KT56" s="10"/>
      <c r="KU56" s="10"/>
      <c r="KV56" s="10"/>
      <c r="KW56" s="10"/>
      <c r="KX56" s="10"/>
      <c r="KY56" s="10"/>
      <c r="KZ56" s="10"/>
      <c r="LA56" s="10"/>
      <c r="LB56" s="10"/>
      <c r="LC56" s="10"/>
      <c r="LD56" s="10"/>
      <c r="LE56" s="10"/>
      <c r="LF56" s="10"/>
      <c r="LG56" s="10"/>
      <c r="LH56" s="10"/>
      <c r="LI56" s="10"/>
      <c r="LJ56" s="10"/>
      <c r="LK56" s="10"/>
      <c r="LL56" s="10"/>
      <c r="LM56" s="10"/>
      <c r="LN56" s="10"/>
      <c r="LO56" s="10"/>
      <c r="LP56" s="10"/>
      <c r="LQ56" s="10"/>
      <c r="LR56" s="10"/>
      <c r="LS56" s="10"/>
      <c r="LT56" s="10"/>
      <c r="LU56" s="10"/>
      <c r="LV56" s="10"/>
      <c r="LW56" s="10"/>
      <c r="LX56" s="10"/>
      <c r="LY56" s="10"/>
      <c r="LZ56" s="10"/>
      <c r="MA56" s="10"/>
      <c r="MB56" s="10"/>
      <c r="MC56" s="10"/>
      <c r="MD56" s="10"/>
      <c r="ME56" s="10"/>
      <c r="MF56" s="10"/>
      <c r="MG56" s="10"/>
      <c r="MH56" s="10"/>
      <c r="MI56" s="10"/>
      <c r="MJ56" s="10"/>
      <c r="MK56" s="10"/>
      <c r="ML56" s="10"/>
      <c r="MM56" s="10"/>
      <c r="MN56" s="10"/>
      <c r="MO56" s="10"/>
      <c r="MP56" s="10"/>
      <c r="MQ56" s="10"/>
      <c r="MR56" s="10"/>
      <c r="MS56" s="10"/>
      <c r="MT56" s="10"/>
      <c r="MU56" s="10"/>
      <c r="MV56" s="10"/>
      <c r="MW56" s="10"/>
      <c r="MX56" s="10"/>
      <c r="MY56" s="10"/>
      <c r="MZ56" s="10"/>
      <c r="NA56" s="10"/>
      <c r="NB56" s="10"/>
      <c r="NC56" s="10"/>
      <c r="ND56" s="10"/>
      <c r="NE56" s="10"/>
      <c r="NF56" s="10"/>
      <c r="NG56" s="10"/>
      <c r="NH56" s="10"/>
      <c r="NI56" s="10"/>
      <c r="NJ56" s="10"/>
      <c r="NK56" s="10"/>
      <c r="NL56" s="10"/>
      <c r="NM56" s="10"/>
      <c r="NN56" s="10"/>
      <c r="NO56" s="10"/>
      <c r="NP56" s="10"/>
      <c r="NQ56" s="10"/>
      <c r="NR56" s="10"/>
      <c r="NS56" s="10"/>
      <c r="NT56" s="10"/>
      <c r="NU56" s="10"/>
      <c r="NV56" s="10"/>
      <c r="NW56" s="10"/>
      <c r="NX56" s="10"/>
      <c r="NY56" s="10"/>
      <c r="NZ56" s="10"/>
      <c r="OA56" s="10"/>
      <c r="OB56" s="10"/>
      <c r="OC56" s="10"/>
      <c r="OD56" s="10"/>
      <c r="OE56" s="10"/>
      <c r="OF56" s="10"/>
      <c r="OG56" s="10"/>
      <c r="OH56" s="10"/>
      <c r="OI56" s="10"/>
      <c r="OJ56" s="10"/>
      <c r="OK56" s="10"/>
      <c r="OL56" s="10"/>
      <c r="OM56" s="10"/>
      <c r="ON56" s="10"/>
      <c r="OO56" s="10"/>
      <c r="OP56" s="10"/>
      <c r="OQ56" s="10"/>
      <c r="OR56" s="10"/>
      <c r="OS56" s="10"/>
      <c r="OT56" s="10"/>
      <c r="OU56" s="10"/>
      <c r="OV56" s="10"/>
      <c r="OW56" s="10"/>
      <c r="OX56" s="10"/>
      <c r="OY56" s="10"/>
      <c r="OZ56" s="10"/>
      <c r="PA56" s="10"/>
      <c r="PB56" s="10"/>
      <c r="PC56" s="10"/>
      <c r="PD56" s="10"/>
      <c r="PE56" s="10"/>
      <c r="PF56" s="10"/>
      <c r="PG56" s="10"/>
      <c r="PH56" s="10"/>
      <c r="PI56" s="10"/>
      <c r="PJ56" s="10"/>
      <c r="PK56" s="10"/>
      <c r="PL56" s="10"/>
      <c r="PM56" s="10"/>
      <c r="PN56" s="10"/>
      <c r="PO56" s="10"/>
      <c r="PP56" s="10"/>
      <c r="PQ56" s="10"/>
      <c r="PR56" s="10"/>
      <c r="PS56" s="10"/>
      <c r="PT56" s="10"/>
      <c r="PU56" s="10"/>
      <c r="PV56" s="10"/>
      <c r="PW56" s="10"/>
      <c r="PX56" s="10"/>
      <c r="PY56" s="10"/>
      <c r="PZ56" s="10"/>
      <c r="QA56" s="10"/>
      <c r="QB56" s="10"/>
      <c r="QC56" s="10"/>
      <c r="QD56" s="10"/>
      <c r="QE56" s="10"/>
      <c r="QF56" s="10"/>
      <c r="QG56" s="10"/>
      <c r="QH56" s="10"/>
      <c r="QI56" s="10"/>
      <c r="QJ56" s="10"/>
      <c r="QK56" s="10"/>
      <c r="QL56" s="10"/>
      <c r="QM56" s="10"/>
      <c r="QN56" s="10"/>
      <c r="QO56" s="10"/>
      <c r="QP56" s="10"/>
      <c r="QQ56" s="10"/>
      <c r="QR56" s="10"/>
      <c r="QS56" s="10"/>
      <c r="QT56" s="10"/>
      <c r="QU56" s="10"/>
      <c r="QV56" s="10"/>
      <c r="QW56" s="10"/>
      <c r="QX56" s="10"/>
      <c r="QY56" s="10"/>
      <c r="QZ56" s="10"/>
      <c r="RA56" s="10"/>
      <c r="RB56" s="10"/>
      <c r="RC56" s="10"/>
      <c r="RD56" s="10"/>
      <c r="RE56" s="10"/>
      <c r="RF56" s="10"/>
      <c r="RG56" s="10"/>
      <c r="RH56" s="10"/>
      <c r="RI56" s="10"/>
      <c r="RJ56" s="10"/>
      <c r="RK56" s="10"/>
      <c r="RL56" s="10"/>
      <c r="RM56" s="10"/>
      <c r="RN56" s="10"/>
      <c r="RO56" s="10"/>
      <c r="RP56" s="10"/>
      <c r="RQ56" s="10"/>
      <c r="RR56" s="10"/>
      <c r="RS56" s="10"/>
      <c r="RT56" s="10"/>
      <c r="RU56" s="10"/>
      <c r="RV56" s="10"/>
      <c r="RW56" s="10"/>
      <c r="RX56" s="10"/>
      <c r="RY56" s="10"/>
      <c r="RZ56" s="10"/>
      <c r="SA56" s="10"/>
      <c r="SB56" s="10"/>
      <c r="SC56" s="10"/>
      <c r="SD56" s="10"/>
      <c r="SE56" s="10"/>
      <c r="SF56" s="10"/>
      <c r="SG56" s="10"/>
      <c r="SH56" s="10"/>
      <c r="SI56" s="10"/>
      <c r="SJ56" s="10"/>
      <c r="SK56" s="10"/>
      <c r="SL56" s="10"/>
      <c r="SM56" s="10"/>
      <c r="SN56" s="10"/>
      <c r="SO56" s="10"/>
      <c r="SP56" s="10"/>
      <c r="SQ56" s="10"/>
      <c r="SR56" s="10"/>
      <c r="SS56" s="10"/>
      <c r="ST56" s="10"/>
      <c r="SU56" s="10"/>
      <c r="SV56" s="10"/>
      <c r="SW56" s="10"/>
      <c r="SX56" s="10"/>
      <c r="SY56" s="10"/>
      <c r="SZ56" s="10"/>
      <c r="TA56" s="10"/>
      <c r="TB56" s="10"/>
      <c r="TC56" s="10"/>
      <c r="TD56" s="10"/>
      <c r="TE56" s="10"/>
      <c r="TF56" s="10"/>
      <c r="TG56" s="10"/>
      <c r="TH56" s="10"/>
      <c r="TI56" s="10"/>
      <c r="TJ56" s="10"/>
      <c r="TK56" s="10"/>
      <c r="TL56" s="10"/>
      <c r="TM56" s="10"/>
      <c r="TN56" s="10"/>
      <c r="TO56" s="10"/>
      <c r="TP56" s="10"/>
      <c r="TQ56" s="10"/>
      <c r="TR56" s="10"/>
      <c r="TS56" s="10"/>
      <c r="TT56" s="10"/>
      <c r="TU56" s="10"/>
      <c r="TV56" s="10"/>
      <c r="TW56" s="10"/>
      <c r="TX56" s="10"/>
      <c r="TY56" s="10"/>
      <c r="TZ56" s="10"/>
      <c r="UA56" s="10"/>
      <c r="UB56" s="10"/>
      <c r="UC56" s="10"/>
      <c r="UD56" s="10"/>
      <c r="UE56" s="10"/>
      <c r="UF56" s="10"/>
      <c r="UG56" s="10"/>
      <c r="UH56" s="10"/>
      <c r="UI56" s="10"/>
      <c r="UJ56" s="10"/>
      <c r="UK56" s="10"/>
      <c r="UL56" s="10"/>
      <c r="UM56" s="10"/>
      <c r="UN56" s="10"/>
      <c r="UO56" s="10"/>
      <c r="UP56" s="10"/>
      <c r="UQ56" s="10"/>
      <c r="UR56" s="10"/>
      <c r="US56" s="10"/>
      <c r="UT56" s="10"/>
      <c r="UU56" s="10"/>
      <c r="UV56" s="10"/>
      <c r="UW56" s="10"/>
      <c r="UX56" s="10"/>
      <c r="UY56" s="10"/>
      <c r="UZ56" s="10"/>
      <c r="VA56" s="10"/>
      <c r="VB56" s="10"/>
      <c r="VC56" s="10"/>
      <c r="VD56" s="10"/>
      <c r="VE56" s="10"/>
      <c r="VF56" s="10"/>
      <c r="VG56" s="10"/>
      <c r="VH56" s="10"/>
      <c r="VI56" s="10"/>
      <c r="VJ56" s="10"/>
      <c r="VK56" s="10"/>
      <c r="VL56" s="10"/>
      <c r="VM56" s="10"/>
      <c r="VN56" s="10"/>
      <c r="VO56" s="10"/>
      <c r="VP56" s="10"/>
      <c r="VQ56" s="10"/>
      <c r="VR56" s="10"/>
      <c r="VS56" s="10"/>
      <c r="VT56" s="10"/>
      <c r="VU56" s="10"/>
      <c r="VV56" s="10"/>
      <c r="VW56" s="10"/>
      <c r="VX56" s="10"/>
      <c r="VY56" s="10"/>
      <c r="VZ56" s="10"/>
      <c r="WA56" s="10"/>
      <c r="WB56" s="10"/>
      <c r="WC56" s="10"/>
      <c r="WD56" s="10"/>
      <c r="WE56" s="10"/>
      <c r="WF56" s="10"/>
      <c r="WG56" s="10"/>
      <c r="WH56" s="10"/>
      <c r="WI56" s="10"/>
      <c r="WJ56" s="10"/>
      <c r="WK56" s="10"/>
      <c r="WL56" s="10"/>
      <c r="WM56" s="10"/>
      <c r="WN56" s="10"/>
      <c r="WO56" s="10"/>
      <c r="WP56" s="10"/>
      <c r="WQ56" s="10"/>
      <c r="WR56" s="10"/>
      <c r="WS56" s="10"/>
      <c r="WT56" s="10"/>
      <c r="WU56" s="10"/>
      <c r="WV56" s="10"/>
      <c r="WW56" s="10"/>
      <c r="WX56" s="10"/>
      <c r="WY56" s="10"/>
      <c r="WZ56" s="10"/>
      <c r="XA56" s="10"/>
      <c r="XB56" s="10"/>
      <c r="XC56" s="10"/>
      <c r="XD56" s="10"/>
      <c r="XE56" s="10"/>
      <c r="XF56" s="10"/>
      <c r="XG56" s="10"/>
      <c r="XH56" s="10"/>
      <c r="XI56" s="10"/>
      <c r="XJ56" s="10"/>
      <c r="XK56" s="10"/>
      <c r="XL56" s="10"/>
      <c r="XM56" s="10"/>
      <c r="XN56" s="10"/>
      <c r="XO56" s="10"/>
      <c r="XP56" s="10"/>
      <c r="XQ56" s="10"/>
      <c r="XR56" s="10"/>
      <c r="XS56" s="10"/>
      <c r="XT56" s="10"/>
      <c r="XU56" s="10"/>
      <c r="XV56" s="10"/>
      <c r="XW56" s="10"/>
      <c r="XX56" s="10"/>
      <c r="XY56" s="10"/>
      <c r="XZ56" s="10"/>
      <c r="YA56" s="10"/>
      <c r="YB56" s="10"/>
      <c r="YC56" s="10"/>
      <c r="YD56" s="10"/>
      <c r="YE56" s="10"/>
      <c r="YF56" s="10"/>
      <c r="YG56" s="10"/>
      <c r="YH56" s="10"/>
      <c r="YI56" s="10"/>
      <c r="YJ56" s="10"/>
      <c r="YK56" s="10"/>
      <c r="YL56" s="10"/>
      <c r="YM56" s="10"/>
      <c r="YN56" s="10"/>
      <c r="YO56" s="10"/>
      <c r="YP56" s="10"/>
      <c r="YQ56" s="10"/>
      <c r="YR56" s="10"/>
      <c r="YS56" s="10"/>
      <c r="YT56" s="10"/>
      <c r="YU56" s="10"/>
      <c r="YV56" s="10"/>
      <c r="YW56" s="10"/>
      <c r="YX56" s="10"/>
      <c r="YY56" s="10"/>
      <c r="YZ56" s="10"/>
      <c r="ZA56" s="10"/>
      <c r="ZB56" s="10"/>
      <c r="ZC56" s="10"/>
      <c r="ZD56" s="10"/>
      <c r="ZE56" s="10"/>
      <c r="ZF56" s="10"/>
      <c r="ZG56" s="10"/>
      <c r="ZH56" s="10"/>
      <c r="ZI56" s="10"/>
      <c r="ZJ56" s="10"/>
      <c r="ZK56" s="10"/>
      <c r="ZL56" s="10"/>
      <c r="ZM56" s="10"/>
      <c r="ZN56" s="10"/>
      <c r="ZO56" s="10"/>
      <c r="ZP56" s="10"/>
      <c r="ZQ56" s="10"/>
      <c r="ZR56" s="10"/>
      <c r="ZS56" s="10"/>
      <c r="ZT56" s="10"/>
      <c r="ZU56" s="10"/>
      <c r="ZV56" s="10"/>
      <c r="ZW56" s="10"/>
      <c r="ZX56" s="10"/>
      <c r="ZY56" s="10"/>
      <c r="ZZ56" s="10"/>
      <c r="AAA56" s="10"/>
      <c r="AAB56" s="10"/>
      <c r="AAC56" s="10"/>
      <c r="AAD56" s="10"/>
      <c r="AAE56" s="10"/>
      <c r="AAF56" s="10"/>
      <c r="AAG56" s="10"/>
      <c r="AAH56" s="10"/>
      <c r="AAI56" s="10"/>
      <c r="AAJ56" s="10"/>
      <c r="AAK56" s="10"/>
      <c r="AAL56" s="10"/>
      <c r="AAM56" s="10"/>
      <c r="AAN56" s="10"/>
      <c r="AAO56" s="10"/>
      <c r="AAP56" s="10"/>
      <c r="AAQ56" s="10"/>
      <c r="AAR56" s="10"/>
      <c r="AAS56" s="10"/>
      <c r="AAT56" s="10"/>
      <c r="AAU56" s="10"/>
      <c r="AAV56" s="10"/>
      <c r="AAW56" s="10"/>
      <c r="AAX56" s="10"/>
      <c r="AAY56" s="10"/>
      <c r="AAZ56" s="10"/>
      <c r="ABA56" s="10"/>
      <c r="ABB56" s="10"/>
      <c r="ABC56" s="10"/>
      <c r="ABD56" s="10"/>
      <c r="ABE56" s="10"/>
      <c r="ABF56" s="10"/>
      <c r="ABG56" s="10"/>
      <c r="ABH56" s="10"/>
      <c r="ABI56" s="10"/>
      <c r="ABJ56" s="10"/>
      <c r="ABK56" s="10"/>
      <c r="ABL56" s="10"/>
    </row>
    <row r="57" spans="1:740" s="35" customFormat="1" x14ac:dyDescent="0.3">
      <c r="B57" s="36">
        <f t="shared" si="2"/>
        <v>3</v>
      </c>
      <c r="C57" s="37"/>
      <c r="D57" s="38" t="s">
        <v>1310</v>
      </c>
      <c r="E57" s="39" t="s">
        <v>1306</v>
      </c>
      <c r="F57" s="39"/>
      <c r="G57" s="40">
        <v>45072</v>
      </c>
      <c r="H57" s="40">
        <v>45079</v>
      </c>
      <c r="I57" s="40">
        <v>45079</v>
      </c>
      <c r="J57" s="39" t="s">
        <v>1302</v>
      </c>
      <c r="K57" s="39">
        <v>12</v>
      </c>
      <c r="L57" s="40">
        <v>45154</v>
      </c>
      <c r="M57" s="40">
        <f>EOMONTH(L57,K57)</f>
        <v>45535</v>
      </c>
      <c r="N57" s="41"/>
      <c r="O57" s="42"/>
    </row>
    <row r="58" spans="1:740" s="21" customFormat="1" x14ac:dyDescent="0.3">
      <c r="A58" s="10"/>
      <c r="B58" s="13">
        <f t="shared" si="2"/>
        <v>3</v>
      </c>
      <c r="C58" s="16"/>
      <c r="D58" s="17" t="s">
        <v>1311</v>
      </c>
      <c r="E58" s="18" t="s">
        <v>1312</v>
      </c>
      <c r="F58" s="18"/>
      <c r="G58" s="19">
        <v>45166</v>
      </c>
      <c r="H58" s="19">
        <v>45168</v>
      </c>
      <c r="I58" s="19">
        <v>45169</v>
      </c>
      <c r="J58" s="18" t="s">
        <v>1302</v>
      </c>
      <c r="K58" s="18">
        <v>12</v>
      </c>
      <c r="L58" s="19">
        <v>45182</v>
      </c>
      <c r="M58" s="19">
        <f>EOMONTH(L58,K58)</f>
        <v>45565</v>
      </c>
      <c r="N58" s="29" t="s">
        <v>1327</v>
      </c>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c r="FZ58" s="10"/>
      <c r="GA58" s="10"/>
      <c r="GB58" s="10"/>
      <c r="GC58" s="10"/>
      <c r="GD58" s="10"/>
      <c r="GE58" s="10"/>
      <c r="GF58" s="10"/>
      <c r="GG58" s="10"/>
      <c r="GH58" s="10"/>
      <c r="GI58" s="10"/>
      <c r="GJ58" s="10"/>
      <c r="GK58" s="10"/>
      <c r="GL58" s="10"/>
      <c r="GM58" s="10"/>
      <c r="GN58" s="10"/>
      <c r="GO58" s="10"/>
      <c r="GP58" s="10"/>
      <c r="GQ58" s="10"/>
      <c r="GR58" s="10"/>
      <c r="GS58" s="10"/>
      <c r="GT58" s="10"/>
      <c r="GU58" s="10"/>
      <c r="GV58" s="10"/>
      <c r="GW58" s="10"/>
      <c r="GX58" s="10"/>
      <c r="GY58" s="10"/>
      <c r="GZ58" s="10"/>
      <c r="HA58" s="10"/>
      <c r="HB58" s="10"/>
      <c r="HC58" s="10"/>
      <c r="HD58" s="10"/>
      <c r="HE58" s="10"/>
      <c r="HF58" s="10"/>
      <c r="HG58" s="10"/>
      <c r="HH58" s="10"/>
      <c r="HI58" s="10"/>
      <c r="HJ58" s="10"/>
      <c r="HK58" s="10"/>
      <c r="HL58" s="10"/>
      <c r="HM58" s="10"/>
      <c r="HN58" s="10"/>
      <c r="HO58" s="10"/>
      <c r="HP58" s="10"/>
      <c r="HQ58" s="10"/>
      <c r="HR58" s="10"/>
      <c r="HS58" s="10"/>
      <c r="HT58" s="10"/>
      <c r="HU58" s="10"/>
      <c r="HV58" s="10"/>
      <c r="HW58" s="10"/>
      <c r="HX58" s="10"/>
      <c r="HY58" s="10"/>
      <c r="HZ58" s="10"/>
      <c r="IA58" s="10"/>
      <c r="IB58" s="10"/>
      <c r="IC58" s="10"/>
      <c r="ID58" s="10"/>
      <c r="IE58" s="10"/>
      <c r="IF58" s="10"/>
      <c r="IG58" s="10"/>
      <c r="IH58" s="10"/>
      <c r="II58" s="10"/>
      <c r="IJ58" s="10"/>
      <c r="IK58" s="10"/>
      <c r="IL58" s="10"/>
      <c r="IM58" s="10"/>
      <c r="IN58" s="10"/>
      <c r="IO58" s="10"/>
      <c r="IP58" s="10"/>
      <c r="IQ58" s="10"/>
      <c r="IR58" s="10"/>
      <c r="IS58" s="10"/>
      <c r="IT58" s="10"/>
      <c r="IU58" s="10"/>
      <c r="IV58" s="10"/>
      <c r="IW58" s="10"/>
      <c r="IX58" s="10"/>
      <c r="IY58" s="10"/>
      <c r="IZ58" s="10"/>
      <c r="JA58" s="10"/>
      <c r="JB58" s="10"/>
      <c r="JC58" s="10"/>
      <c r="JD58" s="10"/>
      <c r="JE58" s="10"/>
      <c r="JF58" s="10"/>
      <c r="JG58" s="10"/>
      <c r="JH58" s="10"/>
      <c r="JI58" s="10"/>
      <c r="JJ58" s="10"/>
      <c r="JK58" s="10"/>
      <c r="JL58" s="10"/>
      <c r="JM58" s="10"/>
      <c r="JN58" s="10"/>
      <c r="JO58" s="10"/>
      <c r="JP58" s="10"/>
      <c r="JQ58" s="10"/>
      <c r="JR58" s="10"/>
      <c r="JS58" s="10"/>
      <c r="JT58" s="10"/>
      <c r="JU58" s="10"/>
      <c r="JV58" s="10"/>
      <c r="JW58" s="10"/>
      <c r="JX58" s="10"/>
      <c r="JY58" s="10"/>
      <c r="JZ58" s="10"/>
      <c r="KA58" s="10"/>
      <c r="KB58" s="10"/>
      <c r="KC58" s="10"/>
      <c r="KD58" s="10"/>
      <c r="KE58" s="10"/>
      <c r="KF58" s="10"/>
      <c r="KG58" s="10"/>
      <c r="KH58" s="10"/>
      <c r="KI58" s="10"/>
      <c r="KJ58" s="10"/>
      <c r="KK58" s="10"/>
      <c r="KL58" s="10"/>
      <c r="KM58" s="10"/>
      <c r="KN58" s="10"/>
      <c r="KO58" s="10"/>
      <c r="KP58" s="10"/>
      <c r="KQ58" s="10"/>
      <c r="KR58" s="10"/>
      <c r="KS58" s="10"/>
      <c r="KT58" s="10"/>
      <c r="KU58" s="10"/>
      <c r="KV58" s="10"/>
      <c r="KW58" s="10"/>
      <c r="KX58" s="10"/>
      <c r="KY58" s="10"/>
      <c r="KZ58" s="10"/>
      <c r="LA58" s="10"/>
      <c r="LB58" s="10"/>
      <c r="LC58" s="10"/>
      <c r="LD58" s="10"/>
      <c r="LE58" s="10"/>
      <c r="LF58" s="10"/>
      <c r="LG58" s="10"/>
      <c r="LH58" s="10"/>
      <c r="LI58" s="10"/>
      <c r="LJ58" s="10"/>
      <c r="LK58" s="10"/>
      <c r="LL58" s="10"/>
      <c r="LM58" s="10"/>
      <c r="LN58" s="10"/>
      <c r="LO58" s="10"/>
      <c r="LP58" s="10"/>
      <c r="LQ58" s="10"/>
      <c r="LR58" s="10"/>
      <c r="LS58" s="10"/>
      <c r="LT58" s="10"/>
      <c r="LU58" s="10"/>
      <c r="LV58" s="10"/>
      <c r="LW58" s="10"/>
      <c r="LX58" s="10"/>
      <c r="LY58" s="10"/>
      <c r="LZ58" s="10"/>
      <c r="MA58" s="10"/>
      <c r="MB58" s="10"/>
      <c r="MC58" s="10"/>
      <c r="MD58" s="10"/>
      <c r="ME58" s="10"/>
      <c r="MF58" s="10"/>
      <c r="MG58" s="10"/>
      <c r="MH58" s="10"/>
      <c r="MI58" s="10"/>
      <c r="MJ58" s="10"/>
      <c r="MK58" s="10"/>
      <c r="ML58" s="10"/>
      <c r="MM58" s="10"/>
      <c r="MN58" s="10"/>
      <c r="MO58" s="10"/>
      <c r="MP58" s="10"/>
      <c r="MQ58" s="10"/>
      <c r="MR58" s="10"/>
      <c r="MS58" s="10"/>
      <c r="MT58" s="10"/>
      <c r="MU58" s="10"/>
      <c r="MV58" s="10"/>
      <c r="MW58" s="10"/>
      <c r="MX58" s="10"/>
      <c r="MY58" s="10"/>
      <c r="MZ58" s="10"/>
      <c r="NA58" s="10"/>
      <c r="NB58" s="10"/>
      <c r="NC58" s="10"/>
      <c r="ND58" s="10"/>
      <c r="NE58" s="10"/>
      <c r="NF58" s="10"/>
      <c r="NG58" s="10"/>
      <c r="NH58" s="10"/>
      <c r="NI58" s="10"/>
      <c r="NJ58" s="10"/>
      <c r="NK58" s="10"/>
      <c r="NL58" s="10"/>
      <c r="NM58" s="10"/>
      <c r="NN58" s="10"/>
      <c r="NO58" s="10"/>
      <c r="NP58" s="10"/>
      <c r="NQ58" s="10"/>
      <c r="NR58" s="10"/>
      <c r="NS58" s="10"/>
      <c r="NT58" s="10"/>
      <c r="NU58" s="10"/>
      <c r="NV58" s="10"/>
      <c r="NW58" s="10"/>
      <c r="NX58" s="10"/>
      <c r="NY58" s="10"/>
      <c r="NZ58" s="10"/>
      <c r="OA58" s="10"/>
      <c r="OB58" s="10"/>
      <c r="OC58" s="10"/>
      <c r="OD58" s="10"/>
      <c r="OE58" s="10"/>
      <c r="OF58" s="10"/>
      <c r="OG58" s="10"/>
      <c r="OH58" s="10"/>
      <c r="OI58" s="10"/>
      <c r="OJ58" s="10"/>
      <c r="OK58" s="10"/>
      <c r="OL58" s="10"/>
      <c r="OM58" s="10"/>
      <c r="ON58" s="10"/>
      <c r="OO58" s="10"/>
      <c r="OP58" s="10"/>
      <c r="OQ58" s="10"/>
      <c r="OR58" s="10"/>
      <c r="OS58" s="10"/>
      <c r="OT58" s="10"/>
      <c r="OU58" s="10"/>
      <c r="OV58" s="10"/>
      <c r="OW58" s="10"/>
      <c r="OX58" s="10"/>
      <c r="OY58" s="10"/>
      <c r="OZ58" s="10"/>
      <c r="PA58" s="10"/>
      <c r="PB58" s="10"/>
      <c r="PC58" s="10"/>
      <c r="PD58" s="10"/>
      <c r="PE58" s="10"/>
      <c r="PF58" s="10"/>
      <c r="PG58" s="10"/>
      <c r="PH58" s="10"/>
      <c r="PI58" s="10"/>
      <c r="PJ58" s="10"/>
      <c r="PK58" s="10"/>
      <c r="PL58" s="10"/>
      <c r="PM58" s="10"/>
      <c r="PN58" s="10"/>
      <c r="PO58" s="10"/>
      <c r="PP58" s="10"/>
      <c r="PQ58" s="10"/>
      <c r="PR58" s="10"/>
      <c r="PS58" s="10"/>
      <c r="PT58" s="10"/>
      <c r="PU58" s="10"/>
      <c r="PV58" s="10"/>
      <c r="PW58" s="10"/>
      <c r="PX58" s="10"/>
      <c r="PY58" s="10"/>
      <c r="PZ58" s="10"/>
      <c r="QA58" s="10"/>
      <c r="QB58" s="10"/>
      <c r="QC58" s="10"/>
      <c r="QD58" s="10"/>
      <c r="QE58" s="10"/>
      <c r="QF58" s="10"/>
      <c r="QG58" s="10"/>
      <c r="QH58" s="10"/>
      <c r="QI58" s="10"/>
      <c r="QJ58" s="10"/>
      <c r="QK58" s="10"/>
      <c r="QL58" s="10"/>
      <c r="QM58" s="10"/>
      <c r="QN58" s="10"/>
      <c r="QO58" s="10"/>
      <c r="QP58" s="10"/>
      <c r="QQ58" s="10"/>
      <c r="QR58" s="10"/>
      <c r="QS58" s="10"/>
      <c r="QT58" s="10"/>
      <c r="QU58" s="10"/>
      <c r="QV58" s="10"/>
      <c r="QW58" s="10"/>
      <c r="QX58" s="10"/>
      <c r="QY58" s="10"/>
      <c r="QZ58" s="10"/>
      <c r="RA58" s="10"/>
      <c r="RB58" s="10"/>
      <c r="RC58" s="10"/>
      <c r="RD58" s="10"/>
      <c r="RE58" s="10"/>
      <c r="RF58" s="10"/>
      <c r="RG58" s="10"/>
      <c r="RH58" s="10"/>
      <c r="RI58" s="10"/>
      <c r="RJ58" s="10"/>
      <c r="RK58" s="10"/>
      <c r="RL58" s="10"/>
      <c r="RM58" s="10"/>
      <c r="RN58" s="10"/>
      <c r="RO58" s="10"/>
      <c r="RP58" s="10"/>
      <c r="RQ58" s="10"/>
      <c r="RR58" s="10"/>
      <c r="RS58" s="10"/>
      <c r="RT58" s="10"/>
      <c r="RU58" s="10"/>
      <c r="RV58" s="10"/>
      <c r="RW58" s="10"/>
      <c r="RX58" s="10"/>
      <c r="RY58" s="10"/>
      <c r="RZ58" s="10"/>
      <c r="SA58" s="10"/>
      <c r="SB58" s="10"/>
      <c r="SC58" s="10"/>
      <c r="SD58" s="10"/>
      <c r="SE58" s="10"/>
      <c r="SF58" s="10"/>
      <c r="SG58" s="10"/>
      <c r="SH58" s="10"/>
      <c r="SI58" s="10"/>
      <c r="SJ58" s="10"/>
      <c r="SK58" s="10"/>
      <c r="SL58" s="10"/>
      <c r="SM58" s="10"/>
      <c r="SN58" s="10"/>
      <c r="SO58" s="10"/>
      <c r="SP58" s="10"/>
      <c r="SQ58" s="10"/>
      <c r="SR58" s="10"/>
      <c r="SS58" s="10"/>
      <c r="ST58" s="10"/>
      <c r="SU58" s="10"/>
      <c r="SV58" s="10"/>
      <c r="SW58" s="10"/>
      <c r="SX58" s="10"/>
      <c r="SY58" s="10"/>
      <c r="SZ58" s="10"/>
      <c r="TA58" s="10"/>
      <c r="TB58" s="10"/>
      <c r="TC58" s="10"/>
      <c r="TD58" s="10"/>
      <c r="TE58" s="10"/>
      <c r="TF58" s="10"/>
      <c r="TG58" s="10"/>
      <c r="TH58" s="10"/>
      <c r="TI58" s="10"/>
      <c r="TJ58" s="10"/>
      <c r="TK58" s="10"/>
      <c r="TL58" s="10"/>
      <c r="TM58" s="10"/>
      <c r="TN58" s="10"/>
      <c r="TO58" s="10"/>
      <c r="TP58" s="10"/>
      <c r="TQ58" s="10"/>
      <c r="TR58" s="10"/>
      <c r="TS58" s="10"/>
      <c r="TT58" s="10"/>
      <c r="TU58" s="10"/>
      <c r="TV58" s="10"/>
      <c r="TW58" s="10"/>
      <c r="TX58" s="10"/>
      <c r="TY58" s="10"/>
      <c r="TZ58" s="10"/>
      <c r="UA58" s="10"/>
      <c r="UB58" s="10"/>
      <c r="UC58" s="10"/>
      <c r="UD58" s="10"/>
      <c r="UE58" s="10"/>
      <c r="UF58" s="10"/>
      <c r="UG58" s="10"/>
      <c r="UH58" s="10"/>
      <c r="UI58" s="10"/>
      <c r="UJ58" s="10"/>
      <c r="UK58" s="10"/>
      <c r="UL58" s="10"/>
      <c r="UM58" s="10"/>
      <c r="UN58" s="10"/>
      <c r="UO58" s="10"/>
      <c r="UP58" s="10"/>
      <c r="UQ58" s="10"/>
      <c r="UR58" s="10"/>
      <c r="US58" s="10"/>
      <c r="UT58" s="10"/>
      <c r="UU58" s="10"/>
      <c r="UV58" s="10"/>
      <c r="UW58" s="10"/>
      <c r="UX58" s="10"/>
      <c r="UY58" s="10"/>
      <c r="UZ58" s="10"/>
      <c r="VA58" s="10"/>
      <c r="VB58" s="10"/>
      <c r="VC58" s="10"/>
      <c r="VD58" s="10"/>
      <c r="VE58" s="10"/>
      <c r="VF58" s="10"/>
      <c r="VG58" s="10"/>
      <c r="VH58" s="10"/>
      <c r="VI58" s="10"/>
      <c r="VJ58" s="10"/>
      <c r="VK58" s="10"/>
      <c r="VL58" s="10"/>
      <c r="VM58" s="10"/>
      <c r="VN58" s="10"/>
      <c r="VO58" s="10"/>
      <c r="VP58" s="10"/>
      <c r="VQ58" s="10"/>
      <c r="VR58" s="10"/>
      <c r="VS58" s="10"/>
      <c r="VT58" s="10"/>
      <c r="VU58" s="10"/>
      <c r="VV58" s="10"/>
      <c r="VW58" s="10"/>
      <c r="VX58" s="10"/>
      <c r="VY58" s="10"/>
      <c r="VZ58" s="10"/>
      <c r="WA58" s="10"/>
      <c r="WB58" s="10"/>
      <c r="WC58" s="10"/>
      <c r="WD58" s="10"/>
      <c r="WE58" s="10"/>
      <c r="WF58" s="10"/>
      <c r="WG58" s="10"/>
      <c r="WH58" s="10"/>
      <c r="WI58" s="10"/>
      <c r="WJ58" s="10"/>
      <c r="WK58" s="10"/>
      <c r="WL58" s="10"/>
      <c r="WM58" s="10"/>
      <c r="WN58" s="10"/>
      <c r="WO58" s="10"/>
      <c r="WP58" s="10"/>
      <c r="WQ58" s="10"/>
      <c r="WR58" s="10"/>
      <c r="WS58" s="10"/>
      <c r="WT58" s="10"/>
      <c r="WU58" s="10"/>
      <c r="WV58" s="10"/>
      <c r="WW58" s="10"/>
      <c r="WX58" s="10"/>
      <c r="WY58" s="10"/>
      <c r="WZ58" s="10"/>
      <c r="XA58" s="10"/>
      <c r="XB58" s="10"/>
      <c r="XC58" s="10"/>
      <c r="XD58" s="10"/>
      <c r="XE58" s="10"/>
      <c r="XF58" s="10"/>
      <c r="XG58" s="10"/>
      <c r="XH58" s="10"/>
      <c r="XI58" s="10"/>
      <c r="XJ58" s="10"/>
      <c r="XK58" s="10"/>
      <c r="XL58" s="10"/>
      <c r="XM58" s="10"/>
      <c r="XN58" s="10"/>
      <c r="XO58" s="10"/>
      <c r="XP58" s="10"/>
      <c r="XQ58" s="10"/>
      <c r="XR58" s="10"/>
      <c r="XS58" s="10"/>
      <c r="XT58" s="10"/>
      <c r="XU58" s="10"/>
      <c r="XV58" s="10"/>
      <c r="XW58" s="10"/>
      <c r="XX58" s="10"/>
      <c r="XY58" s="10"/>
      <c r="XZ58" s="10"/>
      <c r="YA58" s="10"/>
      <c r="YB58" s="10"/>
      <c r="YC58" s="10"/>
      <c r="YD58" s="10"/>
      <c r="YE58" s="10"/>
      <c r="YF58" s="10"/>
      <c r="YG58" s="10"/>
      <c r="YH58" s="10"/>
      <c r="YI58" s="10"/>
      <c r="YJ58" s="10"/>
      <c r="YK58" s="10"/>
      <c r="YL58" s="10"/>
      <c r="YM58" s="10"/>
      <c r="YN58" s="10"/>
      <c r="YO58" s="10"/>
      <c r="YP58" s="10"/>
      <c r="YQ58" s="10"/>
      <c r="YR58" s="10"/>
      <c r="YS58" s="10"/>
      <c r="YT58" s="10"/>
      <c r="YU58" s="10"/>
      <c r="YV58" s="10"/>
      <c r="YW58" s="10"/>
      <c r="YX58" s="10"/>
      <c r="YY58" s="10"/>
      <c r="YZ58" s="10"/>
      <c r="ZA58" s="10"/>
      <c r="ZB58" s="10"/>
      <c r="ZC58" s="10"/>
      <c r="ZD58" s="10"/>
      <c r="ZE58" s="10"/>
      <c r="ZF58" s="10"/>
      <c r="ZG58" s="10"/>
      <c r="ZH58" s="10"/>
      <c r="ZI58" s="10"/>
      <c r="ZJ58" s="10"/>
      <c r="ZK58" s="10"/>
      <c r="ZL58" s="10"/>
      <c r="ZM58" s="10"/>
      <c r="ZN58" s="10"/>
      <c r="ZO58" s="10"/>
      <c r="ZP58" s="10"/>
      <c r="ZQ58" s="10"/>
      <c r="ZR58" s="10"/>
      <c r="ZS58" s="10"/>
      <c r="ZT58" s="10"/>
      <c r="ZU58" s="10"/>
      <c r="ZV58" s="10"/>
      <c r="ZW58" s="10"/>
      <c r="ZX58" s="10"/>
      <c r="ZY58" s="10"/>
      <c r="ZZ58" s="10"/>
      <c r="AAA58" s="10"/>
      <c r="AAB58" s="10"/>
      <c r="AAC58" s="10"/>
      <c r="AAD58" s="10"/>
      <c r="AAE58" s="10"/>
      <c r="AAF58" s="10"/>
      <c r="AAG58" s="10"/>
      <c r="AAH58" s="10"/>
      <c r="AAI58" s="10"/>
      <c r="AAJ58" s="10"/>
      <c r="AAK58" s="10"/>
      <c r="AAL58" s="10"/>
      <c r="AAM58" s="10"/>
      <c r="AAN58" s="10"/>
      <c r="AAO58" s="10"/>
      <c r="AAP58" s="10"/>
      <c r="AAQ58" s="10"/>
      <c r="AAR58" s="10"/>
      <c r="AAS58" s="10"/>
      <c r="AAT58" s="10"/>
      <c r="AAU58" s="10"/>
      <c r="AAV58" s="10"/>
      <c r="AAW58" s="10"/>
      <c r="AAX58" s="10"/>
      <c r="AAY58" s="10"/>
      <c r="AAZ58" s="10"/>
      <c r="ABA58" s="10"/>
      <c r="ABB58" s="10"/>
      <c r="ABC58" s="10"/>
      <c r="ABD58" s="10"/>
      <c r="ABE58" s="10"/>
      <c r="ABF58" s="10"/>
      <c r="ABG58" s="10"/>
      <c r="ABH58" s="10"/>
      <c r="ABI58" s="10"/>
      <c r="ABJ58" s="10"/>
      <c r="ABK58" s="10"/>
      <c r="ABL58" s="10"/>
    </row>
    <row r="59" spans="1:740" s="35" customFormat="1" x14ac:dyDescent="0.3">
      <c r="B59" s="36">
        <f t="shared" si="2"/>
        <v>0</v>
      </c>
      <c r="C59" s="37"/>
      <c r="D59" s="38" t="s">
        <v>1310</v>
      </c>
      <c r="E59" s="39" t="s">
        <v>1306</v>
      </c>
      <c r="F59" s="39"/>
      <c r="G59" s="39"/>
      <c r="H59" s="39"/>
      <c r="I59" s="39"/>
      <c r="J59" s="39" t="s">
        <v>1314</v>
      </c>
      <c r="K59" s="39">
        <v>12</v>
      </c>
      <c r="L59" s="39"/>
      <c r="M59" s="39"/>
      <c r="N59" s="41"/>
    </row>
    <row r="60" spans="1:740" s="21" customFormat="1" x14ac:dyDescent="0.3">
      <c r="A60" s="10"/>
      <c r="B60" s="13">
        <f t="shared" si="2"/>
        <v>0</v>
      </c>
      <c r="C60" s="16"/>
      <c r="D60" s="17" t="s">
        <v>1310</v>
      </c>
      <c r="E60" s="18" t="s">
        <v>1306</v>
      </c>
      <c r="F60" s="18"/>
      <c r="G60" s="18"/>
      <c r="H60" s="18"/>
      <c r="I60" s="18"/>
      <c r="J60" s="18" t="s">
        <v>1314</v>
      </c>
      <c r="K60" s="18">
        <v>12</v>
      </c>
      <c r="L60" s="18"/>
      <c r="M60" s="18"/>
      <c r="N60" s="2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10"/>
      <c r="GF60" s="10"/>
      <c r="GG60" s="10"/>
      <c r="GH60" s="10"/>
      <c r="GI60" s="10"/>
      <c r="GJ60" s="10"/>
      <c r="GK60" s="10"/>
      <c r="GL60" s="10"/>
      <c r="GM60" s="10"/>
      <c r="GN60" s="10"/>
      <c r="GO60" s="10"/>
      <c r="GP60" s="10"/>
      <c r="GQ60" s="10"/>
      <c r="GR60" s="10"/>
      <c r="GS60" s="10"/>
      <c r="GT60" s="10"/>
      <c r="GU60" s="10"/>
      <c r="GV60" s="10"/>
      <c r="GW60" s="10"/>
      <c r="GX60" s="10"/>
      <c r="GY60" s="10"/>
      <c r="GZ60" s="10"/>
      <c r="HA60" s="10"/>
      <c r="HB60" s="10"/>
      <c r="HC60" s="10"/>
      <c r="HD60" s="10"/>
      <c r="HE60" s="10"/>
      <c r="HF60" s="10"/>
      <c r="HG60" s="10"/>
      <c r="HH60" s="10"/>
      <c r="HI60" s="10"/>
      <c r="HJ60" s="10"/>
      <c r="HK60" s="10"/>
      <c r="HL60" s="10"/>
      <c r="HM60" s="10"/>
      <c r="HN60" s="10"/>
      <c r="HO60" s="10"/>
      <c r="HP60" s="10"/>
      <c r="HQ60" s="10"/>
      <c r="HR60" s="10"/>
      <c r="HS60" s="10"/>
      <c r="HT60" s="10"/>
      <c r="HU60" s="10"/>
      <c r="HV60" s="10"/>
      <c r="HW60" s="10"/>
      <c r="HX60" s="10"/>
      <c r="HY60" s="10"/>
      <c r="HZ60" s="10"/>
      <c r="IA60" s="10"/>
      <c r="IB60" s="10"/>
      <c r="IC60" s="10"/>
      <c r="ID60" s="10"/>
      <c r="IE60" s="10"/>
      <c r="IF60" s="10"/>
      <c r="IG60" s="10"/>
      <c r="IH60" s="10"/>
      <c r="II60" s="10"/>
      <c r="IJ60" s="10"/>
      <c r="IK60" s="10"/>
      <c r="IL60" s="10"/>
      <c r="IM60" s="10"/>
      <c r="IN60" s="10"/>
      <c r="IO60" s="10"/>
      <c r="IP60" s="10"/>
      <c r="IQ60" s="10"/>
      <c r="IR60" s="10"/>
      <c r="IS60" s="10"/>
      <c r="IT60" s="10"/>
      <c r="IU60" s="10"/>
      <c r="IV60" s="10"/>
      <c r="IW60" s="10"/>
      <c r="IX60" s="10"/>
      <c r="IY60" s="10"/>
      <c r="IZ60" s="10"/>
      <c r="JA60" s="10"/>
      <c r="JB60" s="10"/>
      <c r="JC60" s="10"/>
      <c r="JD60" s="10"/>
      <c r="JE60" s="10"/>
      <c r="JF60" s="10"/>
      <c r="JG60" s="10"/>
      <c r="JH60" s="10"/>
      <c r="JI60" s="10"/>
      <c r="JJ60" s="10"/>
      <c r="JK60" s="10"/>
      <c r="JL60" s="10"/>
      <c r="JM60" s="10"/>
      <c r="JN60" s="10"/>
      <c r="JO60" s="10"/>
      <c r="JP60" s="10"/>
      <c r="JQ60" s="10"/>
      <c r="JR60" s="10"/>
      <c r="JS60" s="10"/>
      <c r="JT60" s="10"/>
      <c r="JU60" s="10"/>
      <c r="JV60" s="10"/>
      <c r="JW60" s="10"/>
      <c r="JX60" s="10"/>
      <c r="JY60" s="10"/>
      <c r="JZ60" s="10"/>
      <c r="KA60" s="10"/>
      <c r="KB60" s="10"/>
      <c r="KC60" s="10"/>
      <c r="KD60" s="10"/>
      <c r="KE60" s="10"/>
      <c r="KF60" s="10"/>
      <c r="KG60" s="10"/>
      <c r="KH60" s="10"/>
      <c r="KI60" s="10"/>
      <c r="KJ60" s="10"/>
      <c r="KK60" s="10"/>
      <c r="KL60" s="10"/>
      <c r="KM60" s="10"/>
      <c r="KN60" s="10"/>
      <c r="KO60" s="10"/>
      <c r="KP60" s="10"/>
      <c r="KQ60" s="10"/>
      <c r="KR60" s="10"/>
      <c r="KS60" s="10"/>
      <c r="KT60" s="10"/>
      <c r="KU60" s="10"/>
      <c r="KV60" s="10"/>
      <c r="KW60" s="10"/>
      <c r="KX60" s="10"/>
      <c r="KY60" s="10"/>
      <c r="KZ60" s="10"/>
      <c r="LA60" s="10"/>
      <c r="LB60" s="10"/>
      <c r="LC60" s="10"/>
      <c r="LD60" s="10"/>
      <c r="LE60" s="10"/>
      <c r="LF60" s="10"/>
      <c r="LG60" s="10"/>
      <c r="LH60" s="10"/>
      <c r="LI60" s="10"/>
      <c r="LJ60" s="10"/>
      <c r="LK60" s="10"/>
      <c r="LL60" s="10"/>
      <c r="LM60" s="10"/>
      <c r="LN60" s="10"/>
      <c r="LO60" s="10"/>
      <c r="LP60" s="10"/>
      <c r="LQ60" s="10"/>
      <c r="LR60" s="10"/>
      <c r="LS60" s="10"/>
      <c r="LT60" s="10"/>
      <c r="LU60" s="10"/>
      <c r="LV60" s="10"/>
      <c r="LW60" s="10"/>
      <c r="LX60" s="10"/>
      <c r="LY60" s="10"/>
      <c r="LZ60" s="10"/>
      <c r="MA60" s="10"/>
      <c r="MB60" s="10"/>
      <c r="MC60" s="10"/>
      <c r="MD60" s="10"/>
      <c r="ME60" s="10"/>
      <c r="MF60" s="10"/>
      <c r="MG60" s="10"/>
      <c r="MH60" s="10"/>
      <c r="MI60" s="10"/>
      <c r="MJ60" s="10"/>
      <c r="MK60" s="10"/>
      <c r="ML60" s="10"/>
      <c r="MM60" s="10"/>
      <c r="MN60" s="10"/>
      <c r="MO60" s="10"/>
      <c r="MP60" s="10"/>
      <c r="MQ60" s="10"/>
      <c r="MR60" s="10"/>
      <c r="MS60" s="10"/>
      <c r="MT60" s="10"/>
      <c r="MU60" s="10"/>
      <c r="MV60" s="10"/>
      <c r="MW60" s="10"/>
      <c r="MX60" s="10"/>
      <c r="MY60" s="10"/>
      <c r="MZ60" s="10"/>
      <c r="NA60" s="10"/>
      <c r="NB60" s="10"/>
      <c r="NC60" s="10"/>
      <c r="ND60" s="10"/>
      <c r="NE60" s="10"/>
      <c r="NF60" s="10"/>
      <c r="NG60" s="10"/>
      <c r="NH60" s="10"/>
      <c r="NI60" s="10"/>
      <c r="NJ60" s="10"/>
      <c r="NK60" s="10"/>
      <c r="NL60" s="10"/>
      <c r="NM60" s="10"/>
      <c r="NN60" s="10"/>
      <c r="NO60" s="10"/>
      <c r="NP60" s="10"/>
      <c r="NQ60" s="10"/>
      <c r="NR60" s="10"/>
      <c r="NS60" s="10"/>
      <c r="NT60" s="10"/>
      <c r="NU60" s="10"/>
      <c r="NV60" s="10"/>
      <c r="NW60" s="10"/>
      <c r="NX60" s="10"/>
      <c r="NY60" s="10"/>
      <c r="NZ60" s="10"/>
      <c r="OA60" s="10"/>
      <c r="OB60" s="10"/>
      <c r="OC60" s="10"/>
      <c r="OD60" s="10"/>
      <c r="OE60" s="10"/>
      <c r="OF60" s="10"/>
      <c r="OG60" s="10"/>
      <c r="OH60" s="10"/>
      <c r="OI60" s="10"/>
      <c r="OJ60" s="10"/>
      <c r="OK60" s="10"/>
      <c r="OL60" s="10"/>
      <c r="OM60" s="10"/>
      <c r="ON60" s="10"/>
      <c r="OO60" s="10"/>
      <c r="OP60" s="10"/>
      <c r="OQ60" s="10"/>
      <c r="OR60" s="10"/>
      <c r="OS60" s="10"/>
      <c r="OT60" s="10"/>
      <c r="OU60" s="10"/>
      <c r="OV60" s="10"/>
      <c r="OW60" s="10"/>
      <c r="OX60" s="10"/>
      <c r="OY60" s="10"/>
      <c r="OZ60" s="10"/>
      <c r="PA60" s="10"/>
      <c r="PB60" s="10"/>
      <c r="PC60" s="10"/>
      <c r="PD60" s="10"/>
      <c r="PE60" s="10"/>
      <c r="PF60" s="10"/>
      <c r="PG60" s="10"/>
      <c r="PH60" s="10"/>
      <c r="PI60" s="10"/>
      <c r="PJ60" s="10"/>
      <c r="PK60" s="10"/>
      <c r="PL60" s="10"/>
      <c r="PM60" s="10"/>
      <c r="PN60" s="10"/>
      <c r="PO60" s="10"/>
      <c r="PP60" s="10"/>
      <c r="PQ60" s="10"/>
      <c r="PR60" s="10"/>
      <c r="PS60" s="10"/>
      <c r="PT60" s="10"/>
      <c r="PU60" s="10"/>
      <c r="PV60" s="10"/>
      <c r="PW60" s="10"/>
      <c r="PX60" s="10"/>
      <c r="PY60" s="10"/>
      <c r="PZ60" s="10"/>
      <c r="QA60" s="10"/>
      <c r="QB60" s="10"/>
      <c r="QC60" s="10"/>
      <c r="QD60" s="10"/>
      <c r="QE60" s="10"/>
      <c r="QF60" s="10"/>
      <c r="QG60" s="10"/>
      <c r="QH60" s="10"/>
      <c r="QI60" s="10"/>
      <c r="QJ60" s="10"/>
      <c r="QK60" s="10"/>
      <c r="QL60" s="10"/>
      <c r="QM60" s="10"/>
      <c r="QN60" s="10"/>
      <c r="QO60" s="10"/>
      <c r="QP60" s="10"/>
      <c r="QQ60" s="10"/>
      <c r="QR60" s="10"/>
      <c r="QS60" s="10"/>
      <c r="QT60" s="10"/>
      <c r="QU60" s="10"/>
      <c r="QV60" s="10"/>
      <c r="QW60" s="10"/>
      <c r="QX60" s="10"/>
      <c r="QY60" s="10"/>
      <c r="QZ60" s="10"/>
      <c r="RA60" s="10"/>
      <c r="RB60" s="10"/>
      <c r="RC60" s="10"/>
      <c r="RD60" s="10"/>
      <c r="RE60" s="10"/>
      <c r="RF60" s="10"/>
      <c r="RG60" s="10"/>
      <c r="RH60" s="10"/>
      <c r="RI60" s="10"/>
      <c r="RJ60" s="10"/>
      <c r="RK60" s="10"/>
      <c r="RL60" s="10"/>
      <c r="RM60" s="10"/>
      <c r="RN60" s="10"/>
      <c r="RO60" s="10"/>
      <c r="RP60" s="10"/>
      <c r="RQ60" s="10"/>
      <c r="RR60" s="10"/>
      <c r="RS60" s="10"/>
      <c r="RT60" s="10"/>
      <c r="RU60" s="10"/>
      <c r="RV60" s="10"/>
      <c r="RW60" s="10"/>
      <c r="RX60" s="10"/>
      <c r="RY60" s="10"/>
      <c r="RZ60" s="10"/>
      <c r="SA60" s="10"/>
      <c r="SB60" s="10"/>
      <c r="SC60" s="10"/>
      <c r="SD60" s="10"/>
      <c r="SE60" s="10"/>
      <c r="SF60" s="10"/>
      <c r="SG60" s="10"/>
      <c r="SH60" s="10"/>
      <c r="SI60" s="10"/>
      <c r="SJ60" s="10"/>
      <c r="SK60" s="10"/>
      <c r="SL60" s="10"/>
      <c r="SM60" s="10"/>
      <c r="SN60" s="10"/>
      <c r="SO60" s="10"/>
      <c r="SP60" s="10"/>
      <c r="SQ60" s="10"/>
      <c r="SR60" s="10"/>
      <c r="SS60" s="10"/>
      <c r="ST60" s="10"/>
      <c r="SU60" s="10"/>
      <c r="SV60" s="10"/>
      <c r="SW60" s="10"/>
      <c r="SX60" s="10"/>
      <c r="SY60" s="10"/>
      <c r="SZ60" s="10"/>
      <c r="TA60" s="10"/>
      <c r="TB60" s="10"/>
      <c r="TC60" s="10"/>
      <c r="TD60" s="10"/>
      <c r="TE60" s="10"/>
      <c r="TF60" s="10"/>
      <c r="TG60" s="10"/>
      <c r="TH60" s="10"/>
      <c r="TI60" s="10"/>
      <c r="TJ60" s="10"/>
      <c r="TK60" s="10"/>
      <c r="TL60" s="10"/>
      <c r="TM60" s="10"/>
      <c r="TN60" s="10"/>
      <c r="TO60" s="10"/>
      <c r="TP60" s="10"/>
      <c r="TQ60" s="10"/>
      <c r="TR60" s="10"/>
      <c r="TS60" s="10"/>
      <c r="TT60" s="10"/>
      <c r="TU60" s="10"/>
      <c r="TV60" s="10"/>
      <c r="TW60" s="10"/>
      <c r="TX60" s="10"/>
      <c r="TY60" s="10"/>
      <c r="TZ60" s="10"/>
      <c r="UA60" s="10"/>
      <c r="UB60" s="10"/>
      <c r="UC60" s="10"/>
      <c r="UD60" s="10"/>
      <c r="UE60" s="10"/>
      <c r="UF60" s="10"/>
      <c r="UG60" s="10"/>
      <c r="UH60" s="10"/>
      <c r="UI60" s="10"/>
      <c r="UJ60" s="10"/>
      <c r="UK60" s="10"/>
      <c r="UL60" s="10"/>
      <c r="UM60" s="10"/>
      <c r="UN60" s="10"/>
      <c r="UO60" s="10"/>
      <c r="UP60" s="10"/>
      <c r="UQ60" s="10"/>
      <c r="UR60" s="10"/>
      <c r="US60" s="10"/>
      <c r="UT60" s="10"/>
      <c r="UU60" s="10"/>
      <c r="UV60" s="10"/>
      <c r="UW60" s="10"/>
      <c r="UX60" s="10"/>
      <c r="UY60" s="10"/>
      <c r="UZ60" s="10"/>
      <c r="VA60" s="10"/>
      <c r="VB60" s="10"/>
      <c r="VC60" s="10"/>
      <c r="VD60" s="10"/>
      <c r="VE60" s="10"/>
      <c r="VF60" s="10"/>
      <c r="VG60" s="10"/>
      <c r="VH60" s="10"/>
      <c r="VI60" s="10"/>
      <c r="VJ60" s="10"/>
      <c r="VK60" s="10"/>
      <c r="VL60" s="10"/>
      <c r="VM60" s="10"/>
      <c r="VN60" s="10"/>
      <c r="VO60" s="10"/>
      <c r="VP60" s="10"/>
      <c r="VQ60" s="10"/>
      <c r="VR60" s="10"/>
      <c r="VS60" s="10"/>
      <c r="VT60" s="10"/>
      <c r="VU60" s="10"/>
      <c r="VV60" s="10"/>
      <c r="VW60" s="10"/>
      <c r="VX60" s="10"/>
      <c r="VY60" s="10"/>
      <c r="VZ60" s="10"/>
      <c r="WA60" s="10"/>
      <c r="WB60" s="10"/>
      <c r="WC60" s="10"/>
      <c r="WD60" s="10"/>
      <c r="WE60" s="10"/>
      <c r="WF60" s="10"/>
      <c r="WG60" s="10"/>
      <c r="WH60" s="10"/>
      <c r="WI60" s="10"/>
      <c r="WJ60" s="10"/>
      <c r="WK60" s="10"/>
      <c r="WL60" s="10"/>
      <c r="WM60" s="10"/>
      <c r="WN60" s="10"/>
      <c r="WO60" s="10"/>
      <c r="WP60" s="10"/>
      <c r="WQ60" s="10"/>
      <c r="WR60" s="10"/>
      <c r="WS60" s="10"/>
      <c r="WT60" s="10"/>
      <c r="WU60" s="10"/>
      <c r="WV60" s="10"/>
      <c r="WW60" s="10"/>
      <c r="WX60" s="10"/>
      <c r="WY60" s="10"/>
      <c r="WZ60" s="10"/>
      <c r="XA60" s="10"/>
      <c r="XB60" s="10"/>
      <c r="XC60" s="10"/>
      <c r="XD60" s="10"/>
      <c r="XE60" s="10"/>
      <c r="XF60" s="10"/>
      <c r="XG60" s="10"/>
      <c r="XH60" s="10"/>
      <c r="XI60" s="10"/>
      <c r="XJ60" s="10"/>
      <c r="XK60" s="10"/>
      <c r="XL60" s="10"/>
      <c r="XM60" s="10"/>
      <c r="XN60" s="10"/>
      <c r="XO60" s="10"/>
      <c r="XP60" s="10"/>
      <c r="XQ60" s="10"/>
      <c r="XR60" s="10"/>
      <c r="XS60" s="10"/>
      <c r="XT60" s="10"/>
      <c r="XU60" s="10"/>
      <c r="XV60" s="10"/>
      <c r="XW60" s="10"/>
      <c r="XX60" s="10"/>
      <c r="XY60" s="10"/>
      <c r="XZ60" s="10"/>
      <c r="YA60" s="10"/>
      <c r="YB60" s="10"/>
      <c r="YC60" s="10"/>
      <c r="YD60" s="10"/>
      <c r="YE60" s="10"/>
      <c r="YF60" s="10"/>
      <c r="YG60" s="10"/>
      <c r="YH60" s="10"/>
      <c r="YI60" s="10"/>
      <c r="YJ60" s="10"/>
      <c r="YK60" s="10"/>
      <c r="YL60" s="10"/>
      <c r="YM60" s="10"/>
      <c r="YN60" s="10"/>
      <c r="YO60" s="10"/>
      <c r="YP60" s="10"/>
      <c r="YQ60" s="10"/>
      <c r="YR60" s="10"/>
      <c r="YS60" s="10"/>
      <c r="YT60" s="10"/>
      <c r="YU60" s="10"/>
      <c r="YV60" s="10"/>
      <c r="YW60" s="10"/>
      <c r="YX60" s="10"/>
      <c r="YY60" s="10"/>
      <c r="YZ60" s="10"/>
      <c r="ZA60" s="10"/>
      <c r="ZB60" s="10"/>
      <c r="ZC60" s="10"/>
      <c r="ZD60" s="10"/>
      <c r="ZE60" s="10"/>
      <c r="ZF60" s="10"/>
      <c r="ZG60" s="10"/>
      <c r="ZH60" s="10"/>
      <c r="ZI60" s="10"/>
      <c r="ZJ60" s="10"/>
      <c r="ZK60" s="10"/>
      <c r="ZL60" s="10"/>
      <c r="ZM60" s="10"/>
      <c r="ZN60" s="10"/>
      <c r="ZO60" s="10"/>
      <c r="ZP60" s="10"/>
      <c r="ZQ60" s="10"/>
      <c r="ZR60" s="10"/>
      <c r="ZS60" s="10"/>
      <c r="ZT60" s="10"/>
      <c r="ZU60" s="10"/>
      <c r="ZV60" s="10"/>
      <c r="ZW60" s="10"/>
      <c r="ZX60" s="10"/>
      <c r="ZY60" s="10"/>
      <c r="ZZ60" s="10"/>
      <c r="AAA60" s="10"/>
      <c r="AAB60" s="10"/>
      <c r="AAC60" s="10"/>
      <c r="AAD60" s="10"/>
      <c r="AAE60" s="10"/>
      <c r="AAF60" s="10"/>
      <c r="AAG60" s="10"/>
      <c r="AAH60" s="10"/>
      <c r="AAI60" s="10"/>
      <c r="AAJ60" s="10"/>
      <c r="AAK60" s="10"/>
      <c r="AAL60" s="10"/>
      <c r="AAM60" s="10"/>
      <c r="AAN60" s="10"/>
      <c r="AAO60" s="10"/>
      <c r="AAP60" s="10"/>
      <c r="AAQ60" s="10"/>
      <c r="AAR60" s="10"/>
      <c r="AAS60" s="10"/>
      <c r="AAT60" s="10"/>
      <c r="AAU60" s="10"/>
      <c r="AAV60" s="10"/>
      <c r="AAW60" s="10"/>
      <c r="AAX60" s="10"/>
      <c r="AAY60" s="10"/>
      <c r="AAZ60" s="10"/>
      <c r="ABA60" s="10"/>
      <c r="ABB60" s="10"/>
      <c r="ABC60" s="10"/>
      <c r="ABD60" s="10"/>
      <c r="ABE60" s="10"/>
      <c r="ABF60" s="10"/>
      <c r="ABG60" s="10"/>
      <c r="ABH60" s="10"/>
      <c r="ABI60" s="10"/>
      <c r="ABJ60" s="10"/>
      <c r="ABK60" s="10"/>
      <c r="ABL60" s="10"/>
    </row>
    <row r="61" spans="1:740" s="35" customFormat="1" x14ac:dyDescent="0.3">
      <c r="B61" s="36">
        <f t="shared" si="2"/>
        <v>0</v>
      </c>
      <c r="C61" s="37"/>
      <c r="D61" s="38"/>
      <c r="E61" s="39"/>
      <c r="F61" s="39"/>
      <c r="G61" s="39"/>
      <c r="H61" s="39"/>
      <c r="I61" s="39"/>
      <c r="J61" s="39" t="s">
        <v>1314</v>
      </c>
      <c r="K61" s="39"/>
      <c r="L61" s="39"/>
      <c r="M61" s="39"/>
      <c r="N61" s="41"/>
    </row>
    <row r="62" spans="1:740" s="21" customFormat="1" x14ac:dyDescent="0.3">
      <c r="A62" s="10"/>
      <c r="B62" s="13">
        <f t="shared" si="2"/>
        <v>0</v>
      </c>
      <c r="C62" s="16"/>
      <c r="D62" s="17" t="s">
        <v>1311</v>
      </c>
      <c r="E62" s="18" t="s">
        <v>1312</v>
      </c>
      <c r="F62" s="19">
        <v>45160</v>
      </c>
      <c r="G62" s="19">
        <v>45190</v>
      </c>
      <c r="H62" s="18"/>
      <c r="I62" s="19">
        <v>45233</v>
      </c>
      <c r="J62" s="18" t="s">
        <v>1314</v>
      </c>
      <c r="K62" s="18"/>
      <c r="L62" s="18"/>
      <c r="M62" s="18"/>
      <c r="N62" s="30" t="s">
        <v>1328</v>
      </c>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c r="FZ62" s="10"/>
      <c r="GA62" s="10"/>
      <c r="GB62" s="10"/>
      <c r="GC62" s="10"/>
      <c r="GD62" s="10"/>
      <c r="GE62" s="10"/>
      <c r="GF62" s="10"/>
      <c r="GG62" s="10"/>
      <c r="GH62" s="10"/>
      <c r="GI62" s="10"/>
      <c r="GJ62" s="10"/>
      <c r="GK62" s="10"/>
      <c r="GL62" s="10"/>
      <c r="GM62" s="10"/>
      <c r="GN62" s="10"/>
      <c r="GO62" s="10"/>
      <c r="GP62" s="10"/>
      <c r="GQ62" s="10"/>
      <c r="GR62" s="10"/>
      <c r="GS62" s="10"/>
      <c r="GT62" s="10"/>
      <c r="GU62" s="10"/>
      <c r="GV62" s="10"/>
      <c r="GW62" s="10"/>
      <c r="GX62" s="10"/>
      <c r="GY62" s="10"/>
      <c r="GZ62" s="10"/>
      <c r="HA62" s="10"/>
      <c r="HB62" s="10"/>
      <c r="HC62" s="10"/>
      <c r="HD62" s="10"/>
      <c r="HE62" s="10"/>
      <c r="HF62" s="10"/>
      <c r="HG62" s="10"/>
      <c r="HH62" s="10"/>
      <c r="HI62" s="10"/>
      <c r="HJ62" s="10"/>
      <c r="HK62" s="10"/>
      <c r="HL62" s="10"/>
      <c r="HM62" s="10"/>
      <c r="HN62" s="10"/>
      <c r="HO62" s="10"/>
      <c r="HP62" s="10"/>
      <c r="HQ62" s="10"/>
      <c r="HR62" s="10"/>
      <c r="HS62" s="10"/>
      <c r="HT62" s="10"/>
      <c r="HU62" s="10"/>
      <c r="HV62" s="10"/>
      <c r="HW62" s="10"/>
      <c r="HX62" s="10"/>
      <c r="HY62" s="10"/>
      <c r="HZ62" s="10"/>
      <c r="IA62" s="10"/>
      <c r="IB62" s="10"/>
      <c r="IC62" s="10"/>
      <c r="ID62" s="10"/>
      <c r="IE62" s="10"/>
      <c r="IF62" s="10"/>
      <c r="IG62" s="10"/>
      <c r="IH62" s="10"/>
      <c r="II62" s="10"/>
      <c r="IJ62" s="10"/>
      <c r="IK62" s="10"/>
      <c r="IL62" s="10"/>
      <c r="IM62" s="10"/>
      <c r="IN62" s="10"/>
      <c r="IO62" s="10"/>
      <c r="IP62" s="10"/>
      <c r="IQ62" s="10"/>
      <c r="IR62" s="10"/>
      <c r="IS62" s="10"/>
      <c r="IT62" s="10"/>
      <c r="IU62" s="10"/>
      <c r="IV62" s="10"/>
      <c r="IW62" s="10"/>
      <c r="IX62" s="10"/>
      <c r="IY62" s="10"/>
      <c r="IZ62" s="10"/>
      <c r="JA62" s="10"/>
      <c r="JB62" s="10"/>
      <c r="JC62" s="10"/>
      <c r="JD62" s="10"/>
      <c r="JE62" s="10"/>
      <c r="JF62" s="10"/>
      <c r="JG62" s="10"/>
      <c r="JH62" s="10"/>
      <c r="JI62" s="10"/>
      <c r="JJ62" s="10"/>
      <c r="JK62" s="10"/>
      <c r="JL62" s="10"/>
      <c r="JM62" s="10"/>
      <c r="JN62" s="10"/>
      <c r="JO62" s="10"/>
      <c r="JP62" s="10"/>
      <c r="JQ62" s="10"/>
      <c r="JR62" s="10"/>
      <c r="JS62" s="10"/>
      <c r="JT62" s="10"/>
      <c r="JU62" s="10"/>
      <c r="JV62" s="10"/>
      <c r="JW62" s="10"/>
      <c r="JX62" s="10"/>
      <c r="JY62" s="10"/>
      <c r="JZ62" s="10"/>
      <c r="KA62" s="10"/>
      <c r="KB62" s="10"/>
      <c r="KC62" s="10"/>
      <c r="KD62" s="10"/>
      <c r="KE62" s="10"/>
      <c r="KF62" s="10"/>
      <c r="KG62" s="10"/>
      <c r="KH62" s="10"/>
      <c r="KI62" s="10"/>
      <c r="KJ62" s="10"/>
      <c r="KK62" s="10"/>
      <c r="KL62" s="10"/>
      <c r="KM62" s="10"/>
      <c r="KN62" s="10"/>
      <c r="KO62" s="10"/>
      <c r="KP62" s="10"/>
      <c r="KQ62" s="10"/>
      <c r="KR62" s="10"/>
      <c r="KS62" s="10"/>
      <c r="KT62" s="10"/>
      <c r="KU62" s="10"/>
      <c r="KV62" s="10"/>
      <c r="KW62" s="10"/>
      <c r="KX62" s="10"/>
      <c r="KY62" s="10"/>
      <c r="KZ62" s="10"/>
      <c r="LA62" s="10"/>
      <c r="LB62" s="10"/>
      <c r="LC62" s="10"/>
      <c r="LD62" s="10"/>
      <c r="LE62" s="10"/>
      <c r="LF62" s="10"/>
      <c r="LG62" s="10"/>
      <c r="LH62" s="10"/>
      <c r="LI62" s="10"/>
      <c r="LJ62" s="10"/>
      <c r="LK62" s="10"/>
      <c r="LL62" s="10"/>
      <c r="LM62" s="10"/>
      <c r="LN62" s="10"/>
      <c r="LO62" s="10"/>
      <c r="LP62" s="10"/>
      <c r="LQ62" s="10"/>
      <c r="LR62" s="10"/>
      <c r="LS62" s="10"/>
      <c r="LT62" s="10"/>
      <c r="LU62" s="10"/>
      <c r="LV62" s="10"/>
      <c r="LW62" s="10"/>
      <c r="LX62" s="10"/>
      <c r="LY62" s="10"/>
      <c r="LZ62" s="10"/>
      <c r="MA62" s="10"/>
      <c r="MB62" s="10"/>
      <c r="MC62" s="10"/>
      <c r="MD62" s="10"/>
      <c r="ME62" s="10"/>
      <c r="MF62" s="10"/>
      <c r="MG62" s="10"/>
      <c r="MH62" s="10"/>
      <c r="MI62" s="10"/>
      <c r="MJ62" s="10"/>
      <c r="MK62" s="10"/>
      <c r="ML62" s="10"/>
      <c r="MM62" s="10"/>
      <c r="MN62" s="10"/>
      <c r="MO62" s="10"/>
      <c r="MP62" s="10"/>
      <c r="MQ62" s="10"/>
      <c r="MR62" s="10"/>
      <c r="MS62" s="10"/>
      <c r="MT62" s="10"/>
      <c r="MU62" s="10"/>
      <c r="MV62" s="10"/>
      <c r="MW62" s="10"/>
      <c r="MX62" s="10"/>
      <c r="MY62" s="10"/>
      <c r="MZ62" s="10"/>
      <c r="NA62" s="10"/>
      <c r="NB62" s="10"/>
      <c r="NC62" s="10"/>
      <c r="ND62" s="10"/>
      <c r="NE62" s="10"/>
      <c r="NF62" s="10"/>
      <c r="NG62" s="10"/>
      <c r="NH62" s="10"/>
      <c r="NI62" s="10"/>
      <c r="NJ62" s="10"/>
      <c r="NK62" s="10"/>
      <c r="NL62" s="10"/>
      <c r="NM62" s="10"/>
      <c r="NN62" s="10"/>
      <c r="NO62" s="10"/>
      <c r="NP62" s="10"/>
      <c r="NQ62" s="10"/>
      <c r="NR62" s="10"/>
      <c r="NS62" s="10"/>
      <c r="NT62" s="10"/>
      <c r="NU62" s="10"/>
      <c r="NV62" s="10"/>
      <c r="NW62" s="10"/>
      <c r="NX62" s="10"/>
      <c r="NY62" s="10"/>
      <c r="NZ62" s="10"/>
      <c r="OA62" s="10"/>
      <c r="OB62" s="10"/>
      <c r="OC62" s="10"/>
      <c r="OD62" s="10"/>
      <c r="OE62" s="10"/>
      <c r="OF62" s="10"/>
      <c r="OG62" s="10"/>
      <c r="OH62" s="10"/>
      <c r="OI62" s="10"/>
      <c r="OJ62" s="10"/>
      <c r="OK62" s="10"/>
      <c r="OL62" s="10"/>
      <c r="OM62" s="10"/>
      <c r="ON62" s="10"/>
      <c r="OO62" s="10"/>
      <c r="OP62" s="10"/>
      <c r="OQ62" s="10"/>
      <c r="OR62" s="10"/>
      <c r="OS62" s="10"/>
      <c r="OT62" s="10"/>
      <c r="OU62" s="10"/>
      <c r="OV62" s="10"/>
      <c r="OW62" s="10"/>
      <c r="OX62" s="10"/>
      <c r="OY62" s="10"/>
      <c r="OZ62" s="10"/>
      <c r="PA62" s="10"/>
      <c r="PB62" s="10"/>
      <c r="PC62" s="10"/>
      <c r="PD62" s="10"/>
      <c r="PE62" s="10"/>
      <c r="PF62" s="10"/>
      <c r="PG62" s="10"/>
      <c r="PH62" s="10"/>
      <c r="PI62" s="10"/>
      <c r="PJ62" s="10"/>
      <c r="PK62" s="10"/>
      <c r="PL62" s="10"/>
      <c r="PM62" s="10"/>
      <c r="PN62" s="10"/>
      <c r="PO62" s="10"/>
      <c r="PP62" s="10"/>
      <c r="PQ62" s="10"/>
      <c r="PR62" s="10"/>
      <c r="PS62" s="10"/>
      <c r="PT62" s="10"/>
      <c r="PU62" s="10"/>
      <c r="PV62" s="10"/>
      <c r="PW62" s="10"/>
      <c r="PX62" s="10"/>
      <c r="PY62" s="10"/>
      <c r="PZ62" s="10"/>
      <c r="QA62" s="10"/>
      <c r="QB62" s="10"/>
      <c r="QC62" s="10"/>
      <c r="QD62" s="10"/>
      <c r="QE62" s="10"/>
      <c r="QF62" s="10"/>
      <c r="QG62" s="10"/>
      <c r="QH62" s="10"/>
      <c r="QI62" s="10"/>
      <c r="QJ62" s="10"/>
      <c r="QK62" s="10"/>
      <c r="QL62" s="10"/>
      <c r="QM62" s="10"/>
      <c r="QN62" s="10"/>
      <c r="QO62" s="10"/>
      <c r="QP62" s="10"/>
      <c r="QQ62" s="10"/>
      <c r="QR62" s="10"/>
      <c r="QS62" s="10"/>
      <c r="QT62" s="10"/>
      <c r="QU62" s="10"/>
      <c r="QV62" s="10"/>
      <c r="QW62" s="10"/>
      <c r="QX62" s="10"/>
      <c r="QY62" s="10"/>
      <c r="QZ62" s="10"/>
      <c r="RA62" s="10"/>
      <c r="RB62" s="10"/>
      <c r="RC62" s="10"/>
      <c r="RD62" s="10"/>
      <c r="RE62" s="10"/>
      <c r="RF62" s="10"/>
      <c r="RG62" s="10"/>
      <c r="RH62" s="10"/>
      <c r="RI62" s="10"/>
      <c r="RJ62" s="10"/>
      <c r="RK62" s="10"/>
      <c r="RL62" s="10"/>
      <c r="RM62" s="10"/>
      <c r="RN62" s="10"/>
      <c r="RO62" s="10"/>
      <c r="RP62" s="10"/>
      <c r="RQ62" s="10"/>
      <c r="RR62" s="10"/>
      <c r="RS62" s="10"/>
      <c r="RT62" s="10"/>
      <c r="RU62" s="10"/>
      <c r="RV62" s="10"/>
      <c r="RW62" s="10"/>
      <c r="RX62" s="10"/>
      <c r="RY62" s="10"/>
      <c r="RZ62" s="10"/>
      <c r="SA62" s="10"/>
      <c r="SB62" s="10"/>
      <c r="SC62" s="10"/>
      <c r="SD62" s="10"/>
      <c r="SE62" s="10"/>
      <c r="SF62" s="10"/>
      <c r="SG62" s="10"/>
      <c r="SH62" s="10"/>
      <c r="SI62" s="10"/>
      <c r="SJ62" s="10"/>
      <c r="SK62" s="10"/>
      <c r="SL62" s="10"/>
      <c r="SM62" s="10"/>
      <c r="SN62" s="10"/>
      <c r="SO62" s="10"/>
      <c r="SP62" s="10"/>
      <c r="SQ62" s="10"/>
      <c r="SR62" s="10"/>
      <c r="SS62" s="10"/>
      <c r="ST62" s="10"/>
      <c r="SU62" s="10"/>
      <c r="SV62" s="10"/>
      <c r="SW62" s="10"/>
      <c r="SX62" s="10"/>
      <c r="SY62" s="10"/>
      <c r="SZ62" s="10"/>
      <c r="TA62" s="10"/>
      <c r="TB62" s="10"/>
      <c r="TC62" s="10"/>
      <c r="TD62" s="10"/>
      <c r="TE62" s="10"/>
      <c r="TF62" s="10"/>
      <c r="TG62" s="10"/>
      <c r="TH62" s="10"/>
      <c r="TI62" s="10"/>
      <c r="TJ62" s="10"/>
      <c r="TK62" s="10"/>
      <c r="TL62" s="10"/>
      <c r="TM62" s="10"/>
      <c r="TN62" s="10"/>
      <c r="TO62" s="10"/>
      <c r="TP62" s="10"/>
      <c r="TQ62" s="10"/>
      <c r="TR62" s="10"/>
      <c r="TS62" s="10"/>
      <c r="TT62" s="10"/>
      <c r="TU62" s="10"/>
      <c r="TV62" s="10"/>
      <c r="TW62" s="10"/>
      <c r="TX62" s="10"/>
      <c r="TY62" s="10"/>
      <c r="TZ62" s="10"/>
      <c r="UA62" s="10"/>
      <c r="UB62" s="10"/>
      <c r="UC62" s="10"/>
      <c r="UD62" s="10"/>
      <c r="UE62" s="10"/>
      <c r="UF62" s="10"/>
      <c r="UG62" s="10"/>
      <c r="UH62" s="10"/>
      <c r="UI62" s="10"/>
      <c r="UJ62" s="10"/>
      <c r="UK62" s="10"/>
      <c r="UL62" s="10"/>
      <c r="UM62" s="10"/>
      <c r="UN62" s="10"/>
      <c r="UO62" s="10"/>
      <c r="UP62" s="10"/>
      <c r="UQ62" s="10"/>
      <c r="UR62" s="10"/>
      <c r="US62" s="10"/>
      <c r="UT62" s="10"/>
      <c r="UU62" s="10"/>
      <c r="UV62" s="10"/>
      <c r="UW62" s="10"/>
      <c r="UX62" s="10"/>
      <c r="UY62" s="10"/>
      <c r="UZ62" s="10"/>
      <c r="VA62" s="10"/>
      <c r="VB62" s="10"/>
      <c r="VC62" s="10"/>
      <c r="VD62" s="10"/>
      <c r="VE62" s="10"/>
      <c r="VF62" s="10"/>
      <c r="VG62" s="10"/>
      <c r="VH62" s="10"/>
      <c r="VI62" s="10"/>
      <c r="VJ62" s="10"/>
      <c r="VK62" s="10"/>
      <c r="VL62" s="10"/>
      <c r="VM62" s="10"/>
      <c r="VN62" s="10"/>
      <c r="VO62" s="10"/>
      <c r="VP62" s="10"/>
      <c r="VQ62" s="10"/>
      <c r="VR62" s="10"/>
      <c r="VS62" s="10"/>
      <c r="VT62" s="10"/>
      <c r="VU62" s="10"/>
      <c r="VV62" s="10"/>
      <c r="VW62" s="10"/>
      <c r="VX62" s="10"/>
      <c r="VY62" s="10"/>
      <c r="VZ62" s="10"/>
      <c r="WA62" s="10"/>
      <c r="WB62" s="10"/>
      <c r="WC62" s="10"/>
      <c r="WD62" s="10"/>
      <c r="WE62" s="10"/>
      <c r="WF62" s="10"/>
      <c r="WG62" s="10"/>
      <c r="WH62" s="10"/>
      <c r="WI62" s="10"/>
      <c r="WJ62" s="10"/>
      <c r="WK62" s="10"/>
      <c r="WL62" s="10"/>
      <c r="WM62" s="10"/>
      <c r="WN62" s="10"/>
      <c r="WO62" s="10"/>
      <c r="WP62" s="10"/>
      <c r="WQ62" s="10"/>
      <c r="WR62" s="10"/>
      <c r="WS62" s="10"/>
      <c r="WT62" s="10"/>
      <c r="WU62" s="10"/>
      <c r="WV62" s="10"/>
      <c r="WW62" s="10"/>
      <c r="WX62" s="10"/>
      <c r="WY62" s="10"/>
      <c r="WZ62" s="10"/>
      <c r="XA62" s="10"/>
      <c r="XB62" s="10"/>
      <c r="XC62" s="10"/>
      <c r="XD62" s="10"/>
      <c r="XE62" s="10"/>
      <c r="XF62" s="10"/>
      <c r="XG62" s="10"/>
      <c r="XH62" s="10"/>
      <c r="XI62" s="10"/>
      <c r="XJ62" s="10"/>
      <c r="XK62" s="10"/>
      <c r="XL62" s="10"/>
      <c r="XM62" s="10"/>
      <c r="XN62" s="10"/>
      <c r="XO62" s="10"/>
      <c r="XP62" s="10"/>
      <c r="XQ62" s="10"/>
      <c r="XR62" s="10"/>
      <c r="XS62" s="10"/>
      <c r="XT62" s="10"/>
      <c r="XU62" s="10"/>
      <c r="XV62" s="10"/>
      <c r="XW62" s="10"/>
      <c r="XX62" s="10"/>
      <c r="XY62" s="10"/>
      <c r="XZ62" s="10"/>
      <c r="YA62" s="10"/>
      <c r="YB62" s="10"/>
      <c r="YC62" s="10"/>
      <c r="YD62" s="10"/>
      <c r="YE62" s="10"/>
      <c r="YF62" s="10"/>
      <c r="YG62" s="10"/>
      <c r="YH62" s="10"/>
      <c r="YI62" s="10"/>
      <c r="YJ62" s="10"/>
      <c r="YK62" s="10"/>
      <c r="YL62" s="10"/>
      <c r="YM62" s="10"/>
      <c r="YN62" s="10"/>
      <c r="YO62" s="10"/>
      <c r="YP62" s="10"/>
      <c r="YQ62" s="10"/>
      <c r="YR62" s="10"/>
      <c r="YS62" s="10"/>
      <c r="YT62" s="10"/>
      <c r="YU62" s="10"/>
      <c r="YV62" s="10"/>
      <c r="YW62" s="10"/>
      <c r="YX62" s="10"/>
      <c r="YY62" s="10"/>
      <c r="YZ62" s="10"/>
      <c r="ZA62" s="10"/>
      <c r="ZB62" s="10"/>
      <c r="ZC62" s="10"/>
      <c r="ZD62" s="10"/>
      <c r="ZE62" s="10"/>
      <c r="ZF62" s="10"/>
      <c r="ZG62" s="10"/>
      <c r="ZH62" s="10"/>
      <c r="ZI62" s="10"/>
      <c r="ZJ62" s="10"/>
      <c r="ZK62" s="10"/>
      <c r="ZL62" s="10"/>
      <c r="ZM62" s="10"/>
      <c r="ZN62" s="10"/>
      <c r="ZO62" s="10"/>
      <c r="ZP62" s="10"/>
      <c r="ZQ62" s="10"/>
      <c r="ZR62" s="10"/>
      <c r="ZS62" s="10"/>
      <c r="ZT62" s="10"/>
      <c r="ZU62" s="10"/>
      <c r="ZV62" s="10"/>
      <c r="ZW62" s="10"/>
      <c r="ZX62" s="10"/>
      <c r="ZY62" s="10"/>
      <c r="ZZ62" s="10"/>
      <c r="AAA62" s="10"/>
      <c r="AAB62" s="10"/>
      <c r="AAC62" s="10"/>
      <c r="AAD62" s="10"/>
      <c r="AAE62" s="10"/>
      <c r="AAF62" s="10"/>
      <c r="AAG62" s="10"/>
      <c r="AAH62" s="10"/>
      <c r="AAI62" s="10"/>
      <c r="AAJ62" s="10"/>
      <c r="AAK62" s="10"/>
      <c r="AAL62" s="10"/>
      <c r="AAM62" s="10"/>
      <c r="AAN62" s="10"/>
      <c r="AAO62" s="10"/>
      <c r="AAP62" s="10"/>
      <c r="AAQ62" s="10"/>
      <c r="AAR62" s="10"/>
      <c r="AAS62" s="10"/>
      <c r="AAT62" s="10"/>
      <c r="AAU62" s="10"/>
      <c r="AAV62" s="10"/>
      <c r="AAW62" s="10"/>
      <c r="AAX62" s="10"/>
      <c r="AAY62" s="10"/>
      <c r="AAZ62" s="10"/>
      <c r="ABA62" s="10"/>
      <c r="ABB62" s="10"/>
      <c r="ABC62" s="10"/>
      <c r="ABD62" s="10"/>
      <c r="ABE62" s="10"/>
      <c r="ABF62" s="10"/>
      <c r="ABG62" s="10"/>
      <c r="ABH62" s="10"/>
      <c r="ABI62" s="10"/>
      <c r="ABJ62" s="10"/>
      <c r="ABK62" s="10"/>
      <c r="ABL62" s="10"/>
    </row>
    <row r="63" spans="1:740" s="35" customFormat="1" x14ac:dyDescent="0.3">
      <c r="B63" s="36">
        <f t="shared" si="2"/>
        <v>3</v>
      </c>
      <c r="C63" s="37"/>
      <c r="D63" s="38" t="s">
        <v>1311</v>
      </c>
      <c r="E63" s="39" t="s">
        <v>1312</v>
      </c>
      <c r="F63" s="40"/>
      <c r="G63" s="40">
        <v>45243</v>
      </c>
      <c r="H63" s="40">
        <v>45246</v>
      </c>
      <c r="I63" s="40">
        <v>45246</v>
      </c>
      <c r="J63" s="40" t="s">
        <v>1302</v>
      </c>
      <c r="K63" s="39">
        <v>12</v>
      </c>
      <c r="L63" s="40">
        <v>45267</v>
      </c>
      <c r="M63" s="40">
        <f>EOMONTH(L63,K63)</f>
        <v>45657</v>
      </c>
      <c r="N63" s="41"/>
    </row>
    <row r="64" spans="1:740" s="21" customFormat="1" x14ac:dyDescent="0.3">
      <c r="A64" s="10"/>
      <c r="B64" s="13">
        <f t="shared" si="2"/>
        <v>0</v>
      </c>
      <c r="C64" s="16"/>
      <c r="D64" s="17" t="s">
        <v>1311</v>
      </c>
      <c r="E64" s="18" t="s">
        <v>1312</v>
      </c>
      <c r="F64" s="19">
        <v>45106</v>
      </c>
      <c r="G64" s="19">
        <v>45314</v>
      </c>
      <c r="H64" s="19"/>
      <c r="I64" s="19"/>
      <c r="J64" s="19" t="s">
        <v>1314</v>
      </c>
      <c r="K64" s="19"/>
      <c r="L64" s="19"/>
      <c r="M64" s="19"/>
      <c r="N64" s="44" t="s">
        <v>1329</v>
      </c>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10"/>
      <c r="GF64" s="10"/>
      <c r="GG64" s="10"/>
      <c r="GH64" s="10"/>
      <c r="GI64" s="10"/>
      <c r="GJ64" s="10"/>
      <c r="GK64" s="10"/>
      <c r="GL64" s="10"/>
      <c r="GM64" s="10"/>
      <c r="GN64" s="10"/>
      <c r="GO64" s="10"/>
      <c r="GP64" s="10"/>
      <c r="GQ64" s="10"/>
      <c r="GR64" s="10"/>
      <c r="GS64" s="10"/>
      <c r="GT64" s="10"/>
      <c r="GU64" s="10"/>
      <c r="GV64" s="10"/>
      <c r="GW64" s="10"/>
      <c r="GX64" s="10"/>
      <c r="GY64" s="10"/>
      <c r="GZ64" s="10"/>
      <c r="HA64" s="10"/>
      <c r="HB64" s="10"/>
      <c r="HC64" s="10"/>
      <c r="HD64" s="10"/>
      <c r="HE64" s="10"/>
      <c r="HF64" s="10"/>
      <c r="HG64" s="10"/>
      <c r="HH64" s="10"/>
      <c r="HI64" s="10"/>
      <c r="HJ64" s="10"/>
      <c r="HK64" s="10"/>
      <c r="HL64" s="10"/>
      <c r="HM64" s="10"/>
      <c r="HN64" s="10"/>
      <c r="HO64" s="10"/>
      <c r="HP64" s="10"/>
      <c r="HQ64" s="10"/>
      <c r="HR64" s="10"/>
      <c r="HS64" s="10"/>
      <c r="HT64" s="10"/>
      <c r="HU64" s="10"/>
      <c r="HV64" s="10"/>
      <c r="HW64" s="10"/>
      <c r="HX64" s="10"/>
      <c r="HY64" s="10"/>
      <c r="HZ64" s="10"/>
      <c r="IA64" s="10"/>
      <c r="IB64" s="10"/>
      <c r="IC64" s="10"/>
      <c r="ID64" s="10"/>
      <c r="IE64" s="10"/>
      <c r="IF64" s="10"/>
      <c r="IG64" s="10"/>
      <c r="IH64" s="10"/>
      <c r="II64" s="10"/>
      <c r="IJ64" s="10"/>
      <c r="IK64" s="10"/>
      <c r="IL64" s="10"/>
      <c r="IM64" s="10"/>
      <c r="IN64" s="10"/>
      <c r="IO64" s="10"/>
      <c r="IP64" s="10"/>
      <c r="IQ64" s="10"/>
      <c r="IR64" s="10"/>
      <c r="IS64" s="10"/>
      <c r="IT64" s="10"/>
      <c r="IU64" s="10"/>
      <c r="IV64" s="10"/>
      <c r="IW64" s="10"/>
      <c r="IX64" s="10"/>
      <c r="IY64" s="10"/>
      <c r="IZ64" s="10"/>
      <c r="JA64" s="10"/>
      <c r="JB64" s="10"/>
      <c r="JC64" s="10"/>
      <c r="JD64" s="10"/>
      <c r="JE64" s="10"/>
      <c r="JF64" s="10"/>
      <c r="JG64" s="10"/>
      <c r="JH64" s="10"/>
      <c r="JI64" s="10"/>
      <c r="JJ64" s="10"/>
      <c r="JK64" s="10"/>
      <c r="JL64" s="10"/>
      <c r="JM64" s="10"/>
      <c r="JN64" s="10"/>
      <c r="JO64" s="10"/>
      <c r="JP64" s="10"/>
      <c r="JQ64" s="10"/>
      <c r="JR64" s="10"/>
      <c r="JS64" s="10"/>
      <c r="JT64" s="10"/>
      <c r="JU64" s="10"/>
      <c r="JV64" s="10"/>
      <c r="JW64" s="10"/>
      <c r="JX64" s="10"/>
      <c r="JY64" s="10"/>
      <c r="JZ64" s="10"/>
      <c r="KA64" s="10"/>
      <c r="KB64" s="10"/>
      <c r="KC64" s="10"/>
      <c r="KD64" s="10"/>
      <c r="KE64" s="10"/>
      <c r="KF64" s="10"/>
      <c r="KG64" s="10"/>
      <c r="KH64" s="10"/>
      <c r="KI64" s="10"/>
      <c r="KJ64" s="10"/>
      <c r="KK64" s="10"/>
      <c r="KL64" s="10"/>
      <c r="KM64" s="10"/>
      <c r="KN64" s="10"/>
      <c r="KO64" s="10"/>
      <c r="KP64" s="10"/>
      <c r="KQ64" s="10"/>
      <c r="KR64" s="10"/>
      <c r="KS64" s="10"/>
      <c r="KT64" s="10"/>
      <c r="KU64" s="10"/>
      <c r="KV64" s="10"/>
      <c r="KW64" s="10"/>
      <c r="KX64" s="10"/>
      <c r="KY64" s="10"/>
      <c r="KZ64" s="10"/>
      <c r="LA64" s="10"/>
      <c r="LB64" s="10"/>
      <c r="LC64" s="10"/>
      <c r="LD64" s="10"/>
      <c r="LE64" s="10"/>
      <c r="LF64" s="10"/>
      <c r="LG64" s="10"/>
      <c r="LH64" s="10"/>
      <c r="LI64" s="10"/>
      <c r="LJ64" s="10"/>
      <c r="LK64" s="10"/>
      <c r="LL64" s="10"/>
      <c r="LM64" s="10"/>
      <c r="LN64" s="10"/>
      <c r="LO64" s="10"/>
      <c r="LP64" s="10"/>
      <c r="LQ64" s="10"/>
      <c r="LR64" s="10"/>
      <c r="LS64" s="10"/>
      <c r="LT64" s="10"/>
      <c r="LU64" s="10"/>
      <c r="LV64" s="10"/>
      <c r="LW64" s="10"/>
      <c r="LX64" s="10"/>
      <c r="LY64" s="10"/>
      <c r="LZ64" s="10"/>
      <c r="MA64" s="10"/>
      <c r="MB64" s="10"/>
      <c r="MC64" s="10"/>
      <c r="MD64" s="10"/>
      <c r="ME64" s="10"/>
      <c r="MF64" s="10"/>
      <c r="MG64" s="10"/>
      <c r="MH64" s="10"/>
      <c r="MI64" s="10"/>
      <c r="MJ64" s="10"/>
      <c r="MK64" s="10"/>
      <c r="ML64" s="10"/>
      <c r="MM64" s="10"/>
      <c r="MN64" s="10"/>
      <c r="MO64" s="10"/>
      <c r="MP64" s="10"/>
      <c r="MQ64" s="10"/>
      <c r="MR64" s="10"/>
      <c r="MS64" s="10"/>
      <c r="MT64" s="10"/>
      <c r="MU64" s="10"/>
      <c r="MV64" s="10"/>
      <c r="MW64" s="10"/>
      <c r="MX64" s="10"/>
      <c r="MY64" s="10"/>
      <c r="MZ64" s="10"/>
      <c r="NA64" s="10"/>
      <c r="NB64" s="10"/>
      <c r="NC64" s="10"/>
      <c r="ND64" s="10"/>
      <c r="NE64" s="10"/>
      <c r="NF64" s="10"/>
      <c r="NG64" s="10"/>
      <c r="NH64" s="10"/>
      <c r="NI64" s="10"/>
      <c r="NJ64" s="10"/>
      <c r="NK64" s="10"/>
      <c r="NL64" s="10"/>
      <c r="NM64" s="10"/>
      <c r="NN64" s="10"/>
      <c r="NO64" s="10"/>
      <c r="NP64" s="10"/>
      <c r="NQ64" s="10"/>
      <c r="NR64" s="10"/>
      <c r="NS64" s="10"/>
      <c r="NT64" s="10"/>
      <c r="NU64" s="10"/>
      <c r="NV64" s="10"/>
      <c r="NW64" s="10"/>
      <c r="NX64" s="10"/>
      <c r="NY64" s="10"/>
      <c r="NZ64" s="10"/>
      <c r="OA64" s="10"/>
      <c r="OB64" s="10"/>
      <c r="OC64" s="10"/>
      <c r="OD64" s="10"/>
      <c r="OE64" s="10"/>
      <c r="OF64" s="10"/>
      <c r="OG64" s="10"/>
      <c r="OH64" s="10"/>
      <c r="OI64" s="10"/>
      <c r="OJ64" s="10"/>
      <c r="OK64" s="10"/>
      <c r="OL64" s="10"/>
      <c r="OM64" s="10"/>
      <c r="ON64" s="10"/>
      <c r="OO64" s="10"/>
      <c r="OP64" s="10"/>
      <c r="OQ64" s="10"/>
      <c r="OR64" s="10"/>
      <c r="OS64" s="10"/>
      <c r="OT64" s="10"/>
      <c r="OU64" s="10"/>
      <c r="OV64" s="10"/>
      <c r="OW64" s="10"/>
      <c r="OX64" s="10"/>
      <c r="OY64" s="10"/>
      <c r="OZ64" s="10"/>
      <c r="PA64" s="10"/>
      <c r="PB64" s="10"/>
      <c r="PC64" s="10"/>
      <c r="PD64" s="10"/>
      <c r="PE64" s="10"/>
      <c r="PF64" s="10"/>
      <c r="PG64" s="10"/>
      <c r="PH64" s="10"/>
      <c r="PI64" s="10"/>
      <c r="PJ64" s="10"/>
      <c r="PK64" s="10"/>
      <c r="PL64" s="10"/>
      <c r="PM64" s="10"/>
      <c r="PN64" s="10"/>
      <c r="PO64" s="10"/>
      <c r="PP64" s="10"/>
      <c r="PQ64" s="10"/>
      <c r="PR64" s="10"/>
      <c r="PS64" s="10"/>
      <c r="PT64" s="10"/>
      <c r="PU64" s="10"/>
      <c r="PV64" s="10"/>
      <c r="PW64" s="10"/>
      <c r="PX64" s="10"/>
      <c r="PY64" s="10"/>
      <c r="PZ64" s="10"/>
      <c r="QA64" s="10"/>
      <c r="QB64" s="10"/>
      <c r="QC64" s="10"/>
      <c r="QD64" s="10"/>
      <c r="QE64" s="10"/>
      <c r="QF64" s="10"/>
      <c r="QG64" s="10"/>
      <c r="QH64" s="10"/>
      <c r="QI64" s="10"/>
      <c r="QJ64" s="10"/>
      <c r="QK64" s="10"/>
      <c r="QL64" s="10"/>
      <c r="QM64" s="10"/>
      <c r="QN64" s="10"/>
      <c r="QO64" s="10"/>
      <c r="QP64" s="10"/>
      <c r="QQ64" s="10"/>
      <c r="QR64" s="10"/>
      <c r="QS64" s="10"/>
      <c r="QT64" s="10"/>
      <c r="QU64" s="10"/>
      <c r="QV64" s="10"/>
      <c r="QW64" s="10"/>
      <c r="QX64" s="10"/>
      <c r="QY64" s="10"/>
      <c r="QZ64" s="10"/>
      <c r="RA64" s="10"/>
      <c r="RB64" s="10"/>
      <c r="RC64" s="10"/>
      <c r="RD64" s="10"/>
      <c r="RE64" s="10"/>
      <c r="RF64" s="10"/>
      <c r="RG64" s="10"/>
      <c r="RH64" s="10"/>
      <c r="RI64" s="10"/>
      <c r="RJ64" s="10"/>
      <c r="RK64" s="10"/>
      <c r="RL64" s="10"/>
      <c r="RM64" s="10"/>
      <c r="RN64" s="10"/>
      <c r="RO64" s="10"/>
      <c r="RP64" s="10"/>
      <c r="RQ64" s="10"/>
      <c r="RR64" s="10"/>
      <c r="RS64" s="10"/>
      <c r="RT64" s="10"/>
      <c r="RU64" s="10"/>
      <c r="RV64" s="10"/>
      <c r="RW64" s="10"/>
      <c r="RX64" s="10"/>
      <c r="RY64" s="10"/>
      <c r="RZ64" s="10"/>
      <c r="SA64" s="10"/>
      <c r="SB64" s="10"/>
      <c r="SC64" s="10"/>
      <c r="SD64" s="10"/>
      <c r="SE64" s="10"/>
      <c r="SF64" s="10"/>
      <c r="SG64" s="10"/>
      <c r="SH64" s="10"/>
      <c r="SI64" s="10"/>
      <c r="SJ64" s="10"/>
      <c r="SK64" s="10"/>
      <c r="SL64" s="10"/>
      <c r="SM64" s="10"/>
      <c r="SN64" s="10"/>
      <c r="SO64" s="10"/>
      <c r="SP64" s="10"/>
      <c r="SQ64" s="10"/>
      <c r="SR64" s="10"/>
      <c r="SS64" s="10"/>
      <c r="ST64" s="10"/>
      <c r="SU64" s="10"/>
      <c r="SV64" s="10"/>
      <c r="SW64" s="10"/>
      <c r="SX64" s="10"/>
      <c r="SY64" s="10"/>
      <c r="SZ64" s="10"/>
      <c r="TA64" s="10"/>
      <c r="TB64" s="10"/>
      <c r="TC64" s="10"/>
      <c r="TD64" s="10"/>
      <c r="TE64" s="10"/>
      <c r="TF64" s="10"/>
      <c r="TG64" s="10"/>
      <c r="TH64" s="10"/>
      <c r="TI64" s="10"/>
      <c r="TJ64" s="10"/>
      <c r="TK64" s="10"/>
      <c r="TL64" s="10"/>
      <c r="TM64" s="10"/>
      <c r="TN64" s="10"/>
      <c r="TO64" s="10"/>
      <c r="TP64" s="10"/>
      <c r="TQ64" s="10"/>
      <c r="TR64" s="10"/>
      <c r="TS64" s="10"/>
      <c r="TT64" s="10"/>
      <c r="TU64" s="10"/>
      <c r="TV64" s="10"/>
      <c r="TW64" s="10"/>
      <c r="TX64" s="10"/>
      <c r="TY64" s="10"/>
      <c r="TZ64" s="10"/>
      <c r="UA64" s="10"/>
      <c r="UB64" s="10"/>
      <c r="UC64" s="10"/>
      <c r="UD64" s="10"/>
      <c r="UE64" s="10"/>
      <c r="UF64" s="10"/>
      <c r="UG64" s="10"/>
      <c r="UH64" s="10"/>
      <c r="UI64" s="10"/>
      <c r="UJ64" s="10"/>
      <c r="UK64" s="10"/>
      <c r="UL64" s="10"/>
      <c r="UM64" s="10"/>
      <c r="UN64" s="10"/>
      <c r="UO64" s="10"/>
      <c r="UP64" s="10"/>
      <c r="UQ64" s="10"/>
      <c r="UR64" s="10"/>
      <c r="US64" s="10"/>
      <c r="UT64" s="10"/>
      <c r="UU64" s="10"/>
      <c r="UV64" s="10"/>
      <c r="UW64" s="10"/>
      <c r="UX64" s="10"/>
      <c r="UY64" s="10"/>
      <c r="UZ64" s="10"/>
      <c r="VA64" s="10"/>
      <c r="VB64" s="10"/>
      <c r="VC64" s="10"/>
      <c r="VD64" s="10"/>
      <c r="VE64" s="10"/>
      <c r="VF64" s="10"/>
      <c r="VG64" s="10"/>
      <c r="VH64" s="10"/>
      <c r="VI64" s="10"/>
      <c r="VJ64" s="10"/>
      <c r="VK64" s="10"/>
      <c r="VL64" s="10"/>
      <c r="VM64" s="10"/>
      <c r="VN64" s="10"/>
      <c r="VO64" s="10"/>
      <c r="VP64" s="10"/>
      <c r="VQ64" s="10"/>
      <c r="VR64" s="10"/>
      <c r="VS64" s="10"/>
      <c r="VT64" s="10"/>
      <c r="VU64" s="10"/>
      <c r="VV64" s="10"/>
      <c r="VW64" s="10"/>
      <c r="VX64" s="10"/>
      <c r="VY64" s="10"/>
      <c r="VZ64" s="10"/>
      <c r="WA64" s="10"/>
      <c r="WB64" s="10"/>
      <c r="WC64" s="10"/>
      <c r="WD64" s="10"/>
      <c r="WE64" s="10"/>
      <c r="WF64" s="10"/>
      <c r="WG64" s="10"/>
      <c r="WH64" s="10"/>
      <c r="WI64" s="10"/>
      <c r="WJ64" s="10"/>
      <c r="WK64" s="10"/>
      <c r="WL64" s="10"/>
      <c r="WM64" s="10"/>
      <c r="WN64" s="10"/>
      <c r="WO64" s="10"/>
      <c r="WP64" s="10"/>
      <c r="WQ64" s="10"/>
      <c r="WR64" s="10"/>
      <c r="WS64" s="10"/>
      <c r="WT64" s="10"/>
      <c r="WU64" s="10"/>
      <c r="WV64" s="10"/>
      <c r="WW64" s="10"/>
      <c r="WX64" s="10"/>
      <c r="WY64" s="10"/>
      <c r="WZ64" s="10"/>
      <c r="XA64" s="10"/>
      <c r="XB64" s="10"/>
      <c r="XC64" s="10"/>
      <c r="XD64" s="10"/>
      <c r="XE64" s="10"/>
      <c r="XF64" s="10"/>
      <c r="XG64" s="10"/>
      <c r="XH64" s="10"/>
      <c r="XI64" s="10"/>
      <c r="XJ64" s="10"/>
      <c r="XK64" s="10"/>
      <c r="XL64" s="10"/>
      <c r="XM64" s="10"/>
      <c r="XN64" s="10"/>
      <c r="XO64" s="10"/>
      <c r="XP64" s="10"/>
      <c r="XQ64" s="10"/>
      <c r="XR64" s="10"/>
      <c r="XS64" s="10"/>
      <c r="XT64" s="10"/>
      <c r="XU64" s="10"/>
      <c r="XV64" s="10"/>
      <c r="XW64" s="10"/>
      <c r="XX64" s="10"/>
      <c r="XY64" s="10"/>
      <c r="XZ64" s="10"/>
      <c r="YA64" s="10"/>
      <c r="YB64" s="10"/>
      <c r="YC64" s="10"/>
      <c r="YD64" s="10"/>
      <c r="YE64" s="10"/>
      <c r="YF64" s="10"/>
      <c r="YG64" s="10"/>
      <c r="YH64" s="10"/>
      <c r="YI64" s="10"/>
      <c r="YJ64" s="10"/>
      <c r="YK64" s="10"/>
      <c r="YL64" s="10"/>
      <c r="YM64" s="10"/>
      <c r="YN64" s="10"/>
      <c r="YO64" s="10"/>
      <c r="YP64" s="10"/>
      <c r="YQ64" s="10"/>
      <c r="YR64" s="10"/>
      <c r="YS64" s="10"/>
      <c r="YT64" s="10"/>
      <c r="YU64" s="10"/>
      <c r="YV64" s="10"/>
      <c r="YW64" s="10"/>
      <c r="YX64" s="10"/>
      <c r="YY64" s="10"/>
      <c r="YZ64" s="10"/>
      <c r="ZA64" s="10"/>
      <c r="ZB64" s="10"/>
      <c r="ZC64" s="10"/>
      <c r="ZD64" s="10"/>
      <c r="ZE64" s="10"/>
      <c r="ZF64" s="10"/>
      <c r="ZG64" s="10"/>
      <c r="ZH64" s="10"/>
      <c r="ZI64" s="10"/>
      <c r="ZJ64" s="10"/>
      <c r="ZK64" s="10"/>
      <c r="ZL64" s="10"/>
      <c r="ZM64" s="10"/>
      <c r="ZN64" s="10"/>
      <c r="ZO64" s="10"/>
      <c r="ZP64" s="10"/>
      <c r="ZQ64" s="10"/>
      <c r="ZR64" s="10"/>
      <c r="ZS64" s="10"/>
      <c r="ZT64" s="10"/>
      <c r="ZU64" s="10"/>
      <c r="ZV64" s="10"/>
      <c r="ZW64" s="10"/>
      <c r="ZX64" s="10"/>
      <c r="ZY64" s="10"/>
      <c r="ZZ64" s="10"/>
      <c r="AAA64" s="10"/>
      <c r="AAB64" s="10"/>
      <c r="AAC64" s="10"/>
      <c r="AAD64" s="10"/>
      <c r="AAE64" s="10"/>
      <c r="AAF64" s="10"/>
      <c r="AAG64" s="10"/>
      <c r="AAH64" s="10"/>
      <c r="AAI64" s="10"/>
      <c r="AAJ64" s="10"/>
      <c r="AAK64" s="10"/>
      <c r="AAL64" s="10"/>
      <c r="AAM64" s="10"/>
      <c r="AAN64" s="10"/>
      <c r="AAO64" s="10"/>
      <c r="AAP64" s="10"/>
      <c r="AAQ64" s="10"/>
      <c r="AAR64" s="10"/>
      <c r="AAS64" s="10"/>
      <c r="AAT64" s="10"/>
      <c r="AAU64" s="10"/>
      <c r="AAV64" s="10"/>
      <c r="AAW64" s="10"/>
      <c r="AAX64" s="10"/>
      <c r="AAY64" s="10"/>
      <c r="AAZ64" s="10"/>
      <c r="ABA64" s="10"/>
      <c r="ABB64" s="10"/>
      <c r="ABC64" s="10"/>
      <c r="ABD64" s="10"/>
      <c r="ABE64" s="10"/>
      <c r="ABF64" s="10"/>
      <c r="ABG64" s="10"/>
      <c r="ABH64" s="10"/>
      <c r="ABI64" s="10"/>
      <c r="ABJ64" s="10"/>
      <c r="ABK64" s="10"/>
      <c r="ABL64" s="10"/>
    </row>
    <row r="65" spans="1:740" s="35" customFormat="1" x14ac:dyDescent="0.3">
      <c r="B65" s="36">
        <f t="shared" si="2"/>
        <v>0</v>
      </c>
      <c r="C65" s="37"/>
      <c r="D65" s="38" t="s">
        <v>1311</v>
      </c>
      <c r="E65" s="39"/>
      <c r="F65" s="40"/>
      <c r="G65" s="39"/>
      <c r="H65" s="39"/>
      <c r="I65" s="39"/>
      <c r="J65" s="39" t="s">
        <v>1314</v>
      </c>
      <c r="K65" s="39"/>
      <c r="L65" s="39"/>
      <c r="M65" s="40"/>
      <c r="N65" s="43" t="s">
        <v>1330</v>
      </c>
    </row>
    <row r="66" spans="1:740" s="21" customFormat="1" x14ac:dyDescent="0.3">
      <c r="A66" s="10"/>
      <c r="B66" s="13">
        <f t="shared" ref="B66:B86" si="4">IF(J66="Não Tratar",4,IF(J66="Ativo",3,IF(J66="Aguardando",2,IF(J66="Certificado",1,IF(J66="Pendencias",0)))))</f>
        <v>0</v>
      </c>
      <c r="C66" s="16"/>
      <c r="D66" s="17" t="s">
        <v>1311</v>
      </c>
      <c r="E66" s="18"/>
      <c r="F66" s="19">
        <v>45301</v>
      </c>
      <c r="G66" s="18"/>
      <c r="H66" s="18"/>
      <c r="I66" s="18"/>
      <c r="J66" s="18" t="s">
        <v>1314</v>
      </c>
      <c r="K66" s="18"/>
      <c r="L66" s="18"/>
      <c r="M66" s="19"/>
      <c r="N66" s="43" t="s">
        <v>1331</v>
      </c>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10"/>
      <c r="GF66" s="10"/>
      <c r="GG66" s="10"/>
      <c r="GH66" s="10"/>
      <c r="GI66" s="10"/>
      <c r="GJ66" s="10"/>
      <c r="GK66" s="10"/>
      <c r="GL66" s="10"/>
      <c r="GM66" s="10"/>
      <c r="GN66" s="10"/>
      <c r="GO66" s="10"/>
      <c r="GP66" s="10"/>
      <c r="GQ66" s="10"/>
      <c r="GR66" s="10"/>
      <c r="GS66" s="10"/>
      <c r="GT66" s="10"/>
      <c r="GU66" s="10"/>
      <c r="GV66" s="10"/>
      <c r="GW66" s="10"/>
      <c r="GX66" s="10"/>
      <c r="GY66" s="10"/>
      <c r="GZ66" s="10"/>
      <c r="HA66" s="10"/>
      <c r="HB66" s="10"/>
      <c r="HC66" s="10"/>
      <c r="HD66" s="10"/>
      <c r="HE66" s="10"/>
      <c r="HF66" s="10"/>
      <c r="HG66" s="10"/>
      <c r="HH66" s="10"/>
      <c r="HI66" s="10"/>
      <c r="HJ66" s="10"/>
      <c r="HK66" s="10"/>
      <c r="HL66" s="10"/>
      <c r="HM66" s="10"/>
      <c r="HN66" s="10"/>
      <c r="HO66" s="10"/>
      <c r="HP66" s="10"/>
      <c r="HQ66" s="10"/>
      <c r="HR66" s="10"/>
      <c r="HS66" s="10"/>
      <c r="HT66" s="10"/>
      <c r="HU66" s="10"/>
      <c r="HV66" s="10"/>
      <c r="HW66" s="10"/>
      <c r="HX66" s="10"/>
      <c r="HY66" s="10"/>
      <c r="HZ66" s="10"/>
      <c r="IA66" s="10"/>
      <c r="IB66" s="10"/>
      <c r="IC66" s="10"/>
      <c r="ID66" s="10"/>
      <c r="IE66" s="10"/>
      <c r="IF66" s="10"/>
      <c r="IG66" s="10"/>
      <c r="IH66" s="10"/>
      <c r="II66" s="10"/>
      <c r="IJ66" s="10"/>
      <c r="IK66" s="10"/>
      <c r="IL66" s="10"/>
      <c r="IM66" s="10"/>
      <c r="IN66" s="10"/>
      <c r="IO66" s="10"/>
      <c r="IP66" s="10"/>
      <c r="IQ66" s="10"/>
      <c r="IR66" s="10"/>
      <c r="IS66" s="10"/>
      <c r="IT66" s="10"/>
      <c r="IU66" s="10"/>
      <c r="IV66" s="10"/>
      <c r="IW66" s="10"/>
      <c r="IX66" s="10"/>
      <c r="IY66" s="10"/>
      <c r="IZ66" s="10"/>
      <c r="JA66" s="10"/>
      <c r="JB66" s="10"/>
      <c r="JC66" s="10"/>
      <c r="JD66" s="10"/>
      <c r="JE66" s="10"/>
      <c r="JF66" s="10"/>
      <c r="JG66" s="10"/>
      <c r="JH66" s="10"/>
      <c r="JI66" s="10"/>
      <c r="JJ66" s="10"/>
      <c r="JK66" s="10"/>
      <c r="JL66" s="10"/>
      <c r="JM66" s="10"/>
      <c r="JN66" s="10"/>
      <c r="JO66" s="10"/>
      <c r="JP66" s="10"/>
      <c r="JQ66" s="10"/>
      <c r="JR66" s="10"/>
      <c r="JS66" s="10"/>
      <c r="JT66" s="10"/>
      <c r="JU66" s="10"/>
      <c r="JV66" s="10"/>
      <c r="JW66" s="10"/>
      <c r="JX66" s="10"/>
      <c r="JY66" s="10"/>
      <c r="JZ66" s="10"/>
      <c r="KA66" s="10"/>
      <c r="KB66" s="10"/>
      <c r="KC66" s="10"/>
      <c r="KD66" s="10"/>
      <c r="KE66" s="10"/>
      <c r="KF66" s="10"/>
      <c r="KG66" s="10"/>
      <c r="KH66" s="10"/>
      <c r="KI66" s="10"/>
      <c r="KJ66" s="10"/>
      <c r="KK66" s="10"/>
      <c r="KL66" s="10"/>
      <c r="KM66" s="10"/>
      <c r="KN66" s="10"/>
      <c r="KO66" s="10"/>
      <c r="KP66" s="10"/>
      <c r="KQ66" s="10"/>
      <c r="KR66" s="10"/>
      <c r="KS66" s="10"/>
      <c r="KT66" s="10"/>
      <c r="KU66" s="10"/>
      <c r="KV66" s="10"/>
      <c r="KW66" s="10"/>
      <c r="KX66" s="10"/>
      <c r="KY66" s="10"/>
      <c r="KZ66" s="10"/>
      <c r="LA66" s="10"/>
      <c r="LB66" s="10"/>
      <c r="LC66" s="10"/>
      <c r="LD66" s="10"/>
      <c r="LE66" s="10"/>
      <c r="LF66" s="10"/>
      <c r="LG66" s="10"/>
      <c r="LH66" s="10"/>
      <c r="LI66" s="10"/>
      <c r="LJ66" s="10"/>
      <c r="LK66" s="10"/>
      <c r="LL66" s="10"/>
      <c r="LM66" s="10"/>
      <c r="LN66" s="10"/>
      <c r="LO66" s="10"/>
      <c r="LP66" s="10"/>
      <c r="LQ66" s="10"/>
      <c r="LR66" s="10"/>
      <c r="LS66" s="10"/>
      <c r="LT66" s="10"/>
      <c r="LU66" s="10"/>
      <c r="LV66" s="10"/>
      <c r="LW66" s="10"/>
      <c r="LX66" s="10"/>
      <c r="LY66" s="10"/>
      <c r="LZ66" s="10"/>
      <c r="MA66" s="10"/>
      <c r="MB66" s="10"/>
      <c r="MC66" s="10"/>
      <c r="MD66" s="10"/>
      <c r="ME66" s="10"/>
      <c r="MF66" s="10"/>
      <c r="MG66" s="10"/>
      <c r="MH66" s="10"/>
      <c r="MI66" s="10"/>
      <c r="MJ66" s="10"/>
      <c r="MK66" s="10"/>
      <c r="ML66" s="10"/>
      <c r="MM66" s="10"/>
      <c r="MN66" s="10"/>
      <c r="MO66" s="10"/>
      <c r="MP66" s="10"/>
      <c r="MQ66" s="10"/>
      <c r="MR66" s="10"/>
      <c r="MS66" s="10"/>
      <c r="MT66" s="10"/>
      <c r="MU66" s="10"/>
      <c r="MV66" s="10"/>
      <c r="MW66" s="10"/>
      <c r="MX66" s="10"/>
      <c r="MY66" s="10"/>
      <c r="MZ66" s="10"/>
      <c r="NA66" s="10"/>
      <c r="NB66" s="10"/>
      <c r="NC66" s="10"/>
      <c r="ND66" s="10"/>
      <c r="NE66" s="10"/>
      <c r="NF66" s="10"/>
      <c r="NG66" s="10"/>
      <c r="NH66" s="10"/>
      <c r="NI66" s="10"/>
      <c r="NJ66" s="10"/>
      <c r="NK66" s="10"/>
      <c r="NL66" s="10"/>
      <c r="NM66" s="10"/>
      <c r="NN66" s="10"/>
      <c r="NO66" s="10"/>
      <c r="NP66" s="10"/>
      <c r="NQ66" s="10"/>
      <c r="NR66" s="10"/>
      <c r="NS66" s="10"/>
      <c r="NT66" s="10"/>
      <c r="NU66" s="10"/>
      <c r="NV66" s="10"/>
      <c r="NW66" s="10"/>
      <c r="NX66" s="10"/>
      <c r="NY66" s="10"/>
      <c r="NZ66" s="10"/>
      <c r="OA66" s="10"/>
      <c r="OB66" s="10"/>
      <c r="OC66" s="10"/>
      <c r="OD66" s="10"/>
      <c r="OE66" s="10"/>
      <c r="OF66" s="10"/>
      <c r="OG66" s="10"/>
      <c r="OH66" s="10"/>
      <c r="OI66" s="10"/>
      <c r="OJ66" s="10"/>
      <c r="OK66" s="10"/>
      <c r="OL66" s="10"/>
      <c r="OM66" s="10"/>
      <c r="ON66" s="10"/>
      <c r="OO66" s="10"/>
      <c r="OP66" s="10"/>
      <c r="OQ66" s="10"/>
      <c r="OR66" s="10"/>
      <c r="OS66" s="10"/>
      <c r="OT66" s="10"/>
      <c r="OU66" s="10"/>
      <c r="OV66" s="10"/>
      <c r="OW66" s="10"/>
      <c r="OX66" s="10"/>
      <c r="OY66" s="10"/>
      <c r="OZ66" s="10"/>
      <c r="PA66" s="10"/>
      <c r="PB66" s="10"/>
      <c r="PC66" s="10"/>
      <c r="PD66" s="10"/>
      <c r="PE66" s="10"/>
      <c r="PF66" s="10"/>
      <c r="PG66" s="10"/>
      <c r="PH66" s="10"/>
      <c r="PI66" s="10"/>
      <c r="PJ66" s="10"/>
      <c r="PK66" s="10"/>
      <c r="PL66" s="10"/>
      <c r="PM66" s="10"/>
      <c r="PN66" s="10"/>
      <c r="PO66" s="10"/>
      <c r="PP66" s="10"/>
      <c r="PQ66" s="10"/>
      <c r="PR66" s="10"/>
      <c r="PS66" s="10"/>
      <c r="PT66" s="10"/>
      <c r="PU66" s="10"/>
      <c r="PV66" s="10"/>
      <c r="PW66" s="10"/>
      <c r="PX66" s="10"/>
      <c r="PY66" s="10"/>
      <c r="PZ66" s="10"/>
      <c r="QA66" s="10"/>
      <c r="QB66" s="10"/>
      <c r="QC66" s="10"/>
      <c r="QD66" s="10"/>
      <c r="QE66" s="10"/>
      <c r="QF66" s="10"/>
      <c r="QG66" s="10"/>
      <c r="QH66" s="10"/>
      <c r="QI66" s="10"/>
      <c r="QJ66" s="10"/>
      <c r="QK66" s="10"/>
      <c r="QL66" s="10"/>
      <c r="QM66" s="10"/>
      <c r="QN66" s="10"/>
      <c r="QO66" s="10"/>
      <c r="QP66" s="10"/>
      <c r="QQ66" s="10"/>
      <c r="QR66" s="10"/>
      <c r="QS66" s="10"/>
      <c r="QT66" s="10"/>
      <c r="QU66" s="10"/>
      <c r="QV66" s="10"/>
      <c r="QW66" s="10"/>
      <c r="QX66" s="10"/>
      <c r="QY66" s="10"/>
      <c r="QZ66" s="10"/>
      <c r="RA66" s="10"/>
      <c r="RB66" s="10"/>
      <c r="RC66" s="10"/>
      <c r="RD66" s="10"/>
      <c r="RE66" s="10"/>
      <c r="RF66" s="10"/>
      <c r="RG66" s="10"/>
      <c r="RH66" s="10"/>
      <c r="RI66" s="10"/>
      <c r="RJ66" s="10"/>
      <c r="RK66" s="10"/>
      <c r="RL66" s="10"/>
      <c r="RM66" s="10"/>
      <c r="RN66" s="10"/>
      <c r="RO66" s="10"/>
      <c r="RP66" s="10"/>
      <c r="RQ66" s="10"/>
      <c r="RR66" s="10"/>
      <c r="RS66" s="10"/>
      <c r="RT66" s="10"/>
      <c r="RU66" s="10"/>
      <c r="RV66" s="10"/>
      <c r="RW66" s="10"/>
      <c r="RX66" s="10"/>
      <c r="RY66" s="10"/>
      <c r="RZ66" s="10"/>
      <c r="SA66" s="10"/>
      <c r="SB66" s="10"/>
      <c r="SC66" s="10"/>
      <c r="SD66" s="10"/>
      <c r="SE66" s="10"/>
      <c r="SF66" s="10"/>
      <c r="SG66" s="10"/>
      <c r="SH66" s="10"/>
      <c r="SI66" s="10"/>
      <c r="SJ66" s="10"/>
      <c r="SK66" s="10"/>
      <c r="SL66" s="10"/>
      <c r="SM66" s="10"/>
      <c r="SN66" s="10"/>
      <c r="SO66" s="10"/>
      <c r="SP66" s="10"/>
      <c r="SQ66" s="10"/>
      <c r="SR66" s="10"/>
      <c r="SS66" s="10"/>
      <c r="ST66" s="10"/>
      <c r="SU66" s="10"/>
      <c r="SV66" s="10"/>
      <c r="SW66" s="10"/>
      <c r="SX66" s="10"/>
      <c r="SY66" s="10"/>
      <c r="SZ66" s="10"/>
      <c r="TA66" s="10"/>
      <c r="TB66" s="10"/>
      <c r="TC66" s="10"/>
      <c r="TD66" s="10"/>
      <c r="TE66" s="10"/>
      <c r="TF66" s="10"/>
      <c r="TG66" s="10"/>
      <c r="TH66" s="10"/>
      <c r="TI66" s="10"/>
      <c r="TJ66" s="10"/>
      <c r="TK66" s="10"/>
      <c r="TL66" s="10"/>
      <c r="TM66" s="10"/>
      <c r="TN66" s="10"/>
      <c r="TO66" s="10"/>
      <c r="TP66" s="10"/>
      <c r="TQ66" s="10"/>
      <c r="TR66" s="10"/>
      <c r="TS66" s="10"/>
      <c r="TT66" s="10"/>
      <c r="TU66" s="10"/>
      <c r="TV66" s="10"/>
      <c r="TW66" s="10"/>
      <c r="TX66" s="10"/>
      <c r="TY66" s="10"/>
      <c r="TZ66" s="10"/>
      <c r="UA66" s="10"/>
      <c r="UB66" s="10"/>
      <c r="UC66" s="10"/>
      <c r="UD66" s="10"/>
      <c r="UE66" s="10"/>
      <c r="UF66" s="10"/>
      <c r="UG66" s="10"/>
      <c r="UH66" s="10"/>
      <c r="UI66" s="10"/>
      <c r="UJ66" s="10"/>
      <c r="UK66" s="10"/>
      <c r="UL66" s="10"/>
      <c r="UM66" s="10"/>
      <c r="UN66" s="10"/>
      <c r="UO66" s="10"/>
      <c r="UP66" s="10"/>
      <c r="UQ66" s="10"/>
      <c r="UR66" s="10"/>
      <c r="US66" s="10"/>
      <c r="UT66" s="10"/>
      <c r="UU66" s="10"/>
      <c r="UV66" s="10"/>
      <c r="UW66" s="10"/>
      <c r="UX66" s="10"/>
      <c r="UY66" s="10"/>
      <c r="UZ66" s="10"/>
      <c r="VA66" s="10"/>
      <c r="VB66" s="10"/>
      <c r="VC66" s="10"/>
      <c r="VD66" s="10"/>
      <c r="VE66" s="10"/>
      <c r="VF66" s="10"/>
      <c r="VG66" s="10"/>
      <c r="VH66" s="10"/>
      <c r="VI66" s="10"/>
      <c r="VJ66" s="10"/>
      <c r="VK66" s="10"/>
      <c r="VL66" s="10"/>
      <c r="VM66" s="10"/>
      <c r="VN66" s="10"/>
      <c r="VO66" s="10"/>
      <c r="VP66" s="10"/>
      <c r="VQ66" s="10"/>
      <c r="VR66" s="10"/>
      <c r="VS66" s="10"/>
      <c r="VT66" s="10"/>
      <c r="VU66" s="10"/>
      <c r="VV66" s="10"/>
      <c r="VW66" s="10"/>
      <c r="VX66" s="10"/>
      <c r="VY66" s="10"/>
      <c r="VZ66" s="10"/>
      <c r="WA66" s="10"/>
      <c r="WB66" s="10"/>
      <c r="WC66" s="10"/>
      <c r="WD66" s="10"/>
      <c r="WE66" s="10"/>
      <c r="WF66" s="10"/>
      <c r="WG66" s="10"/>
      <c r="WH66" s="10"/>
      <c r="WI66" s="10"/>
      <c r="WJ66" s="10"/>
      <c r="WK66" s="10"/>
      <c r="WL66" s="10"/>
      <c r="WM66" s="10"/>
      <c r="WN66" s="10"/>
      <c r="WO66" s="10"/>
      <c r="WP66" s="10"/>
      <c r="WQ66" s="10"/>
      <c r="WR66" s="10"/>
      <c r="WS66" s="10"/>
      <c r="WT66" s="10"/>
      <c r="WU66" s="10"/>
      <c r="WV66" s="10"/>
      <c r="WW66" s="10"/>
      <c r="WX66" s="10"/>
      <c r="WY66" s="10"/>
      <c r="WZ66" s="10"/>
      <c r="XA66" s="10"/>
      <c r="XB66" s="10"/>
      <c r="XC66" s="10"/>
      <c r="XD66" s="10"/>
      <c r="XE66" s="10"/>
      <c r="XF66" s="10"/>
      <c r="XG66" s="10"/>
      <c r="XH66" s="10"/>
      <c r="XI66" s="10"/>
      <c r="XJ66" s="10"/>
      <c r="XK66" s="10"/>
      <c r="XL66" s="10"/>
      <c r="XM66" s="10"/>
      <c r="XN66" s="10"/>
      <c r="XO66" s="10"/>
      <c r="XP66" s="10"/>
      <c r="XQ66" s="10"/>
      <c r="XR66" s="10"/>
      <c r="XS66" s="10"/>
      <c r="XT66" s="10"/>
      <c r="XU66" s="10"/>
      <c r="XV66" s="10"/>
      <c r="XW66" s="10"/>
      <c r="XX66" s="10"/>
      <c r="XY66" s="10"/>
      <c r="XZ66" s="10"/>
      <c r="YA66" s="10"/>
      <c r="YB66" s="10"/>
      <c r="YC66" s="10"/>
      <c r="YD66" s="10"/>
      <c r="YE66" s="10"/>
      <c r="YF66" s="10"/>
      <c r="YG66" s="10"/>
      <c r="YH66" s="10"/>
      <c r="YI66" s="10"/>
      <c r="YJ66" s="10"/>
      <c r="YK66" s="10"/>
      <c r="YL66" s="10"/>
      <c r="YM66" s="10"/>
      <c r="YN66" s="10"/>
      <c r="YO66" s="10"/>
      <c r="YP66" s="10"/>
      <c r="YQ66" s="10"/>
      <c r="YR66" s="10"/>
      <c r="YS66" s="10"/>
      <c r="YT66" s="10"/>
      <c r="YU66" s="10"/>
      <c r="YV66" s="10"/>
      <c r="YW66" s="10"/>
      <c r="YX66" s="10"/>
      <c r="YY66" s="10"/>
      <c r="YZ66" s="10"/>
      <c r="ZA66" s="10"/>
      <c r="ZB66" s="10"/>
      <c r="ZC66" s="10"/>
      <c r="ZD66" s="10"/>
      <c r="ZE66" s="10"/>
      <c r="ZF66" s="10"/>
      <c r="ZG66" s="10"/>
      <c r="ZH66" s="10"/>
      <c r="ZI66" s="10"/>
      <c r="ZJ66" s="10"/>
      <c r="ZK66" s="10"/>
      <c r="ZL66" s="10"/>
      <c r="ZM66" s="10"/>
      <c r="ZN66" s="10"/>
      <c r="ZO66" s="10"/>
      <c r="ZP66" s="10"/>
      <c r="ZQ66" s="10"/>
      <c r="ZR66" s="10"/>
      <c r="ZS66" s="10"/>
      <c r="ZT66" s="10"/>
      <c r="ZU66" s="10"/>
      <c r="ZV66" s="10"/>
      <c r="ZW66" s="10"/>
      <c r="ZX66" s="10"/>
      <c r="ZY66" s="10"/>
      <c r="ZZ66" s="10"/>
      <c r="AAA66" s="10"/>
      <c r="AAB66" s="10"/>
      <c r="AAC66" s="10"/>
      <c r="AAD66" s="10"/>
      <c r="AAE66" s="10"/>
      <c r="AAF66" s="10"/>
      <c r="AAG66" s="10"/>
      <c r="AAH66" s="10"/>
      <c r="AAI66" s="10"/>
      <c r="AAJ66" s="10"/>
      <c r="AAK66" s="10"/>
      <c r="AAL66" s="10"/>
      <c r="AAM66" s="10"/>
      <c r="AAN66" s="10"/>
      <c r="AAO66" s="10"/>
      <c r="AAP66" s="10"/>
      <c r="AAQ66" s="10"/>
      <c r="AAR66" s="10"/>
      <c r="AAS66" s="10"/>
      <c r="AAT66" s="10"/>
      <c r="AAU66" s="10"/>
      <c r="AAV66" s="10"/>
      <c r="AAW66" s="10"/>
      <c r="AAX66" s="10"/>
      <c r="AAY66" s="10"/>
      <c r="AAZ66" s="10"/>
      <c r="ABA66" s="10"/>
      <c r="ABB66" s="10"/>
      <c r="ABC66" s="10"/>
      <c r="ABD66" s="10"/>
      <c r="ABE66" s="10"/>
      <c r="ABF66" s="10"/>
      <c r="ABG66" s="10"/>
      <c r="ABH66" s="10"/>
      <c r="ABI66" s="10"/>
      <c r="ABJ66" s="10"/>
      <c r="ABK66" s="10"/>
      <c r="ABL66" s="10"/>
    </row>
    <row r="67" spans="1:740" s="35" customFormat="1" x14ac:dyDescent="0.3">
      <c r="B67" s="36">
        <f t="shared" si="4"/>
        <v>0</v>
      </c>
      <c r="C67" s="37"/>
      <c r="D67" s="38" t="s">
        <v>1311</v>
      </c>
      <c r="E67" s="39"/>
      <c r="F67" s="40">
        <v>45273</v>
      </c>
      <c r="G67" s="40"/>
      <c r="H67" s="40"/>
      <c r="I67" s="40"/>
      <c r="J67" s="40" t="s">
        <v>1314</v>
      </c>
      <c r="K67" s="40"/>
      <c r="L67" s="40"/>
      <c r="M67" s="40"/>
      <c r="N67" s="44" t="s">
        <v>1332</v>
      </c>
    </row>
    <row r="68" spans="1:740" s="21" customFormat="1" x14ac:dyDescent="0.3">
      <c r="A68" s="10"/>
      <c r="B68" s="13">
        <f t="shared" si="4"/>
        <v>2</v>
      </c>
      <c r="C68" s="16"/>
      <c r="D68" s="17" t="s">
        <v>1311</v>
      </c>
      <c r="E68" s="18" t="s">
        <v>1312</v>
      </c>
      <c r="F68" s="19"/>
      <c r="G68" s="19">
        <v>45106</v>
      </c>
      <c r="H68" s="19"/>
      <c r="I68" s="19">
        <v>45168</v>
      </c>
      <c r="J68" s="19" t="s">
        <v>1333</v>
      </c>
      <c r="K68" s="19"/>
      <c r="L68" s="19"/>
      <c r="M68" s="19"/>
      <c r="N68" s="30" t="s">
        <v>1334</v>
      </c>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10"/>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10"/>
      <c r="HH68" s="10"/>
      <c r="HI68" s="10"/>
      <c r="HJ68" s="10"/>
      <c r="HK68" s="10"/>
      <c r="HL68" s="10"/>
      <c r="HM68" s="10"/>
      <c r="HN68" s="10"/>
      <c r="HO68" s="10"/>
      <c r="HP68" s="10"/>
      <c r="HQ68" s="10"/>
      <c r="HR68" s="10"/>
      <c r="HS68" s="10"/>
      <c r="HT68" s="10"/>
      <c r="HU68" s="10"/>
      <c r="HV68" s="10"/>
      <c r="HW68" s="10"/>
      <c r="HX68" s="10"/>
      <c r="HY68" s="10"/>
      <c r="HZ68" s="10"/>
      <c r="IA68" s="10"/>
      <c r="IB68" s="10"/>
      <c r="IC68" s="10"/>
      <c r="ID68" s="10"/>
      <c r="IE68" s="10"/>
      <c r="IF68" s="10"/>
      <c r="IG68" s="10"/>
      <c r="IH68" s="10"/>
      <c r="II68" s="10"/>
      <c r="IJ68" s="10"/>
      <c r="IK68" s="10"/>
      <c r="IL68" s="10"/>
      <c r="IM68" s="10"/>
      <c r="IN68" s="10"/>
      <c r="IO68" s="10"/>
      <c r="IP68" s="10"/>
      <c r="IQ68" s="10"/>
      <c r="IR68" s="10"/>
      <c r="IS68" s="10"/>
      <c r="IT68" s="10"/>
      <c r="IU68" s="10"/>
      <c r="IV68" s="10"/>
      <c r="IW68" s="10"/>
      <c r="IX68" s="10"/>
      <c r="IY68" s="10"/>
      <c r="IZ68" s="10"/>
      <c r="JA68" s="10"/>
      <c r="JB68" s="10"/>
      <c r="JC68" s="10"/>
      <c r="JD68" s="10"/>
      <c r="JE68" s="10"/>
      <c r="JF68" s="10"/>
      <c r="JG68" s="10"/>
      <c r="JH68" s="10"/>
      <c r="JI68" s="10"/>
      <c r="JJ68" s="10"/>
      <c r="JK68" s="10"/>
      <c r="JL68" s="10"/>
      <c r="JM68" s="10"/>
      <c r="JN68" s="10"/>
      <c r="JO68" s="10"/>
      <c r="JP68" s="10"/>
      <c r="JQ68" s="10"/>
      <c r="JR68" s="10"/>
      <c r="JS68" s="10"/>
      <c r="JT68" s="10"/>
      <c r="JU68" s="10"/>
      <c r="JV68" s="10"/>
      <c r="JW68" s="10"/>
      <c r="JX68" s="10"/>
      <c r="JY68" s="10"/>
      <c r="JZ68" s="10"/>
      <c r="KA68" s="10"/>
      <c r="KB68" s="10"/>
      <c r="KC68" s="10"/>
      <c r="KD68" s="10"/>
      <c r="KE68" s="10"/>
      <c r="KF68" s="10"/>
      <c r="KG68" s="10"/>
      <c r="KH68" s="10"/>
      <c r="KI68" s="10"/>
      <c r="KJ68" s="10"/>
      <c r="KK68" s="10"/>
      <c r="KL68" s="10"/>
      <c r="KM68" s="10"/>
      <c r="KN68" s="10"/>
      <c r="KO68" s="10"/>
      <c r="KP68" s="10"/>
      <c r="KQ68" s="10"/>
      <c r="KR68" s="10"/>
      <c r="KS68" s="10"/>
      <c r="KT68" s="10"/>
      <c r="KU68" s="10"/>
      <c r="KV68" s="10"/>
      <c r="KW68" s="10"/>
      <c r="KX68" s="10"/>
      <c r="KY68" s="10"/>
      <c r="KZ68" s="10"/>
      <c r="LA68" s="10"/>
      <c r="LB68" s="10"/>
      <c r="LC68" s="10"/>
      <c r="LD68" s="10"/>
      <c r="LE68" s="10"/>
      <c r="LF68" s="10"/>
      <c r="LG68" s="10"/>
      <c r="LH68" s="10"/>
      <c r="LI68" s="10"/>
      <c r="LJ68" s="10"/>
      <c r="LK68" s="10"/>
      <c r="LL68" s="10"/>
      <c r="LM68" s="10"/>
      <c r="LN68" s="10"/>
      <c r="LO68" s="10"/>
      <c r="LP68" s="10"/>
      <c r="LQ68" s="10"/>
      <c r="LR68" s="10"/>
      <c r="LS68" s="10"/>
      <c r="LT68" s="10"/>
      <c r="LU68" s="10"/>
      <c r="LV68" s="10"/>
      <c r="LW68" s="10"/>
      <c r="LX68" s="10"/>
      <c r="LY68" s="10"/>
      <c r="LZ68" s="10"/>
      <c r="MA68" s="10"/>
      <c r="MB68" s="10"/>
      <c r="MC68" s="10"/>
      <c r="MD68" s="10"/>
      <c r="ME68" s="10"/>
      <c r="MF68" s="10"/>
      <c r="MG68" s="10"/>
      <c r="MH68" s="10"/>
      <c r="MI68" s="10"/>
      <c r="MJ68" s="10"/>
      <c r="MK68" s="10"/>
      <c r="ML68" s="10"/>
      <c r="MM68" s="10"/>
      <c r="MN68" s="10"/>
      <c r="MO68" s="10"/>
      <c r="MP68" s="10"/>
      <c r="MQ68" s="10"/>
      <c r="MR68" s="10"/>
      <c r="MS68" s="10"/>
      <c r="MT68" s="10"/>
      <c r="MU68" s="10"/>
      <c r="MV68" s="10"/>
      <c r="MW68" s="10"/>
      <c r="MX68" s="10"/>
      <c r="MY68" s="10"/>
      <c r="MZ68" s="10"/>
      <c r="NA68" s="10"/>
      <c r="NB68" s="10"/>
      <c r="NC68" s="10"/>
      <c r="ND68" s="10"/>
      <c r="NE68" s="10"/>
      <c r="NF68" s="10"/>
      <c r="NG68" s="10"/>
      <c r="NH68" s="10"/>
      <c r="NI68" s="10"/>
      <c r="NJ68" s="10"/>
      <c r="NK68" s="10"/>
      <c r="NL68" s="10"/>
      <c r="NM68" s="10"/>
      <c r="NN68" s="10"/>
      <c r="NO68" s="10"/>
      <c r="NP68" s="10"/>
      <c r="NQ68" s="10"/>
      <c r="NR68" s="10"/>
      <c r="NS68" s="10"/>
      <c r="NT68" s="10"/>
      <c r="NU68" s="10"/>
      <c r="NV68" s="10"/>
      <c r="NW68" s="10"/>
      <c r="NX68" s="10"/>
      <c r="NY68" s="10"/>
      <c r="NZ68" s="10"/>
      <c r="OA68" s="10"/>
      <c r="OB68" s="10"/>
      <c r="OC68" s="10"/>
      <c r="OD68" s="10"/>
      <c r="OE68" s="10"/>
      <c r="OF68" s="10"/>
      <c r="OG68" s="10"/>
      <c r="OH68" s="10"/>
      <c r="OI68" s="10"/>
      <c r="OJ68" s="10"/>
      <c r="OK68" s="10"/>
      <c r="OL68" s="10"/>
      <c r="OM68" s="10"/>
      <c r="ON68" s="10"/>
      <c r="OO68" s="10"/>
      <c r="OP68" s="10"/>
      <c r="OQ68" s="10"/>
      <c r="OR68" s="10"/>
      <c r="OS68" s="10"/>
      <c r="OT68" s="10"/>
      <c r="OU68" s="10"/>
      <c r="OV68" s="10"/>
      <c r="OW68" s="10"/>
      <c r="OX68" s="10"/>
      <c r="OY68" s="10"/>
      <c r="OZ68" s="10"/>
      <c r="PA68" s="10"/>
      <c r="PB68" s="10"/>
      <c r="PC68" s="10"/>
      <c r="PD68" s="10"/>
      <c r="PE68" s="10"/>
      <c r="PF68" s="10"/>
      <c r="PG68" s="10"/>
      <c r="PH68" s="10"/>
      <c r="PI68" s="10"/>
      <c r="PJ68" s="10"/>
      <c r="PK68" s="10"/>
      <c r="PL68" s="10"/>
      <c r="PM68" s="10"/>
      <c r="PN68" s="10"/>
      <c r="PO68" s="10"/>
      <c r="PP68" s="10"/>
      <c r="PQ68" s="10"/>
      <c r="PR68" s="10"/>
      <c r="PS68" s="10"/>
      <c r="PT68" s="10"/>
      <c r="PU68" s="10"/>
      <c r="PV68" s="10"/>
      <c r="PW68" s="10"/>
      <c r="PX68" s="10"/>
      <c r="PY68" s="10"/>
      <c r="PZ68" s="10"/>
      <c r="QA68" s="10"/>
      <c r="QB68" s="10"/>
      <c r="QC68" s="10"/>
      <c r="QD68" s="10"/>
      <c r="QE68" s="10"/>
      <c r="QF68" s="10"/>
      <c r="QG68" s="10"/>
      <c r="QH68" s="10"/>
      <c r="QI68" s="10"/>
      <c r="QJ68" s="10"/>
      <c r="QK68" s="10"/>
      <c r="QL68" s="10"/>
      <c r="QM68" s="10"/>
      <c r="QN68" s="10"/>
      <c r="QO68" s="10"/>
      <c r="QP68" s="10"/>
      <c r="QQ68" s="10"/>
      <c r="QR68" s="10"/>
      <c r="QS68" s="10"/>
      <c r="QT68" s="10"/>
      <c r="QU68" s="10"/>
      <c r="QV68" s="10"/>
      <c r="QW68" s="10"/>
      <c r="QX68" s="10"/>
      <c r="QY68" s="10"/>
      <c r="QZ68" s="10"/>
      <c r="RA68" s="10"/>
      <c r="RB68" s="10"/>
      <c r="RC68" s="10"/>
      <c r="RD68" s="10"/>
      <c r="RE68" s="10"/>
      <c r="RF68" s="10"/>
      <c r="RG68" s="10"/>
      <c r="RH68" s="10"/>
      <c r="RI68" s="10"/>
      <c r="RJ68" s="10"/>
      <c r="RK68" s="10"/>
      <c r="RL68" s="10"/>
      <c r="RM68" s="10"/>
      <c r="RN68" s="10"/>
      <c r="RO68" s="10"/>
      <c r="RP68" s="10"/>
      <c r="RQ68" s="10"/>
      <c r="RR68" s="10"/>
      <c r="RS68" s="10"/>
      <c r="RT68" s="10"/>
      <c r="RU68" s="10"/>
      <c r="RV68" s="10"/>
      <c r="RW68" s="10"/>
      <c r="RX68" s="10"/>
      <c r="RY68" s="10"/>
      <c r="RZ68" s="10"/>
      <c r="SA68" s="10"/>
      <c r="SB68" s="10"/>
      <c r="SC68" s="10"/>
      <c r="SD68" s="10"/>
      <c r="SE68" s="10"/>
      <c r="SF68" s="10"/>
      <c r="SG68" s="10"/>
      <c r="SH68" s="10"/>
      <c r="SI68" s="10"/>
      <c r="SJ68" s="10"/>
      <c r="SK68" s="10"/>
      <c r="SL68" s="10"/>
      <c r="SM68" s="10"/>
      <c r="SN68" s="10"/>
      <c r="SO68" s="10"/>
      <c r="SP68" s="10"/>
      <c r="SQ68" s="10"/>
      <c r="SR68" s="10"/>
      <c r="SS68" s="10"/>
      <c r="ST68" s="10"/>
      <c r="SU68" s="10"/>
      <c r="SV68" s="10"/>
      <c r="SW68" s="10"/>
      <c r="SX68" s="10"/>
      <c r="SY68" s="10"/>
      <c r="SZ68" s="10"/>
      <c r="TA68" s="10"/>
      <c r="TB68" s="10"/>
      <c r="TC68" s="10"/>
      <c r="TD68" s="10"/>
      <c r="TE68" s="10"/>
      <c r="TF68" s="10"/>
      <c r="TG68" s="10"/>
      <c r="TH68" s="10"/>
      <c r="TI68" s="10"/>
      <c r="TJ68" s="10"/>
      <c r="TK68" s="10"/>
      <c r="TL68" s="10"/>
      <c r="TM68" s="10"/>
      <c r="TN68" s="10"/>
      <c r="TO68" s="10"/>
      <c r="TP68" s="10"/>
      <c r="TQ68" s="10"/>
      <c r="TR68" s="10"/>
      <c r="TS68" s="10"/>
      <c r="TT68" s="10"/>
      <c r="TU68" s="10"/>
      <c r="TV68" s="10"/>
      <c r="TW68" s="10"/>
      <c r="TX68" s="10"/>
      <c r="TY68" s="10"/>
      <c r="TZ68" s="10"/>
      <c r="UA68" s="10"/>
      <c r="UB68" s="10"/>
      <c r="UC68" s="10"/>
      <c r="UD68" s="10"/>
      <c r="UE68" s="10"/>
      <c r="UF68" s="10"/>
      <c r="UG68" s="10"/>
      <c r="UH68" s="10"/>
      <c r="UI68" s="10"/>
      <c r="UJ68" s="10"/>
      <c r="UK68" s="10"/>
      <c r="UL68" s="10"/>
      <c r="UM68" s="10"/>
      <c r="UN68" s="10"/>
      <c r="UO68" s="10"/>
      <c r="UP68" s="10"/>
      <c r="UQ68" s="10"/>
      <c r="UR68" s="10"/>
      <c r="US68" s="10"/>
      <c r="UT68" s="10"/>
      <c r="UU68" s="10"/>
      <c r="UV68" s="10"/>
      <c r="UW68" s="10"/>
      <c r="UX68" s="10"/>
      <c r="UY68" s="10"/>
      <c r="UZ68" s="10"/>
      <c r="VA68" s="10"/>
      <c r="VB68" s="10"/>
      <c r="VC68" s="10"/>
      <c r="VD68" s="10"/>
      <c r="VE68" s="10"/>
      <c r="VF68" s="10"/>
      <c r="VG68" s="10"/>
      <c r="VH68" s="10"/>
      <c r="VI68" s="10"/>
      <c r="VJ68" s="10"/>
      <c r="VK68" s="10"/>
      <c r="VL68" s="10"/>
      <c r="VM68" s="10"/>
      <c r="VN68" s="10"/>
      <c r="VO68" s="10"/>
      <c r="VP68" s="10"/>
      <c r="VQ68" s="10"/>
      <c r="VR68" s="10"/>
      <c r="VS68" s="10"/>
      <c r="VT68" s="10"/>
      <c r="VU68" s="10"/>
      <c r="VV68" s="10"/>
      <c r="VW68" s="10"/>
      <c r="VX68" s="10"/>
      <c r="VY68" s="10"/>
      <c r="VZ68" s="10"/>
      <c r="WA68" s="10"/>
      <c r="WB68" s="10"/>
      <c r="WC68" s="10"/>
      <c r="WD68" s="10"/>
      <c r="WE68" s="10"/>
      <c r="WF68" s="10"/>
      <c r="WG68" s="10"/>
      <c r="WH68" s="10"/>
      <c r="WI68" s="10"/>
      <c r="WJ68" s="10"/>
      <c r="WK68" s="10"/>
      <c r="WL68" s="10"/>
      <c r="WM68" s="10"/>
      <c r="WN68" s="10"/>
      <c r="WO68" s="10"/>
      <c r="WP68" s="10"/>
      <c r="WQ68" s="10"/>
      <c r="WR68" s="10"/>
      <c r="WS68" s="10"/>
      <c r="WT68" s="10"/>
      <c r="WU68" s="10"/>
      <c r="WV68" s="10"/>
      <c r="WW68" s="10"/>
      <c r="WX68" s="10"/>
      <c r="WY68" s="10"/>
      <c r="WZ68" s="10"/>
      <c r="XA68" s="10"/>
      <c r="XB68" s="10"/>
      <c r="XC68" s="10"/>
      <c r="XD68" s="10"/>
      <c r="XE68" s="10"/>
      <c r="XF68" s="10"/>
      <c r="XG68" s="10"/>
      <c r="XH68" s="10"/>
      <c r="XI68" s="10"/>
      <c r="XJ68" s="10"/>
      <c r="XK68" s="10"/>
      <c r="XL68" s="10"/>
      <c r="XM68" s="10"/>
      <c r="XN68" s="10"/>
      <c r="XO68" s="10"/>
      <c r="XP68" s="10"/>
      <c r="XQ68" s="10"/>
      <c r="XR68" s="10"/>
      <c r="XS68" s="10"/>
      <c r="XT68" s="10"/>
      <c r="XU68" s="10"/>
      <c r="XV68" s="10"/>
      <c r="XW68" s="10"/>
      <c r="XX68" s="10"/>
      <c r="XY68" s="10"/>
      <c r="XZ68" s="10"/>
      <c r="YA68" s="10"/>
      <c r="YB68" s="10"/>
      <c r="YC68" s="10"/>
      <c r="YD68" s="10"/>
      <c r="YE68" s="10"/>
      <c r="YF68" s="10"/>
      <c r="YG68" s="10"/>
      <c r="YH68" s="10"/>
      <c r="YI68" s="10"/>
      <c r="YJ68" s="10"/>
      <c r="YK68" s="10"/>
      <c r="YL68" s="10"/>
      <c r="YM68" s="10"/>
      <c r="YN68" s="10"/>
      <c r="YO68" s="10"/>
      <c r="YP68" s="10"/>
      <c r="YQ68" s="10"/>
      <c r="YR68" s="10"/>
      <c r="YS68" s="10"/>
      <c r="YT68" s="10"/>
      <c r="YU68" s="10"/>
      <c r="YV68" s="10"/>
      <c r="YW68" s="10"/>
      <c r="YX68" s="10"/>
      <c r="YY68" s="10"/>
      <c r="YZ68" s="10"/>
      <c r="ZA68" s="10"/>
      <c r="ZB68" s="10"/>
      <c r="ZC68" s="10"/>
      <c r="ZD68" s="10"/>
      <c r="ZE68" s="10"/>
      <c r="ZF68" s="10"/>
      <c r="ZG68" s="10"/>
      <c r="ZH68" s="10"/>
      <c r="ZI68" s="10"/>
      <c r="ZJ68" s="10"/>
      <c r="ZK68" s="10"/>
      <c r="ZL68" s="10"/>
      <c r="ZM68" s="10"/>
      <c r="ZN68" s="10"/>
      <c r="ZO68" s="10"/>
      <c r="ZP68" s="10"/>
      <c r="ZQ68" s="10"/>
      <c r="ZR68" s="10"/>
      <c r="ZS68" s="10"/>
      <c r="ZT68" s="10"/>
      <c r="ZU68" s="10"/>
      <c r="ZV68" s="10"/>
      <c r="ZW68" s="10"/>
      <c r="ZX68" s="10"/>
      <c r="ZY68" s="10"/>
      <c r="ZZ68" s="10"/>
      <c r="AAA68" s="10"/>
      <c r="AAB68" s="10"/>
      <c r="AAC68" s="10"/>
      <c r="AAD68" s="10"/>
      <c r="AAE68" s="10"/>
      <c r="AAF68" s="10"/>
      <c r="AAG68" s="10"/>
      <c r="AAH68" s="10"/>
      <c r="AAI68" s="10"/>
      <c r="AAJ68" s="10"/>
      <c r="AAK68" s="10"/>
      <c r="AAL68" s="10"/>
      <c r="AAM68" s="10"/>
      <c r="AAN68" s="10"/>
      <c r="AAO68" s="10"/>
      <c r="AAP68" s="10"/>
      <c r="AAQ68" s="10"/>
      <c r="AAR68" s="10"/>
      <c r="AAS68" s="10"/>
      <c r="AAT68" s="10"/>
      <c r="AAU68" s="10"/>
      <c r="AAV68" s="10"/>
      <c r="AAW68" s="10"/>
      <c r="AAX68" s="10"/>
      <c r="AAY68" s="10"/>
      <c r="AAZ68" s="10"/>
      <c r="ABA68" s="10"/>
      <c r="ABB68" s="10"/>
      <c r="ABC68" s="10"/>
      <c r="ABD68" s="10"/>
      <c r="ABE68" s="10"/>
      <c r="ABF68" s="10"/>
      <c r="ABG68" s="10"/>
      <c r="ABH68" s="10"/>
      <c r="ABI68" s="10"/>
      <c r="ABJ68" s="10"/>
      <c r="ABK68" s="10"/>
      <c r="ABL68" s="10"/>
    </row>
    <row r="69" spans="1:740" s="35" customFormat="1" x14ac:dyDescent="0.3">
      <c r="B69" s="36">
        <f t="shared" si="4"/>
        <v>0</v>
      </c>
      <c r="C69" s="37"/>
      <c r="D69" s="38" t="s">
        <v>1311</v>
      </c>
      <c r="E69" s="39" t="s">
        <v>1312</v>
      </c>
      <c r="F69" s="39"/>
      <c r="G69" s="40">
        <v>45160</v>
      </c>
      <c r="H69" s="39"/>
      <c r="I69" s="39"/>
      <c r="J69" s="39" t="s">
        <v>1314</v>
      </c>
      <c r="K69" s="39"/>
      <c r="L69" s="39"/>
      <c r="M69" s="40"/>
      <c r="N69" s="44" t="s">
        <v>1335</v>
      </c>
    </row>
    <row r="70" spans="1:740" s="21" customFormat="1" x14ac:dyDescent="0.3">
      <c r="A70" s="10"/>
      <c r="B70" s="13">
        <f t="shared" si="4"/>
        <v>0</v>
      </c>
      <c r="C70" s="16"/>
      <c r="D70" s="17" t="s">
        <v>1311</v>
      </c>
      <c r="E70" s="18" t="s">
        <v>1312</v>
      </c>
      <c r="F70" s="18"/>
      <c r="G70" s="19">
        <v>45107</v>
      </c>
      <c r="H70" s="19"/>
      <c r="I70" s="19"/>
      <c r="J70" s="19" t="s">
        <v>1314</v>
      </c>
      <c r="K70" s="19"/>
      <c r="L70" s="19"/>
      <c r="M70" s="19"/>
      <c r="N70" s="44" t="s">
        <v>1336</v>
      </c>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10"/>
      <c r="GF70" s="10"/>
      <c r="GG70" s="10"/>
      <c r="GH70" s="10"/>
      <c r="GI70" s="10"/>
      <c r="GJ70" s="10"/>
      <c r="GK70" s="10"/>
      <c r="GL70" s="10"/>
      <c r="GM70" s="10"/>
      <c r="GN70" s="10"/>
      <c r="GO70" s="10"/>
      <c r="GP70" s="10"/>
      <c r="GQ70" s="10"/>
      <c r="GR70" s="10"/>
      <c r="GS70" s="10"/>
      <c r="GT70" s="10"/>
      <c r="GU70" s="10"/>
      <c r="GV70" s="10"/>
      <c r="GW70" s="10"/>
      <c r="GX70" s="10"/>
      <c r="GY70" s="10"/>
      <c r="GZ70" s="10"/>
      <c r="HA70" s="10"/>
      <c r="HB70" s="10"/>
      <c r="HC70" s="10"/>
      <c r="HD70" s="10"/>
      <c r="HE70" s="10"/>
      <c r="HF70" s="10"/>
      <c r="HG70" s="10"/>
      <c r="HH70" s="10"/>
      <c r="HI70" s="10"/>
      <c r="HJ70" s="10"/>
      <c r="HK70" s="10"/>
      <c r="HL70" s="10"/>
      <c r="HM70" s="10"/>
      <c r="HN70" s="10"/>
      <c r="HO70" s="10"/>
      <c r="HP70" s="10"/>
      <c r="HQ70" s="10"/>
      <c r="HR70" s="10"/>
      <c r="HS70" s="10"/>
      <c r="HT70" s="10"/>
      <c r="HU70" s="10"/>
      <c r="HV70" s="10"/>
      <c r="HW70" s="10"/>
      <c r="HX70" s="10"/>
      <c r="HY70" s="10"/>
      <c r="HZ70" s="10"/>
      <c r="IA70" s="10"/>
      <c r="IB70" s="10"/>
      <c r="IC70" s="10"/>
      <c r="ID70" s="10"/>
      <c r="IE70" s="10"/>
      <c r="IF70" s="10"/>
      <c r="IG70" s="10"/>
      <c r="IH70" s="10"/>
      <c r="II70" s="10"/>
      <c r="IJ70" s="10"/>
      <c r="IK70" s="10"/>
      <c r="IL70" s="10"/>
      <c r="IM70" s="10"/>
      <c r="IN70" s="10"/>
      <c r="IO70" s="10"/>
      <c r="IP70" s="10"/>
      <c r="IQ70" s="10"/>
      <c r="IR70" s="10"/>
      <c r="IS70" s="10"/>
      <c r="IT70" s="10"/>
      <c r="IU70" s="10"/>
      <c r="IV70" s="10"/>
      <c r="IW70" s="10"/>
      <c r="IX70" s="10"/>
      <c r="IY70" s="10"/>
      <c r="IZ70" s="10"/>
      <c r="JA70" s="10"/>
      <c r="JB70" s="10"/>
      <c r="JC70" s="10"/>
      <c r="JD70" s="10"/>
      <c r="JE70" s="10"/>
      <c r="JF70" s="10"/>
      <c r="JG70" s="10"/>
      <c r="JH70" s="10"/>
      <c r="JI70" s="10"/>
      <c r="JJ70" s="10"/>
      <c r="JK70" s="10"/>
      <c r="JL70" s="10"/>
      <c r="JM70" s="10"/>
      <c r="JN70" s="10"/>
      <c r="JO70" s="10"/>
      <c r="JP70" s="10"/>
      <c r="JQ70" s="10"/>
      <c r="JR70" s="10"/>
      <c r="JS70" s="10"/>
      <c r="JT70" s="10"/>
      <c r="JU70" s="10"/>
      <c r="JV70" s="10"/>
      <c r="JW70" s="10"/>
      <c r="JX70" s="10"/>
      <c r="JY70" s="10"/>
      <c r="JZ70" s="10"/>
      <c r="KA70" s="10"/>
      <c r="KB70" s="10"/>
      <c r="KC70" s="10"/>
      <c r="KD70" s="10"/>
      <c r="KE70" s="10"/>
      <c r="KF70" s="10"/>
      <c r="KG70" s="10"/>
      <c r="KH70" s="10"/>
      <c r="KI70" s="10"/>
      <c r="KJ70" s="10"/>
      <c r="KK70" s="10"/>
      <c r="KL70" s="10"/>
      <c r="KM70" s="10"/>
      <c r="KN70" s="10"/>
      <c r="KO70" s="10"/>
      <c r="KP70" s="10"/>
      <c r="KQ70" s="10"/>
      <c r="KR70" s="10"/>
      <c r="KS70" s="10"/>
      <c r="KT70" s="10"/>
      <c r="KU70" s="10"/>
      <c r="KV70" s="10"/>
      <c r="KW70" s="10"/>
      <c r="KX70" s="10"/>
      <c r="KY70" s="10"/>
      <c r="KZ70" s="10"/>
      <c r="LA70" s="10"/>
      <c r="LB70" s="10"/>
      <c r="LC70" s="10"/>
      <c r="LD70" s="10"/>
      <c r="LE70" s="10"/>
      <c r="LF70" s="10"/>
      <c r="LG70" s="10"/>
      <c r="LH70" s="10"/>
      <c r="LI70" s="10"/>
      <c r="LJ70" s="10"/>
      <c r="LK70" s="10"/>
      <c r="LL70" s="10"/>
      <c r="LM70" s="10"/>
      <c r="LN70" s="10"/>
      <c r="LO70" s="10"/>
      <c r="LP70" s="10"/>
      <c r="LQ70" s="10"/>
      <c r="LR70" s="10"/>
      <c r="LS70" s="10"/>
      <c r="LT70" s="10"/>
      <c r="LU70" s="10"/>
      <c r="LV70" s="10"/>
      <c r="LW70" s="10"/>
      <c r="LX70" s="10"/>
      <c r="LY70" s="10"/>
      <c r="LZ70" s="10"/>
      <c r="MA70" s="10"/>
      <c r="MB70" s="10"/>
      <c r="MC70" s="10"/>
      <c r="MD70" s="10"/>
      <c r="ME70" s="10"/>
      <c r="MF70" s="10"/>
      <c r="MG70" s="10"/>
      <c r="MH70" s="10"/>
      <c r="MI70" s="10"/>
      <c r="MJ70" s="10"/>
      <c r="MK70" s="10"/>
      <c r="ML70" s="10"/>
      <c r="MM70" s="10"/>
      <c r="MN70" s="10"/>
      <c r="MO70" s="10"/>
      <c r="MP70" s="10"/>
      <c r="MQ70" s="10"/>
      <c r="MR70" s="10"/>
      <c r="MS70" s="10"/>
      <c r="MT70" s="10"/>
      <c r="MU70" s="10"/>
      <c r="MV70" s="10"/>
      <c r="MW70" s="10"/>
      <c r="MX70" s="10"/>
      <c r="MY70" s="10"/>
      <c r="MZ70" s="10"/>
      <c r="NA70" s="10"/>
      <c r="NB70" s="10"/>
      <c r="NC70" s="10"/>
      <c r="ND70" s="10"/>
      <c r="NE70" s="10"/>
      <c r="NF70" s="10"/>
      <c r="NG70" s="10"/>
      <c r="NH70" s="10"/>
      <c r="NI70" s="10"/>
      <c r="NJ70" s="10"/>
      <c r="NK70" s="10"/>
      <c r="NL70" s="10"/>
      <c r="NM70" s="10"/>
      <c r="NN70" s="10"/>
      <c r="NO70" s="10"/>
      <c r="NP70" s="10"/>
      <c r="NQ70" s="10"/>
      <c r="NR70" s="10"/>
      <c r="NS70" s="10"/>
      <c r="NT70" s="10"/>
      <c r="NU70" s="10"/>
      <c r="NV70" s="10"/>
      <c r="NW70" s="10"/>
      <c r="NX70" s="10"/>
      <c r="NY70" s="10"/>
      <c r="NZ70" s="10"/>
      <c r="OA70" s="10"/>
      <c r="OB70" s="10"/>
      <c r="OC70" s="10"/>
      <c r="OD70" s="10"/>
      <c r="OE70" s="10"/>
      <c r="OF70" s="10"/>
      <c r="OG70" s="10"/>
      <c r="OH70" s="10"/>
      <c r="OI70" s="10"/>
      <c r="OJ70" s="10"/>
      <c r="OK70" s="10"/>
      <c r="OL70" s="10"/>
      <c r="OM70" s="10"/>
      <c r="ON70" s="10"/>
      <c r="OO70" s="10"/>
      <c r="OP70" s="10"/>
      <c r="OQ70" s="10"/>
      <c r="OR70" s="10"/>
      <c r="OS70" s="10"/>
      <c r="OT70" s="10"/>
      <c r="OU70" s="10"/>
      <c r="OV70" s="10"/>
      <c r="OW70" s="10"/>
      <c r="OX70" s="10"/>
      <c r="OY70" s="10"/>
      <c r="OZ70" s="10"/>
      <c r="PA70" s="10"/>
      <c r="PB70" s="10"/>
      <c r="PC70" s="10"/>
      <c r="PD70" s="10"/>
      <c r="PE70" s="10"/>
      <c r="PF70" s="10"/>
      <c r="PG70" s="10"/>
      <c r="PH70" s="10"/>
      <c r="PI70" s="10"/>
      <c r="PJ70" s="10"/>
      <c r="PK70" s="10"/>
      <c r="PL70" s="10"/>
      <c r="PM70" s="10"/>
      <c r="PN70" s="10"/>
      <c r="PO70" s="10"/>
      <c r="PP70" s="10"/>
      <c r="PQ70" s="10"/>
      <c r="PR70" s="10"/>
      <c r="PS70" s="10"/>
      <c r="PT70" s="10"/>
      <c r="PU70" s="10"/>
      <c r="PV70" s="10"/>
      <c r="PW70" s="10"/>
      <c r="PX70" s="10"/>
      <c r="PY70" s="10"/>
      <c r="PZ70" s="10"/>
      <c r="QA70" s="10"/>
      <c r="QB70" s="10"/>
      <c r="QC70" s="10"/>
      <c r="QD70" s="10"/>
      <c r="QE70" s="10"/>
      <c r="QF70" s="10"/>
      <c r="QG70" s="10"/>
      <c r="QH70" s="10"/>
      <c r="QI70" s="10"/>
      <c r="QJ70" s="10"/>
      <c r="QK70" s="10"/>
      <c r="QL70" s="10"/>
      <c r="QM70" s="10"/>
      <c r="QN70" s="10"/>
      <c r="QO70" s="10"/>
      <c r="QP70" s="10"/>
      <c r="QQ70" s="10"/>
      <c r="QR70" s="10"/>
      <c r="QS70" s="10"/>
      <c r="QT70" s="10"/>
      <c r="QU70" s="10"/>
      <c r="QV70" s="10"/>
      <c r="QW70" s="10"/>
      <c r="QX70" s="10"/>
      <c r="QY70" s="10"/>
      <c r="QZ70" s="10"/>
      <c r="RA70" s="10"/>
      <c r="RB70" s="10"/>
      <c r="RC70" s="10"/>
      <c r="RD70" s="10"/>
      <c r="RE70" s="10"/>
      <c r="RF70" s="10"/>
      <c r="RG70" s="10"/>
      <c r="RH70" s="10"/>
      <c r="RI70" s="10"/>
      <c r="RJ70" s="10"/>
      <c r="RK70" s="10"/>
      <c r="RL70" s="10"/>
      <c r="RM70" s="10"/>
      <c r="RN70" s="10"/>
      <c r="RO70" s="10"/>
      <c r="RP70" s="10"/>
      <c r="RQ70" s="10"/>
      <c r="RR70" s="10"/>
      <c r="RS70" s="10"/>
      <c r="RT70" s="10"/>
      <c r="RU70" s="10"/>
      <c r="RV70" s="10"/>
      <c r="RW70" s="10"/>
      <c r="RX70" s="10"/>
      <c r="RY70" s="10"/>
      <c r="RZ70" s="10"/>
      <c r="SA70" s="10"/>
      <c r="SB70" s="10"/>
      <c r="SC70" s="10"/>
      <c r="SD70" s="10"/>
      <c r="SE70" s="10"/>
      <c r="SF70" s="10"/>
      <c r="SG70" s="10"/>
      <c r="SH70" s="10"/>
      <c r="SI70" s="10"/>
      <c r="SJ70" s="10"/>
      <c r="SK70" s="10"/>
      <c r="SL70" s="10"/>
      <c r="SM70" s="10"/>
      <c r="SN70" s="10"/>
      <c r="SO70" s="10"/>
      <c r="SP70" s="10"/>
      <c r="SQ70" s="10"/>
      <c r="SR70" s="10"/>
      <c r="SS70" s="10"/>
      <c r="ST70" s="10"/>
      <c r="SU70" s="10"/>
      <c r="SV70" s="10"/>
      <c r="SW70" s="10"/>
      <c r="SX70" s="10"/>
      <c r="SY70" s="10"/>
      <c r="SZ70" s="10"/>
      <c r="TA70" s="10"/>
      <c r="TB70" s="10"/>
      <c r="TC70" s="10"/>
      <c r="TD70" s="10"/>
      <c r="TE70" s="10"/>
      <c r="TF70" s="10"/>
      <c r="TG70" s="10"/>
      <c r="TH70" s="10"/>
      <c r="TI70" s="10"/>
      <c r="TJ70" s="10"/>
      <c r="TK70" s="10"/>
      <c r="TL70" s="10"/>
      <c r="TM70" s="10"/>
      <c r="TN70" s="10"/>
      <c r="TO70" s="10"/>
      <c r="TP70" s="10"/>
      <c r="TQ70" s="10"/>
      <c r="TR70" s="10"/>
      <c r="TS70" s="10"/>
      <c r="TT70" s="10"/>
      <c r="TU70" s="10"/>
      <c r="TV70" s="10"/>
      <c r="TW70" s="10"/>
      <c r="TX70" s="10"/>
      <c r="TY70" s="10"/>
      <c r="TZ70" s="10"/>
      <c r="UA70" s="10"/>
      <c r="UB70" s="10"/>
      <c r="UC70" s="10"/>
      <c r="UD70" s="10"/>
      <c r="UE70" s="10"/>
      <c r="UF70" s="10"/>
      <c r="UG70" s="10"/>
      <c r="UH70" s="10"/>
      <c r="UI70" s="10"/>
      <c r="UJ70" s="10"/>
      <c r="UK70" s="10"/>
      <c r="UL70" s="10"/>
      <c r="UM70" s="10"/>
      <c r="UN70" s="10"/>
      <c r="UO70" s="10"/>
      <c r="UP70" s="10"/>
      <c r="UQ70" s="10"/>
      <c r="UR70" s="10"/>
      <c r="US70" s="10"/>
      <c r="UT70" s="10"/>
      <c r="UU70" s="10"/>
      <c r="UV70" s="10"/>
      <c r="UW70" s="10"/>
      <c r="UX70" s="10"/>
      <c r="UY70" s="10"/>
      <c r="UZ70" s="10"/>
      <c r="VA70" s="10"/>
      <c r="VB70" s="10"/>
      <c r="VC70" s="10"/>
      <c r="VD70" s="10"/>
      <c r="VE70" s="10"/>
      <c r="VF70" s="10"/>
      <c r="VG70" s="10"/>
      <c r="VH70" s="10"/>
      <c r="VI70" s="10"/>
      <c r="VJ70" s="10"/>
      <c r="VK70" s="10"/>
      <c r="VL70" s="10"/>
      <c r="VM70" s="10"/>
      <c r="VN70" s="10"/>
      <c r="VO70" s="10"/>
      <c r="VP70" s="10"/>
      <c r="VQ70" s="10"/>
      <c r="VR70" s="10"/>
      <c r="VS70" s="10"/>
      <c r="VT70" s="10"/>
      <c r="VU70" s="10"/>
      <c r="VV70" s="10"/>
      <c r="VW70" s="10"/>
      <c r="VX70" s="10"/>
      <c r="VY70" s="10"/>
      <c r="VZ70" s="10"/>
      <c r="WA70" s="10"/>
      <c r="WB70" s="10"/>
      <c r="WC70" s="10"/>
      <c r="WD70" s="10"/>
      <c r="WE70" s="10"/>
      <c r="WF70" s="10"/>
      <c r="WG70" s="10"/>
      <c r="WH70" s="10"/>
      <c r="WI70" s="10"/>
      <c r="WJ70" s="10"/>
      <c r="WK70" s="10"/>
      <c r="WL70" s="10"/>
      <c r="WM70" s="10"/>
      <c r="WN70" s="10"/>
      <c r="WO70" s="10"/>
      <c r="WP70" s="10"/>
      <c r="WQ70" s="10"/>
      <c r="WR70" s="10"/>
      <c r="WS70" s="10"/>
      <c r="WT70" s="10"/>
      <c r="WU70" s="10"/>
      <c r="WV70" s="10"/>
      <c r="WW70" s="10"/>
      <c r="WX70" s="10"/>
      <c r="WY70" s="10"/>
      <c r="WZ70" s="10"/>
      <c r="XA70" s="10"/>
      <c r="XB70" s="10"/>
      <c r="XC70" s="10"/>
      <c r="XD70" s="10"/>
      <c r="XE70" s="10"/>
      <c r="XF70" s="10"/>
      <c r="XG70" s="10"/>
      <c r="XH70" s="10"/>
      <c r="XI70" s="10"/>
      <c r="XJ70" s="10"/>
      <c r="XK70" s="10"/>
      <c r="XL70" s="10"/>
      <c r="XM70" s="10"/>
      <c r="XN70" s="10"/>
      <c r="XO70" s="10"/>
      <c r="XP70" s="10"/>
      <c r="XQ70" s="10"/>
      <c r="XR70" s="10"/>
      <c r="XS70" s="10"/>
      <c r="XT70" s="10"/>
      <c r="XU70" s="10"/>
      <c r="XV70" s="10"/>
      <c r="XW70" s="10"/>
      <c r="XX70" s="10"/>
      <c r="XY70" s="10"/>
      <c r="XZ70" s="10"/>
      <c r="YA70" s="10"/>
      <c r="YB70" s="10"/>
      <c r="YC70" s="10"/>
      <c r="YD70" s="10"/>
      <c r="YE70" s="10"/>
      <c r="YF70" s="10"/>
      <c r="YG70" s="10"/>
      <c r="YH70" s="10"/>
      <c r="YI70" s="10"/>
      <c r="YJ70" s="10"/>
      <c r="YK70" s="10"/>
      <c r="YL70" s="10"/>
      <c r="YM70" s="10"/>
      <c r="YN70" s="10"/>
      <c r="YO70" s="10"/>
      <c r="YP70" s="10"/>
      <c r="YQ70" s="10"/>
      <c r="YR70" s="10"/>
      <c r="YS70" s="10"/>
      <c r="YT70" s="10"/>
      <c r="YU70" s="10"/>
      <c r="YV70" s="10"/>
      <c r="YW70" s="10"/>
      <c r="YX70" s="10"/>
      <c r="YY70" s="10"/>
      <c r="YZ70" s="10"/>
      <c r="ZA70" s="10"/>
      <c r="ZB70" s="10"/>
      <c r="ZC70" s="10"/>
      <c r="ZD70" s="10"/>
      <c r="ZE70" s="10"/>
      <c r="ZF70" s="10"/>
      <c r="ZG70" s="10"/>
      <c r="ZH70" s="10"/>
      <c r="ZI70" s="10"/>
      <c r="ZJ70" s="10"/>
      <c r="ZK70" s="10"/>
      <c r="ZL70" s="10"/>
      <c r="ZM70" s="10"/>
      <c r="ZN70" s="10"/>
      <c r="ZO70" s="10"/>
      <c r="ZP70" s="10"/>
      <c r="ZQ70" s="10"/>
      <c r="ZR70" s="10"/>
      <c r="ZS70" s="10"/>
      <c r="ZT70" s="10"/>
      <c r="ZU70" s="10"/>
      <c r="ZV70" s="10"/>
      <c r="ZW70" s="10"/>
      <c r="ZX70" s="10"/>
      <c r="ZY70" s="10"/>
      <c r="ZZ70" s="10"/>
      <c r="AAA70" s="10"/>
      <c r="AAB70" s="10"/>
      <c r="AAC70" s="10"/>
      <c r="AAD70" s="10"/>
      <c r="AAE70" s="10"/>
      <c r="AAF70" s="10"/>
      <c r="AAG70" s="10"/>
      <c r="AAH70" s="10"/>
      <c r="AAI70" s="10"/>
      <c r="AAJ70" s="10"/>
      <c r="AAK70" s="10"/>
      <c r="AAL70" s="10"/>
      <c r="AAM70" s="10"/>
      <c r="AAN70" s="10"/>
      <c r="AAO70" s="10"/>
      <c r="AAP70" s="10"/>
      <c r="AAQ70" s="10"/>
      <c r="AAR70" s="10"/>
      <c r="AAS70" s="10"/>
      <c r="AAT70" s="10"/>
      <c r="AAU70" s="10"/>
      <c r="AAV70" s="10"/>
      <c r="AAW70" s="10"/>
      <c r="AAX70" s="10"/>
      <c r="AAY70" s="10"/>
      <c r="AAZ70" s="10"/>
      <c r="ABA70" s="10"/>
      <c r="ABB70" s="10"/>
      <c r="ABC70" s="10"/>
      <c r="ABD70" s="10"/>
      <c r="ABE70" s="10"/>
      <c r="ABF70" s="10"/>
      <c r="ABG70" s="10"/>
      <c r="ABH70" s="10"/>
      <c r="ABI70" s="10"/>
      <c r="ABJ70" s="10"/>
      <c r="ABK70" s="10"/>
      <c r="ABL70" s="10"/>
    </row>
    <row r="71" spans="1:740" s="35" customFormat="1" x14ac:dyDescent="0.3">
      <c r="B71" s="36">
        <f t="shared" si="4"/>
        <v>3</v>
      </c>
      <c r="C71" s="37"/>
      <c r="D71" s="38" t="s">
        <v>1311</v>
      </c>
      <c r="E71" s="39" t="s">
        <v>1312</v>
      </c>
      <c r="F71" s="39"/>
      <c r="G71" s="40">
        <v>45075</v>
      </c>
      <c r="H71" s="40"/>
      <c r="I71" s="40"/>
      <c r="J71" s="39" t="s">
        <v>1302</v>
      </c>
      <c r="K71" s="39">
        <v>12</v>
      </c>
      <c r="L71" s="40">
        <v>45077</v>
      </c>
      <c r="M71" s="40">
        <f>EOMONTH(L71,K71)</f>
        <v>45443</v>
      </c>
      <c r="N71" s="41"/>
    </row>
    <row r="72" spans="1:740" s="21" customFormat="1" x14ac:dyDescent="0.3">
      <c r="A72" s="10"/>
      <c r="B72" s="13">
        <f t="shared" si="4"/>
        <v>0</v>
      </c>
      <c r="C72" s="16"/>
      <c r="D72" s="17" t="s">
        <v>1311</v>
      </c>
      <c r="E72" s="18"/>
      <c r="F72" s="19">
        <v>45273</v>
      </c>
      <c r="G72" s="18"/>
      <c r="H72" s="18"/>
      <c r="I72" s="18"/>
      <c r="J72" s="18" t="s">
        <v>1314</v>
      </c>
      <c r="K72" s="18"/>
      <c r="L72" s="18"/>
      <c r="M72" s="18"/>
      <c r="N72" s="44" t="s">
        <v>1337</v>
      </c>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c r="FZ72" s="10"/>
      <c r="GA72" s="10"/>
      <c r="GB72" s="10"/>
      <c r="GC72" s="10"/>
      <c r="GD72" s="10"/>
      <c r="GE72" s="10"/>
      <c r="GF72" s="10"/>
      <c r="GG72" s="10"/>
      <c r="GH72" s="10"/>
      <c r="GI72" s="10"/>
      <c r="GJ72" s="10"/>
      <c r="GK72" s="10"/>
      <c r="GL72" s="10"/>
      <c r="GM72" s="10"/>
      <c r="GN72" s="10"/>
      <c r="GO72" s="10"/>
      <c r="GP72" s="10"/>
      <c r="GQ72" s="10"/>
      <c r="GR72" s="10"/>
      <c r="GS72" s="10"/>
      <c r="GT72" s="10"/>
      <c r="GU72" s="10"/>
      <c r="GV72" s="10"/>
      <c r="GW72" s="10"/>
      <c r="GX72" s="10"/>
      <c r="GY72" s="10"/>
      <c r="GZ72" s="10"/>
      <c r="HA72" s="10"/>
      <c r="HB72" s="10"/>
      <c r="HC72" s="10"/>
      <c r="HD72" s="10"/>
      <c r="HE72" s="10"/>
      <c r="HF72" s="10"/>
      <c r="HG72" s="10"/>
      <c r="HH72" s="10"/>
      <c r="HI72" s="10"/>
      <c r="HJ72" s="10"/>
      <c r="HK72" s="10"/>
      <c r="HL72" s="10"/>
      <c r="HM72" s="10"/>
      <c r="HN72" s="10"/>
      <c r="HO72" s="10"/>
      <c r="HP72" s="10"/>
      <c r="HQ72" s="10"/>
      <c r="HR72" s="10"/>
      <c r="HS72" s="10"/>
      <c r="HT72" s="10"/>
      <c r="HU72" s="10"/>
      <c r="HV72" s="10"/>
      <c r="HW72" s="10"/>
      <c r="HX72" s="10"/>
      <c r="HY72" s="10"/>
      <c r="HZ72" s="10"/>
      <c r="IA72" s="10"/>
      <c r="IB72" s="10"/>
      <c r="IC72" s="10"/>
      <c r="ID72" s="10"/>
      <c r="IE72" s="10"/>
      <c r="IF72" s="10"/>
      <c r="IG72" s="10"/>
      <c r="IH72" s="10"/>
      <c r="II72" s="10"/>
      <c r="IJ72" s="10"/>
      <c r="IK72" s="10"/>
      <c r="IL72" s="10"/>
      <c r="IM72" s="10"/>
      <c r="IN72" s="10"/>
      <c r="IO72" s="10"/>
      <c r="IP72" s="10"/>
      <c r="IQ72" s="10"/>
      <c r="IR72" s="10"/>
      <c r="IS72" s="10"/>
      <c r="IT72" s="10"/>
      <c r="IU72" s="10"/>
      <c r="IV72" s="10"/>
      <c r="IW72" s="10"/>
      <c r="IX72" s="10"/>
      <c r="IY72" s="10"/>
      <c r="IZ72" s="10"/>
      <c r="JA72" s="10"/>
      <c r="JB72" s="10"/>
      <c r="JC72" s="10"/>
      <c r="JD72" s="10"/>
      <c r="JE72" s="10"/>
      <c r="JF72" s="10"/>
      <c r="JG72" s="10"/>
      <c r="JH72" s="10"/>
      <c r="JI72" s="10"/>
      <c r="JJ72" s="10"/>
      <c r="JK72" s="10"/>
      <c r="JL72" s="10"/>
      <c r="JM72" s="10"/>
      <c r="JN72" s="10"/>
      <c r="JO72" s="10"/>
      <c r="JP72" s="10"/>
      <c r="JQ72" s="10"/>
      <c r="JR72" s="10"/>
      <c r="JS72" s="10"/>
      <c r="JT72" s="10"/>
      <c r="JU72" s="10"/>
      <c r="JV72" s="10"/>
      <c r="JW72" s="10"/>
      <c r="JX72" s="10"/>
      <c r="JY72" s="10"/>
      <c r="JZ72" s="10"/>
      <c r="KA72" s="10"/>
      <c r="KB72" s="10"/>
      <c r="KC72" s="10"/>
      <c r="KD72" s="10"/>
      <c r="KE72" s="10"/>
      <c r="KF72" s="10"/>
      <c r="KG72" s="10"/>
      <c r="KH72" s="10"/>
      <c r="KI72" s="10"/>
      <c r="KJ72" s="10"/>
      <c r="KK72" s="10"/>
      <c r="KL72" s="10"/>
      <c r="KM72" s="10"/>
      <c r="KN72" s="10"/>
      <c r="KO72" s="10"/>
      <c r="KP72" s="10"/>
      <c r="KQ72" s="10"/>
      <c r="KR72" s="10"/>
      <c r="KS72" s="10"/>
      <c r="KT72" s="10"/>
      <c r="KU72" s="10"/>
      <c r="KV72" s="10"/>
      <c r="KW72" s="10"/>
      <c r="KX72" s="10"/>
      <c r="KY72" s="10"/>
      <c r="KZ72" s="10"/>
      <c r="LA72" s="10"/>
      <c r="LB72" s="10"/>
      <c r="LC72" s="10"/>
      <c r="LD72" s="10"/>
      <c r="LE72" s="10"/>
      <c r="LF72" s="10"/>
      <c r="LG72" s="10"/>
      <c r="LH72" s="10"/>
      <c r="LI72" s="10"/>
      <c r="LJ72" s="10"/>
      <c r="LK72" s="10"/>
      <c r="LL72" s="10"/>
      <c r="LM72" s="10"/>
      <c r="LN72" s="10"/>
      <c r="LO72" s="10"/>
      <c r="LP72" s="10"/>
      <c r="LQ72" s="10"/>
      <c r="LR72" s="10"/>
      <c r="LS72" s="10"/>
      <c r="LT72" s="10"/>
      <c r="LU72" s="10"/>
      <c r="LV72" s="10"/>
      <c r="LW72" s="10"/>
      <c r="LX72" s="10"/>
      <c r="LY72" s="10"/>
      <c r="LZ72" s="10"/>
      <c r="MA72" s="10"/>
      <c r="MB72" s="10"/>
      <c r="MC72" s="10"/>
      <c r="MD72" s="10"/>
      <c r="ME72" s="10"/>
      <c r="MF72" s="10"/>
      <c r="MG72" s="10"/>
      <c r="MH72" s="10"/>
      <c r="MI72" s="10"/>
      <c r="MJ72" s="10"/>
      <c r="MK72" s="10"/>
      <c r="ML72" s="10"/>
      <c r="MM72" s="10"/>
      <c r="MN72" s="10"/>
      <c r="MO72" s="10"/>
      <c r="MP72" s="10"/>
      <c r="MQ72" s="10"/>
      <c r="MR72" s="10"/>
      <c r="MS72" s="10"/>
      <c r="MT72" s="10"/>
      <c r="MU72" s="10"/>
      <c r="MV72" s="10"/>
      <c r="MW72" s="10"/>
      <c r="MX72" s="10"/>
      <c r="MY72" s="10"/>
      <c r="MZ72" s="10"/>
      <c r="NA72" s="10"/>
      <c r="NB72" s="10"/>
      <c r="NC72" s="10"/>
      <c r="ND72" s="10"/>
      <c r="NE72" s="10"/>
      <c r="NF72" s="10"/>
      <c r="NG72" s="10"/>
      <c r="NH72" s="10"/>
      <c r="NI72" s="10"/>
      <c r="NJ72" s="10"/>
      <c r="NK72" s="10"/>
      <c r="NL72" s="10"/>
      <c r="NM72" s="10"/>
      <c r="NN72" s="10"/>
      <c r="NO72" s="10"/>
      <c r="NP72" s="10"/>
      <c r="NQ72" s="10"/>
      <c r="NR72" s="10"/>
      <c r="NS72" s="10"/>
      <c r="NT72" s="10"/>
      <c r="NU72" s="10"/>
      <c r="NV72" s="10"/>
      <c r="NW72" s="10"/>
      <c r="NX72" s="10"/>
      <c r="NY72" s="10"/>
      <c r="NZ72" s="10"/>
      <c r="OA72" s="10"/>
      <c r="OB72" s="10"/>
      <c r="OC72" s="10"/>
      <c r="OD72" s="10"/>
      <c r="OE72" s="10"/>
      <c r="OF72" s="10"/>
      <c r="OG72" s="10"/>
      <c r="OH72" s="10"/>
      <c r="OI72" s="10"/>
      <c r="OJ72" s="10"/>
      <c r="OK72" s="10"/>
      <c r="OL72" s="10"/>
      <c r="OM72" s="10"/>
      <c r="ON72" s="10"/>
      <c r="OO72" s="10"/>
      <c r="OP72" s="10"/>
      <c r="OQ72" s="10"/>
      <c r="OR72" s="10"/>
      <c r="OS72" s="10"/>
      <c r="OT72" s="10"/>
      <c r="OU72" s="10"/>
      <c r="OV72" s="10"/>
      <c r="OW72" s="10"/>
      <c r="OX72" s="10"/>
      <c r="OY72" s="10"/>
      <c r="OZ72" s="10"/>
      <c r="PA72" s="10"/>
      <c r="PB72" s="10"/>
      <c r="PC72" s="10"/>
      <c r="PD72" s="10"/>
      <c r="PE72" s="10"/>
      <c r="PF72" s="10"/>
      <c r="PG72" s="10"/>
      <c r="PH72" s="10"/>
      <c r="PI72" s="10"/>
      <c r="PJ72" s="10"/>
      <c r="PK72" s="10"/>
      <c r="PL72" s="10"/>
      <c r="PM72" s="10"/>
      <c r="PN72" s="10"/>
      <c r="PO72" s="10"/>
      <c r="PP72" s="10"/>
      <c r="PQ72" s="10"/>
      <c r="PR72" s="10"/>
      <c r="PS72" s="10"/>
      <c r="PT72" s="10"/>
      <c r="PU72" s="10"/>
      <c r="PV72" s="10"/>
      <c r="PW72" s="10"/>
      <c r="PX72" s="10"/>
      <c r="PY72" s="10"/>
      <c r="PZ72" s="10"/>
      <c r="QA72" s="10"/>
      <c r="QB72" s="10"/>
      <c r="QC72" s="10"/>
      <c r="QD72" s="10"/>
      <c r="QE72" s="10"/>
      <c r="QF72" s="10"/>
      <c r="QG72" s="10"/>
      <c r="QH72" s="10"/>
      <c r="QI72" s="10"/>
      <c r="QJ72" s="10"/>
      <c r="QK72" s="10"/>
      <c r="QL72" s="10"/>
      <c r="QM72" s="10"/>
      <c r="QN72" s="10"/>
      <c r="QO72" s="10"/>
      <c r="QP72" s="10"/>
      <c r="QQ72" s="10"/>
      <c r="QR72" s="10"/>
      <c r="QS72" s="10"/>
      <c r="QT72" s="10"/>
      <c r="QU72" s="10"/>
      <c r="QV72" s="10"/>
      <c r="QW72" s="10"/>
      <c r="QX72" s="10"/>
      <c r="QY72" s="10"/>
      <c r="QZ72" s="10"/>
      <c r="RA72" s="10"/>
      <c r="RB72" s="10"/>
      <c r="RC72" s="10"/>
      <c r="RD72" s="10"/>
      <c r="RE72" s="10"/>
      <c r="RF72" s="10"/>
      <c r="RG72" s="10"/>
      <c r="RH72" s="10"/>
      <c r="RI72" s="10"/>
      <c r="RJ72" s="10"/>
      <c r="RK72" s="10"/>
      <c r="RL72" s="10"/>
      <c r="RM72" s="10"/>
      <c r="RN72" s="10"/>
      <c r="RO72" s="10"/>
      <c r="RP72" s="10"/>
      <c r="RQ72" s="10"/>
      <c r="RR72" s="10"/>
      <c r="RS72" s="10"/>
      <c r="RT72" s="10"/>
      <c r="RU72" s="10"/>
      <c r="RV72" s="10"/>
      <c r="RW72" s="10"/>
      <c r="RX72" s="10"/>
      <c r="RY72" s="10"/>
      <c r="RZ72" s="10"/>
      <c r="SA72" s="10"/>
      <c r="SB72" s="10"/>
      <c r="SC72" s="10"/>
      <c r="SD72" s="10"/>
      <c r="SE72" s="10"/>
      <c r="SF72" s="10"/>
      <c r="SG72" s="10"/>
      <c r="SH72" s="10"/>
      <c r="SI72" s="10"/>
      <c r="SJ72" s="10"/>
      <c r="SK72" s="10"/>
      <c r="SL72" s="10"/>
      <c r="SM72" s="10"/>
      <c r="SN72" s="10"/>
      <c r="SO72" s="10"/>
      <c r="SP72" s="10"/>
      <c r="SQ72" s="10"/>
      <c r="SR72" s="10"/>
      <c r="SS72" s="10"/>
      <c r="ST72" s="10"/>
      <c r="SU72" s="10"/>
      <c r="SV72" s="10"/>
      <c r="SW72" s="10"/>
      <c r="SX72" s="10"/>
      <c r="SY72" s="10"/>
      <c r="SZ72" s="10"/>
      <c r="TA72" s="10"/>
      <c r="TB72" s="10"/>
      <c r="TC72" s="10"/>
      <c r="TD72" s="10"/>
      <c r="TE72" s="10"/>
      <c r="TF72" s="10"/>
      <c r="TG72" s="10"/>
      <c r="TH72" s="10"/>
      <c r="TI72" s="10"/>
      <c r="TJ72" s="10"/>
      <c r="TK72" s="10"/>
      <c r="TL72" s="10"/>
      <c r="TM72" s="10"/>
      <c r="TN72" s="10"/>
      <c r="TO72" s="10"/>
      <c r="TP72" s="10"/>
      <c r="TQ72" s="10"/>
      <c r="TR72" s="10"/>
      <c r="TS72" s="10"/>
      <c r="TT72" s="10"/>
      <c r="TU72" s="10"/>
      <c r="TV72" s="10"/>
      <c r="TW72" s="10"/>
      <c r="TX72" s="10"/>
      <c r="TY72" s="10"/>
      <c r="TZ72" s="10"/>
      <c r="UA72" s="10"/>
      <c r="UB72" s="10"/>
      <c r="UC72" s="10"/>
      <c r="UD72" s="10"/>
      <c r="UE72" s="10"/>
      <c r="UF72" s="10"/>
      <c r="UG72" s="10"/>
      <c r="UH72" s="10"/>
      <c r="UI72" s="10"/>
      <c r="UJ72" s="10"/>
      <c r="UK72" s="10"/>
      <c r="UL72" s="10"/>
      <c r="UM72" s="10"/>
      <c r="UN72" s="10"/>
      <c r="UO72" s="10"/>
      <c r="UP72" s="10"/>
      <c r="UQ72" s="10"/>
      <c r="UR72" s="10"/>
      <c r="US72" s="10"/>
      <c r="UT72" s="10"/>
      <c r="UU72" s="10"/>
      <c r="UV72" s="10"/>
      <c r="UW72" s="10"/>
      <c r="UX72" s="10"/>
      <c r="UY72" s="10"/>
      <c r="UZ72" s="10"/>
      <c r="VA72" s="10"/>
      <c r="VB72" s="10"/>
      <c r="VC72" s="10"/>
      <c r="VD72" s="10"/>
      <c r="VE72" s="10"/>
      <c r="VF72" s="10"/>
      <c r="VG72" s="10"/>
      <c r="VH72" s="10"/>
      <c r="VI72" s="10"/>
      <c r="VJ72" s="10"/>
      <c r="VK72" s="10"/>
      <c r="VL72" s="10"/>
      <c r="VM72" s="10"/>
      <c r="VN72" s="10"/>
      <c r="VO72" s="10"/>
      <c r="VP72" s="10"/>
      <c r="VQ72" s="10"/>
      <c r="VR72" s="10"/>
      <c r="VS72" s="10"/>
      <c r="VT72" s="10"/>
      <c r="VU72" s="10"/>
      <c r="VV72" s="10"/>
      <c r="VW72" s="10"/>
      <c r="VX72" s="10"/>
      <c r="VY72" s="10"/>
      <c r="VZ72" s="10"/>
      <c r="WA72" s="10"/>
      <c r="WB72" s="10"/>
      <c r="WC72" s="10"/>
      <c r="WD72" s="10"/>
      <c r="WE72" s="10"/>
      <c r="WF72" s="10"/>
      <c r="WG72" s="10"/>
      <c r="WH72" s="10"/>
      <c r="WI72" s="10"/>
      <c r="WJ72" s="10"/>
      <c r="WK72" s="10"/>
      <c r="WL72" s="10"/>
      <c r="WM72" s="10"/>
      <c r="WN72" s="10"/>
      <c r="WO72" s="10"/>
      <c r="WP72" s="10"/>
      <c r="WQ72" s="10"/>
      <c r="WR72" s="10"/>
      <c r="WS72" s="10"/>
      <c r="WT72" s="10"/>
      <c r="WU72" s="10"/>
      <c r="WV72" s="10"/>
      <c r="WW72" s="10"/>
      <c r="WX72" s="10"/>
      <c r="WY72" s="10"/>
      <c r="WZ72" s="10"/>
      <c r="XA72" s="10"/>
      <c r="XB72" s="10"/>
      <c r="XC72" s="10"/>
      <c r="XD72" s="10"/>
      <c r="XE72" s="10"/>
      <c r="XF72" s="10"/>
      <c r="XG72" s="10"/>
      <c r="XH72" s="10"/>
      <c r="XI72" s="10"/>
      <c r="XJ72" s="10"/>
      <c r="XK72" s="10"/>
      <c r="XL72" s="10"/>
      <c r="XM72" s="10"/>
      <c r="XN72" s="10"/>
      <c r="XO72" s="10"/>
      <c r="XP72" s="10"/>
      <c r="XQ72" s="10"/>
      <c r="XR72" s="10"/>
      <c r="XS72" s="10"/>
      <c r="XT72" s="10"/>
      <c r="XU72" s="10"/>
      <c r="XV72" s="10"/>
      <c r="XW72" s="10"/>
      <c r="XX72" s="10"/>
      <c r="XY72" s="10"/>
      <c r="XZ72" s="10"/>
      <c r="YA72" s="10"/>
      <c r="YB72" s="10"/>
      <c r="YC72" s="10"/>
      <c r="YD72" s="10"/>
      <c r="YE72" s="10"/>
      <c r="YF72" s="10"/>
      <c r="YG72" s="10"/>
      <c r="YH72" s="10"/>
      <c r="YI72" s="10"/>
      <c r="YJ72" s="10"/>
      <c r="YK72" s="10"/>
      <c r="YL72" s="10"/>
      <c r="YM72" s="10"/>
      <c r="YN72" s="10"/>
      <c r="YO72" s="10"/>
      <c r="YP72" s="10"/>
      <c r="YQ72" s="10"/>
      <c r="YR72" s="10"/>
      <c r="YS72" s="10"/>
      <c r="YT72" s="10"/>
      <c r="YU72" s="10"/>
      <c r="YV72" s="10"/>
      <c r="YW72" s="10"/>
      <c r="YX72" s="10"/>
      <c r="YY72" s="10"/>
      <c r="YZ72" s="10"/>
      <c r="ZA72" s="10"/>
      <c r="ZB72" s="10"/>
      <c r="ZC72" s="10"/>
      <c r="ZD72" s="10"/>
      <c r="ZE72" s="10"/>
      <c r="ZF72" s="10"/>
      <c r="ZG72" s="10"/>
      <c r="ZH72" s="10"/>
      <c r="ZI72" s="10"/>
      <c r="ZJ72" s="10"/>
      <c r="ZK72" s="10"/>
      <c r="ZL72" s="10"/>
      <c r="ZM72" s="10"/>
      <c r="ZN72" s="10"/>
      <c r="ZO72" s="10"/>
      <c r="ZP72" s="10"/>
      <c r="ZQ72" s="10"/>
      <c r="ZR72" s="10"/>
      <c r="ZS72" s="10"/>
      <c r="ZT72" s="10"/>
      <c r="ZU72" s="10"/>
      <c r="ZV72" s="10"/>
      <c r="ZW72" s="10"/>
      <c r="ZX72" s="10"/>
      <c r="ZY72" s="10"/>
      <c r="ZZ72" s="10"/>
      <c r="AAA72" s="10"/>
      <c r="AAB72" s="10"/>
      <c r="AAC72" s="10"/>
      <c r="AAD72" s="10"/>
      <c r="AAE72" s="10"/>
      <c r="AAF72" s="10"/>
      <c r="AAG72" s="10"/>
      <c r="AAH72" s="10"/>
      <c r="AAI72" s="10"/>
      <c r="AAJ72" s="10"/>
      <c r="AAK72" s="10"/>
      <c r="AAL72" s="10"/>
      <c r="AAM72" s="10"/>
      <c r="AAN72" s="10"/>
      <c r="AAO72" s="10"/>
      <c r="AAP72" s="10"/>
      <c r="AAQ72" s="10"/>
      <c r="AAR72" s="10"/>
      <c r="AAS72" s="10"/>
      <c r="AAT72" s="10"/>
      <c r="AAU72" s="10"/>
      <c r="AAV72" s="10"/>
      <c r="AAW72" s="10"/>
      <c r="AAX72" s="10"/>
      <c r="AAY72" s="10"/>
      <c r="AAZ72" s="10"/>
      <c r="ABA72" s="10"/>
      <c r="ABB72" s="10"/>
      <c r="ABC72" s="10"/>
      <c r="ABD72" s="10"/>
      <c r="ABE72" s="10"/>
      <c r="ABF72" s="10"/>
      <c r="ABG72" s="10"/>
      <c r="ABH72" s="10"/>
      <c r="ABI72" s="10"/>
      <c r="ABJ72" s="10"/>
      <c r="ABK72" s="10"/>
      <c r="ABL72" s="10"/>
    </row>
    <row r="73" spans="1:740" s="21" customFormat="1" x14ac:dyDescent="0.3">
      <c r="A73" s="10"/>
      <c r="B73" s="22">
        <f t="shared" si="4"/>
        <v>3</v>
      </c>
      <c r="C73" s="15"/>
      <c r="D73" s="23" t="s">
        <v>1311</v>
      </c>
      <c r="E73" s="24" t="s">
        <v>1312</v>
      </c>
      <c r="F73" s="24"/>
      <c r="G73" s="25">
        <v>45106</v>
      </c>
      <c r="H73" s="25"/>
      <c r="I73" s="25">
        <v>45140</v>
      </c>
      <c r="J73" s="24" t="s">
        <v>1302</v>
      </c>
      <c r="K73" s="24">
        <v>12</v>
      </c>
      <c r="L73" s="25">
        <v>45170</v>
      </c>
      <c r="M73" s="25">
        <f>EOMONTH(L73,K73)</f>
        <v>45565</v>
      </c>
      <c r="N73" s="26"/>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10"/>
      <c r="GF73" s="10"/>
      <c r="GG73" s="10"/>
      <c r="GH73" s="10"/>
      <c r="GI73" s="10"/>
      <c r="GJ73" s="10"/>
      <c r="GK73" s="10"/>
      <c r="GL73" s="10"/>
      <c r="GM73" s="10"/>
      <c r="GN73" s="10"/>
      <c r="GO73" s="10"/>
      <c r="GP73" s="10"/>
      <c r="GQ73" s="10"/>
      <c r="GR73" s="10"/>
      <c r="GS73" s="10"/>
      <c r="GT73" s="10"/>
      <c r="GU73" s="10"/>
      <c r="GV73" s="10"/>
      <c r="GW73" s="10"/>
      <c r="GX73" s="10"/>
      <c r="GY73" s="10"/>
      <c r="GZ73" s="10"/>
      <c r="HA73" s="10"/>
      <c r="HB73" s="10"/>
      <c r="HC73" s="10"/>
      <c r="HD73" s="10"/>
      <c r="HE73" s="10"/>
      <c r="HF73" s="10"/>
      <c r="HG73" s="10"/>
      <c r="HH73" s="10"/>
      <c r="HI73" s="10"/>
      <c r="HJ73" s="10"/>
      <c r="HK73" s="10"/>
      <c r="HL73" s="10"/>
      <c r="HM73" s="10"/>
      <c r="HN73" s="10"/>
      <c r="HO73" s="10"/>
      <c r="HP73" s="10"/>
      <c r="HQ73" s="10"/>
      <c r="HR73" s="10"/>
      <c r="HS73" s="10"/>
      <c r="HT73" s="10"/>
      <c r="HU73" s="10"/>
      <c r="HV73" s="10"/>
      <c r="HW73" s="10"/>
      <c r="HX73" s="10"/>
      <c r="HY73" s="10"/>
      <c r="HZ73" s="10"/>
      <c r="IA73" s="10"/>
      <c r="IB73" s="10"/>
      <c r="IC73" s="10"/>
      <c r="ID73" s="10"/>
      <c r="IE73" s="10"/>
      <c r="IF73" s="10"/>
      <c r="IG73" s="10"/>
      <c r="IH73" s="10"/>
      <c r="II73" s="10"/>
      <c r="IJ73" s="10"/>
      <c r="IK73" s="10"/>
      <c r="IL73" s="10"/>
      <c r="IM73" s="10"/>
      <c r="IN73" s="10"/>
      <c r="IO73" s="10"/>
      <c r="IP73" s="10"/>
      <c r="IQ73" s="10"/>
      <c r="IR73" s="10"/>
      <c r="IS73" s="10"/>
      <c r="IT73" s="10"/>
      <c r="IU73" s="10"/>
      <c r="IV73" s="10"/>
      <c r="IW73" s="10"/>
      <c r="IX73" s="10"/>
      <c r="IY73" s="10"/>
      <c r="IZ73" s="10"/>
      <c r="JA73" s="10"/>
      <c r="JB73" s="10"/>
      <c r="JC73" s="10"/>
      <c r="JD73" s="10"/>
      <c r="JE73" s="10"/>
      <c r="JF73" s="10"/>
      <c r="JG73" s="10"/>
      <c r="JH73" s="10"/>
      <c r="JI73" s="10"/>
      <c r="JJ73" s="10"/>
      <c r="JK73" s="10"/>
      <c r="JL73" s="10"/>
      <c r="JM73" s="10"/>
      <c r="JN73" s="10"/>
      <c r="JO73" s="10"/>
      <c r="JP73" s="10"/>
      <c r="JQ73" s="10"/>
      <c r="JR73" s="10"/>
      <c r="JS73" s="10"/>
      <c r="JT73" s="10"/>
      <c r="JU73" s="10"/>
      <c r="JV73" s="10"/>
      <c r="JW73" s="10"/>
      <c r="JX73" s="10"/>
      <c r="JY73" s="10"/>
      <c r="JZ73" s="10"/>
      <c r="KA73" s="10"/>
      <c r="KB73" s="10"/>
      <c r="KC73" s="10"/>
      <c r="KD73" s="10"/>
      <c r="KE73" s="10"/>
      <c r="KF73" s="10"/>
      <c r="KG73" s="10"/>
      <c r="KH73" s="10"/>
      <c r="KI73" s="10"/>
      <c r="KJ73" s="10"/>
      <c r="KK73" s="10"/>
      <c r="KL73" s="10"/>
      <c r="KM73" s="10"/>
      <c r="KN73" s="10"/>
      <c r="KO73" s="10"/>
      <c r="KP73" s="10"/>
      <c r="KQ73" s="10"/>
      <c r="KR73" s="10"/>
      <c r="KS73" s="10"/>
      <c r="KT73" s="10"/>
      <c r="KU73" s="10"/>
      <c r="KV73" s="10"/>
      <c r="KW73" s="10"/>
      <c r="KX73" s="10"/>
      <c r="KY73" s="10"/>
      <c r="KZ73" s="10"/>
      <c r="LA73" s="10"/>
      <c r="LB73" s="10"/>
      <c r="LC73" s="10"/>
      <c r="LD73" s="10"/>
      <c r="LE73" s="10"/>
      <c r="LF73" s="10"/>
      <c r="LG73" s="10"/>
      <c r="LH73" s="10"/>
      <c r="LI73" s="10"/>
      <c r="LJ73" s="10"/>
      <c r="LK73" s="10"/>
      <c r="LL73" s="10"/>
      <c r="LM73" s="10"/>
      <c r="LN73" s="10"/>
      <c r="LO73" s="10"/>
      <c r="LP73" s="10"/>
      <c r="LQ73" s="10"/>
      <c r="LR73" s="10"/>
      <c r="LS73" s="10"/>
      <c r="LT73" s="10"/>
      <c r="LU73" s="10"/>
      <c r="LV73" s="10"/>
      <c r="LW73" s="10"/>
      <c r="LX73" s="10"/>
      <c r="LY73" s="10"/>
      <c r="LZ73" s="10"/>
      <c r="MA73" s="10"/>
      <c r="MB73" s="10"/>
      <c r="MC73" s="10"/>
      <c r="MD73" s="10"/>
      <c r="ME73" s="10"/>
      <c r="MF73" s="10"/>
      <c r="MG73" s="10"/>
      <c r="MH73" s="10"/>
      <c r="MI73" s="10"/>
      <c r="MJ73" s="10"/>
      <c r="MK73" s="10"/>
      <c r="ML73" s="10"/>
      <c r="MM73" s="10"/>
      <c r="MN73" s="10"/>
      <c r="MO73" s="10"/>
      <c r="MP73" s="10"/>
      <c r="MQ73" s="10"/>
      <c r="MR73" s="10"/>
      <c r="MS73" s="10"/>
      <c r="MT73" s="10"/>
      <c r="MU73" s="10"/>
      <c r="MV73" s="10"/>
      <c r="MW73" s="10"/>
      <c r="MX73" s="10"/>
      <c r="MY73" s="10"/>
      <c r="MZ73" s="10"/>
      <c r="NA73" s="10"/>
      <c r="NB73" s="10"/>
      <c r="NC73" s="10"/>
      <c r="ND73" s="10"/>
      <c r="NE73" s="10"/>
      <c r="NF73" s="10"/>
      <c r="NG73" s="10"/>
      <c r="NH73" s="10"/>
      <c r="NI73" s="10"/>
      <c r="NJ73" s="10"/>
      <c r="NK73" s="10"/>
      <c r="NL73" s="10"/>
      <c r="NM73" s="10"/>
      <c r="NN73" s="10"/>
      <c r="NO73" s="10"/>
      <c r="NP73" s="10"/>
      <c r="NQ73" s="10"/>
      <c r="NR73" s="10"/>
      <c r="NS73" s="10"/>
      <c r="NT73" s="10"/>
      <c r="NU73" s="10"/>
      <c r="NV73" s="10"/>
      <c r="NW73" s="10"/>
      <c r="NX73" s="10"/>
      <c r="NY73" s="10"/>
      <c r="NZ73" s="10"/>
      <c r="OA73" s="10"/>
      <c r="OB73" s="10"/>
      <c r="OC73" s="10"/>
      <c r="OD73" s="10"/>
      <c r="OE73" s="10"/>
      <c r="OF73" s="10"/>
      <c r="OG73" s="10"/>
      <c r="OH73" s="10"/>
      <c r="OI73" s="10"/>
      <c r="OJ73" s="10"/>
      <c r="OK73" s="10"/>
      <c r="OL73" s="10"/>
      <c r="OM73" s="10"/>
      <c r="ON73" s="10"/>
      <c r="OO73" s="10"/>
      <c r="OP73" s="10"/>
      <c r="OQ73" s="10"/>
      <c r="OR73" s="10"/>
      <c r="OS73" s="10"/>
      <c r="OT73" s="10"/>
      <c r="OU73" s="10"/>
      <c r="OV73" s="10"/>
      <c r="OW73" s="10"/>
      <c r="OX73" s="10"/>
      <c r="OY73" s="10"/>
      <c r="OZ73" s="10"/>
      <c r="PA73" s="10"/>
      <c r="PB73" s="10"/>
      <c r="PC73" s="10"/>
      <c r="PD73" s="10"/>
      <c r="PE73" s="10"/>
      <c r="PF73" s="10"/>
      <c r="PG73" s="10"/>
      <c r="PH73" s="10"/>
      <c r="PI73" s="10"/>
      <c r="PJ73" s="10"/>
      <c r="PK73" s="10"/>
      <c r="PL73" s="10"/>
      <c r="PM73" s="10"/>
      <c r="PN73" s="10"/>
      <c r="PO73" s="10"/>
      <c r="PP73" s="10"/>
      <c r="PQ73" s="10"/>
      <c r="PR73" s="10"/>
      <c r="PS73" s="10"/>
      <c r="PT73" s="10"/>
      <c r="PU73" s="10"/>
      <c r="PV73" s="10"/>
      <c r="PW73" s="10"/>
      <c r="PX73" s="10"/>
      <c r="PY73" s="10"/>
      <c r="PZ73" s="10"/>
      <c r="QA73" s="10"/>
      <c r="QB73" s="10"/>
      <c r="QC73" s="10"/>
      <c r="QD73" s="10"/>
      <c r="QE73" s="10"/>
      <c r="QF73" s="10"/>
      <c r="QG73" s="10"/>
      <c r="QH73" s="10"/>
      <c r="QI73" s="10"/>
      <c r="QJ73" s="10"/>
      <c r="QK73" s="10"/>
      <c r="QL73" s="10"/>
      <c r="QM73" s="10"/>
      <c r="QN73" s="10"/>
      <c r="QO73" s="10"/>
      <c r="QP73" s="10"/>
      <c r="QQ73" s="10"/>
      <c r="QR73" s="10"/>
      <c r="QS73" s="10"/>
      <c r="QT73" s="10"/>
      <c r="QU73" s="10"/>
      <c r="QV73" s="10"/>
      <c r="QW73" s="10"/>
      <c r="QX73" s="10"/>
      <c r="QY73" s="10"/>
      <c r="QZ73" s="10"/>
      <c r="RA73" s="10"/>
      <c r="RB73" s="10"/>
      <c r="RC73" s="10"/>
      <c r="RD73" s="10"/>
      <c r="RE73" s="10"/>
      <c r="RF73" s="10"/>
      <c r="RG73" s="10"/>
      <c r="RH73" s="10"/>
      <c r="RI73" s="10"/>
      <c r="RJ73" s="10"/>
      <c r="RK73" s="10"/>
      <c r="RL73" s="10"/>
      <c r="RM73" s="10"/>
      <c r="RN73" s="10"/>
      <c r="RO73" s="10"/>
      <c r="RP73" s="10"/>
      <c r="RQ73" s="10"/>
      <c r="RR73" s="10"/>
      <c r="RS73" s="10"/>
      <c r="RT73" s="10"/>
      <c r="RU73" s="10"/>
      <c r="RV73" s="10"/>
      <c r="RW73" s="10"/>
      <c r="RX73" s="10"/>
      <c r="RY73" s="10"/>
      <c r="RZ73" s="10"/>
      <c r="SA73" s="10"/>
      <c r="SB73" s="10"/>
      <c r="SC73" s="10"/>
      <c r="SD73" s="10"/>
      <c r="SE73" s="10"/>
      <c r="SF73" s="10"/>
      <c r="SG73" s="10"/>
      <c r="SH73" s="10"/>
      <c r="SI73" s="10"/>
      <c r="SJ73" s="10"/>
      <c r="SK73" s="10"/>
      <c r="SL73" s="10"/>
      <c r="SM73" s="10"/>
      <c r="SN73" s="10"/>
      <c r="SO73" s="10"/>
      <c r="SP73" s="10"/>
      <c r="SQ73" s="10"/>
      <c r="SR73" s="10"/>
      <c r="SS73" s="10"/>
      <c r="ST73" s="10"/>
      <c r="SU73" s="10"/>
      <c r="SV73" s="10"/>
      <c r="SW73" s="10"/>
      <c r="SX73" s="10"/>
      <c r="SY73" s="10"/>
      <c r="SZ73" s="10"/>
      <c r="TA73" s="10"/>
      <c r="TB73" s="10"/>
      <c r="TC73" s="10"/>
      <c r="TD73" s="10"/>
      <c r="TE73" s="10"/>
      <c r="TF73" s="10"/>
      <c r="TG73" s="10"/>
      <c r="TH73" s="10"/>
      <c r="TI73" s="10"/>
      <c r="TJ73" s="10"/>
      <c r="TK73" s="10"/>
      <c r="TL73" s="10"/>
      <c r="TM73" s="10"/>
      <c r="TN73" s="10"/>
      <c r="TO73" s="10"/>
      <c r="TP73" s="10"/>
      <c r="TQ73" s="10"/>
      <c r="TR73" s="10"/>
      <c r="TS73" s="10"/>
      <c r="TT73" s="10"/>
      <c r="TU73" s="10"/>
      <c r="TV73" s="10"/>
      <c r="TW73" s="10"/>
      <c r="TX73" s="10"/>
      <c r="TY73" s="10"/>
      <c r="TZ73" s="10"/>
      <c r="UA73" s="10"/>
      <c r="UB73" s="10"/>
      <c r="UC73" s="10"/>
      <c r="UD73" s="10"/>
      <c r="UE73" s="10"/>
      <c r="UF73" s="10"/>
      <c r="UG73" s="10"/>
      <c r="UH73" s="10"/>
      <c r="UI73" s="10"/>
      <c r="UJ73" s="10"/>
      <c r="UK73" s="10"/>
      <c r="UL73" s="10"/>
      <c r="UM73" s="10"/>
      <c r="UN73" s="10"/>
      <c r="UO73" s="10"/>
      <c r="UP73" s="10"/>
      <c r="UQ73" s="10"/>
      <c r="UR73" s="10"/>
      <c r="US73" s="10"/>
      <c r="UT73" s="10"/>
      <c r="UU73" s="10"/>
      <c r="UV73" s="10"/>
      <c r="UW73" s="10"/>
      <c r="UX73" s="10"/>
      <c r="UY73" s="10"/>
      <c r="UZ73" s="10"/>
      <c r="VA73" s="10"/>
      <c r="VB73" s="10"/>
      <c r="VC73" s="10"/>
      <c r="VD73" s="10"/>
      <c r="VE73" s="10"/>
      <c r="VF73" s="10"/>
      <c r="VG73" s="10"/>
      <c r="VH73" s="10"/>
      <c r="VI73" s="10"/>
      <c r="VJ73" s="10"/>
      <c r="VK73" s="10"/>
      <c r="VL73" s="10"/>
      <c r="VM73" s="10"/>
      <c r="VN73" s="10"/>
      <c r="VO73" s="10"/>
      <c r="VP73" s="10"/>
      <c r="VQ73" s="10"/>
      <c r="VR73" s="10"/>
      <c r="VS73" s="10"/>
      <c r="VT73" s="10"/>
      <c r="VU73" s="10"/>
      <c r="VV73" s="10"/>
      <c r="VW73" s="10"/>
      <c r="VX73" s="10"/>
      <c r="VY73" s="10"/>
      <c r="VZ73" s="10"/>
      <c r="WA73" s="10"/>
      <c r="WB73" s="10"/>
      <c r="WC73" s="10"/>
      <c r="WD73" s="10"/>
      <c r="WE73" s="10"/>
      <c r="WF73" s="10"/>
      <c r="WG73" s="10"/>
      <c r="WH73" s="10"/>
      <c r="WI73" s="10"/>
      <c r="WJ73" s="10"/>
      <c r="WK73" s="10"/>
      <c r="WL73" s="10"/>
      <c r="WM73" s="10"/>
      <c r="WN73" s="10"/>
      <c r="WO73" s="10"/>
      <c r="WP73" s="10"/>
      <c r="WQ73" s="10"/>
      <c r="WR73" s="10"/>
      <c r="WS73" s="10"/>
      <c r="WT73" s="10"/>
      <c r="WU73" s="10"/>
      <c r="WV73" s="10"/>
      <c r="WW73" s="10"/>
      <c r="WX73" s="10"/>
      <c r="WY73" s="10"/>
      <c r="WZ73" s="10"/>
      <c r="XA73" s="10"/>
      <c r="XB73" s="10"/>
      <c r="XC73" s="10"/>
      <c r="XD73" s="10"/>
      <c r="XE73" s="10"/>
      <c r="XF73" s="10"/>
      <c r="XG73" s="10"/>
      <c r="XH73" s="10"/>
      <c r="XI73" s="10"/>
      <c r="XJ73" s="10"/>
      <c r="XK73" s="10"/>
      <c r="XL73" s="10"/>
      <c r="XM73" s="10"/>
      <c r="XN73" s="10"/>
      <c r="XO73" s="10"/>
      <c r="XP73" s="10"/>
      <c r="XQ73" s="10"/>
      <c r="XR73" s="10"/>
      <c r="XS73" s="10"/>
      <c r="XT73" s="10"/>
      <c r="XU73" s="10"/>
      <c r="XV73" s="10"/>
      <c r="XW73" s="10"/>
      <c r="XX73" s="10"/>
      <c r="XY73" s="10"/>
      <c r="XZ73" s="10"/>
      <c r="YA73" s="10"/>
      <c r="YB73" s="10"/>
      <c r="YC73" s="10"/>
      <c r="YD73" s="10"/>
      <c r="YE73" s="10"/>
      <c r="YF73" s="10"/>
      <c r="YG73" s="10"/>
      <c r="YH73" s="10"/>
      <c r="YI73" s="10"/>
      <c r="YJ73" s="10"/>
      <c r="YK73" s="10"/>
      <c r="YL73" s="10"/>
      <c r="YM73" s="10"/>
      <c r="YN73" s="10"/>
      <c r="YO73" s="10"/>
      <c r="YP73" s="10"/>
      <c r="YQ73" s="10"/>
      <c r="YR73" s="10"/>
      <c r="YS73" s="10"/>
      <c r="YT73" s="10"/>
      <c r="YU73" s="10"/>
      <c r="YV73" s="10"/>
      <c r="YW73" s="10"/>
      <c r="YX73" s="10"/>
      <c r="YY73" s="10"/>
      <c r="YZ73" s="10"/>
      <c r="ZA73" s="10"/>
      <c r="ZB73" s="10"/>
      <c r="ZC73" s="10"/>
      <c r="ZD73" s="10"/>
      <c r="ZE73" s="10"/>
      <c r="ZF73" s="10"/>
      <c r="ZG73" s="10"/>
      <c r="ZH73" s="10"/>
      <c r="ZI73" s="10"/>
      <c r="ZJ73" s="10"/>
      <c r="ZK73" s="10"/>
      <c r="ZL73" s="10"/>
      <c r="ZM73" s="10"/>
      <c r="ZN73" s="10"/>
      <c r="ZO73" s="10"/>
      <c r="ZP73" s="10"/>
      <c r="ZQ73" s="10"/>
      <c r="ZR73" s="10"/>
      <c r="ZS73" s="10"/>
      <c r="ZT73" s="10"/>
      <c r="ZU73" s="10"/>
      <c r="ZV73" s="10"/>
      <c r="ZW73" s="10"/>
      <c r="ZX73" s="10"/>
      <c r="ZY73" s="10"/>
      <c r="ZZ73" s="10"/>
      <c r="AAA73" s="10"/>
      <c r="AAB73" s="10"/>
      <c r="AAC73" s="10"/>
      <c r="AAD73" s="10"/>
      <c r="AAE73" s="10"/>
      <c r="AAF73" s="10"/>
      <c r="AAG73" s="10"/>
      <c r="AAH73" s="10"/>
      <c r="AAI73" s="10"/>
      <c r="AAJ73" s="10"/>
      <c r="AAK73" s="10"/>
      <c r="AAL73" s="10"/>
      <c r="AAM73" s="10"/>
      <c r="AAN73" s="10"/>
      <c r="AAO73" s="10"/>
      <c r="AAP73" s="10"/>
      <c r="AAQ73" s="10"/>
      <c r="AAR73" s="10"/>
      <c r="AAS73" s="10"/>
      <c r="AAT73" s="10"/>
      <c r="AAU73" s="10"/>
      <c r="AAV73" s="10"/>
      <c r="AAW73" s="10"/>
      <c r="AAX73" s="10"/>
      <c r="AAY73" s="10"/>
      <c r="AAZ73" s="10"/>
      <c r="ABA73" s="10"/>
      <c r="ABB73" s="10"/>
      <c r="ABC73" s="10"/>
      <c r="ABD73" s="10"/>
      <c r="ABE73" s="10"/>
      <c r="ABF73" s="10"/>
      <c r="ABG73" s="10"/>
      <c r="ABH73" s="10"/>
      <c r="ABI73" s="10"/>
      <c r="ABJ73" s="10"/>
      <c r="ABK73" s="10"/>
      <c r="ABL73" s="10"/>
    </row>
    <row r="74" spans="1:740" s="35" customFormat="1" x14ac:dyDescent="0.3">
      <c r="B74" s="13">
        <f t="shared" si="4"/>
        <v>3</v>
      </c>
      <c r="C74" s="16"/>
      <c r="D74" s="17" t="s">
        <v>1311</v>
      </c>
      <c r="E74" s="18" t="s">
        <v>1312</v>
      </c>
      <c r="F74" s="18"/>
      <c r="G74" s="19">
        <v>45131</v>
      </c>
      <c r="H74" s="19"/>
      <c r="I74" s="19">
        <v>45141</v>
      </c>
      <c r="J74" s="18" t="s">
        <v>1302</v>
      </c>
      <c r="K74" s="18">
        <v>12</v>
      </c>
      <c r="L74" s="19">
        <v>45168</v>
      </c>
      <c r="M74" s="19">
        <f>EOMONTH(L74,K74)</f>
        <v>45535</v>
      </c>
      <c r="N74" s="20"/>
    </row>
    <row r="75" spans="1:740" s="21" customFormat="1" x14ac:dyDescent="0.3">
      <c r="A75" s="10"/>
      <c r="B75" s="22">
        <f t="shared" si="4"/>
        <v>3</v>
      </c>
      <c r="C75" s="15"/>
      <c r="D75" s="23" t="s">
        <v>1311</v>
      </c>
      <c r="E75" s="24" t="s">
        <v>1312</v>
      </c>
      <c r="F75" s="24"/>
      <c r="G75" s="25">
        <v>45215</v>
      </c>
      <c r="H75" s="24"/>
      <c r="I75" s="24"/>
      <c r="J75" s="24" t="s">
        <v>1302</v>
      </c>
      <c r="K75" s="24">
        <v>12</v>
      </c>
      <c r="L75" s="25">
        <v>45247</v>
      </c>
      <c r="M75" s="25">
        <f>EOMONTH(L75,K75)</f>
        <v>45626</v>
      </c>
      <c r="N75" s="26"/>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c r="HX75" s="10"/>
      <c r="HY75" s="10"/>
      <c r="HZ75" s="10"/>
      <c r="IA75" s="10"/>
      <c r="IB75" s="10"/>
      <c r="IC75" s="10"/>
      <c r="ID75" s="10"/>
      <c r="IE75" s="10"/>
      <c r="IF75" s="10"/>
      <c r="IG75" s="10"/>
      <c r="IH75" s="10"/>
      <c r="II75" s="10"/>
      <c r="IJ75" s="10"/>
      <c r="IK75" s="10"/>
      <c r="IL75" s="10"/>
      <c r="IM75" s="10"/>
      <c r="IN75" s="10"/>
      <c r="IO75" s="10"/>
      <c r="IP75" s="10"/>
      <c r="IQ75" s="10"/>
      <c r="IR75" s="10"/>
      <c r="IS75" s="10"/>
      <c r="IT75" s="10"/>
      <c r="IU75" s="10"/>
      <c r="IV75" s="10"/>
      <c r="IW75" s="10"/>
      <c r="IX75" s="10"/>
      <c r="IY75" s="10"/>
      <c r="IZ75" s="10"/>
      <c r="JA75" s="10"/>
      <c r="JB75" s="10"/>
      <c r="JC75" s="10"/>
      <c r="JD75" s="10"/>
      <c r="JE75" s="10"/>
      <c r="JF75" s="10"/>
      <c r="JG75" s="10"/>
      <c r="JH75" s="10"/>
      <c r="JI75" s="10"/>
      <c r="JJ75" s="10"/>
      <c r="JK75" s="10"/>
      <c r="JL75" s="10"/>
      <c r="JM75" s="10"/>
      <c r="JN75" s="10"/>
      <c r="JO75" s="10"/>
      <c r="JP75" s="10"/>
      <c r="JQ75" s="10"/>
      <c r="JR75" s="10"/>
      <c r="JS75" s="10"/>
      <c r="JT75" s="10"/>
      <c r="JU75" s="10"/>
      <c r="JV75" s="10"/>
      <c r="JW75" s="10"/>
      <c r="JX75" s="10"/>
      <c r="JY75" s="10"/>
      <c r="JZ75" s="10"/>
      <c r="KA75" s="10"/>
      <c r="KB75" s="10"/>
      <c r="KC75" s="10"/>
      <c r="KD75" s="10"/>
      <c r="KE75" s="10"/>
      <c r="KF75" s="10"/>
      <c r="KG75" s="10"/>
      <c r="KH75" s="10"/>
      <c r="KI75" s="10"/>
      <c r="KJ75" s="10"/>
      <c r="KK75" s="10"/>
      <c r="KL75" s="10"/>
      <c r="KM75" s="10"/>
      <c r="KN75" s="10"/>
      <c r="KO75" s="10"/>
      <c r="KP75" s="10"/>
      <c r="KQ75" s="10"/>
      <c r="KR75" s="10"/>
      <c r="KS75" s="10"/>
      <c r="KT75" s="10"/>
      <c r="KU75" s="10"/>
      <c r="KV75" s="10"/>
      <c r="KW75" s="10"/>
      <c r="KX75" s="10"/>
      <c r="KY75" s="10"/>
      <c r="KZ75" s="10"/>
      <c r="LA75" s="10"/>
      <c r="LB75" s="10"/>
      <c r="LC75" s="10"/>
      <c r="LD75" s="10"/>
      <c r="LE75" s="10"/>
      <c r="LF75" s="10"/>
      <c r="LG75" s="10"/>
      <c r="LH75" s="10"/>
      <c r="LI75" s="10"/>
      <c r="LJ75" s="10"/>
      <c r="LK75" s="10"/>
      <c r="LL75" s="10"/>
      <c r="LM75" s="10"/>
      <c r="LN75" s="10"/>
      <c r="LO75" s="10"/>
      <c r="LP75" s="10"/>
      <c r="LQ75" s="10"/>
      <c r="LR75" s="10"/>
      <c r="LS75" s="10"/>
      <c r="LT75" s="10"/>
      <c r="LU75" s="10"/>
      <c r="LV75" s="10"/>
      <c r="LW75" s="10"/>
      <c r="LX75" s="10"/>
      <c r="LY75" s="10"/>
      <c r="LZ75" s="10"/>
      <c r="MA75" s="10"/>
      <c r="MB75" s="10"/>
      <c r="MC75" s="10"/>
      <c r="MD75" s="10"/>
      <c r="ME75" s="10"/>
      <c r="MF75" s="10"/>
      <c r="MG75" s="10"/>
      <c r="MH75" s="10"/>
      <c r="MI75" s="10"/>
      <c r="MJ75" s="10"/>
      <c r="MK75" s="10"/>
      <c r="ML75" s="10"/>
      <c r="MM75" s="10"/>
      <c r="MN75" s="10"/>
      <c r="MO75" s="10"/>
      <c r="MP75" s="10"/>
      <c r="MQ75" s="10"/>
      <c r="MR75" s="10"/>
      <c r="MS75" s="10"/>
      <c r="MT75" s="10"/>
      <c r="MU75" s="10"/>
      <c r="MV75" s="10"/>
      <c r="MW75" s="10"/>
      <c r="MX75" s="10"/>
      <c r="MY75" s="10"/>
      <c r="MZ75" s="10"/>
      <c r="NA75" s="10"/>
      <c r="NB75" s="10"/>
      <c r="NC75" s="10"/>
      <c r="ND75" s="10"/>
      <c r="NE75" s="10"/>
      <c r="NF75" s="10"/>
      <c r="NG75" s="10"/>
      <c r="NH75" s="10"/>
      <c r="NI75" s="10"/>
      <c r="NJ75" s="10"/>
      <c r="NK75" s="10"/>
      <c r="NL75" s="10"/>
      <c r="NM75" s="10"/>
      <c r="NN75" s="10"/>
      <c r="NO75" s="10"/>
      <c r="NP75" s="10"/>
      <c r="NQ75" s="10"/>
      <c r="NR75" s="10"/>
      <c r="NS75" s="10"/>
      <c r="NT75" s="10"/>
      <c r="NU75" s="10"/>
      <c r="NV75" s="10"/>
      <c r="NW75" s="10"/>
      <c r="NX75" s="10"/>
      <c r="NY75" s="10"/>
      <c r="NZ75" s="10"/>
      <c r="OA75" s="10"/>
      <c r="OB75" s="10"/>
      <c r="OC75" s="10"/>
      <c r="OD75" s="10"/>
      <c r="OE75" s="10"/>
      <c r="OF75" s="10"/>
      <c r="OG75" s="10"/>
      <c r="OH75" s="10"/>
      <c r="OI75" s="10"/>
      <c r="OJ75" s="10"/>
      <c r="OK75" s="10"/>
      <c r="OL75" s="10"/>
      <c r="OM75" s="10"/>
      <c r="ON75" s="10"/>
      <c r="OO75" s="10"/>
      <c r="OP75" s="10"/>
      <c r="OQ75" s="10"/>
      <c r="OR75" s="10"/>
      <c r="OS75" s="10"/>
      <c r="OT75" s="10"/>
      <c r="OU75" s="10"/>
      <c r="OV75" s="10"/>
      <c r="OW75" s="10"/>
      <c r="OX75" s="10"/>
      <c r="OY75" s="10"/>
      <c r="OZ75" s="10"/>
      <c r="PA75" s="10"/>
      <c r="PB75" s="10"/>
      <c r="PC75" s="10"/>
      <c r="PD75" s="10"/>
      <c r="PE75" s="10"/>
      <c r="PF75" s="10"/>
      <c r="PG75" s="10"/>
      <c r="PH75" s="10"/>
      <c r="PI75" s="10"/>
      <c r="PJ75" s="10"/>
      <c r="PK75" s="10"/>
      <c r="PL75" s="10"/>
      <c r="PM75" s="10"/>
      <c r="PN75" s="10"/>
      <c r="PO75" s="10"/>
      <c r="PP75" s="10"/>
      <c r="PQ75" s="10"/>
      <c r="PR75" s="10"/>
      <c r="PS75" s="10"/>
      <c r="PT75" s="10"/>
      <c r="PU75" s="10"/>
      <c r="PV75" s="10"/>
      <c r="PW75" s="10"/>
      <c r="PX75" s="10"/>
      <c r="PY75" s="10"/>
      <c r="PZ75" s="10"/>
      <c r="QA75" s="10"/>
      <c r="QB75" s="10"/>
      <c r="QC75" s="10"/>
      <c r="QD75" s="10"/>
      <c r="QE75" s="10"/>
      <c r="QF75" s="10"/>
      <c r="QG75" s="10"/>
      <c r="QH75" s="10"/>
      <c r="QI75" s="10"/>
      <c r="QJ75" s="10"/>
      <c r="QK75" s="10"/>
      <c r="QL75" s="10"/>
      <c r="QM75" s="10"/>
      <c r="QN75" s="10"/>
      <c r="QO75" s="10"/>
      <c r="QP75" s="10"/>
      <c r="QQ75" s="10"/>
      <c r="QR75" s="10"/>
      <c r="QS75" s="10"/>
      <c r="QT75" s="10"/>
      <c r="QU75" s="10"/>
      <c r="QV75" s="10"/>
      <c r="QW75" s="10"/>
      <c r="QX75" s="10"/>
      <c r="QY75" s="10"/>
      <c r="QZ75" s="10"/>
      <c r="RA75" s="10"/>
      <c r="RB75" s="10"/>
      <c r="RC75" s="10"/>
      <c r="RD75" s="10"/>
      <c r="RE75" s="10"/>
      <c r="RF75" s="10"/>
      <c r="RG75" s="10"/>
      <c r="RH75" s="10"/>
      <c r="RI75" s="10"/>
      <c r="RJ75" s="10"/>
      <c r="RK75" s="10"/>
      <c r="RL75" s="10"/>
      <c r="RM75" s="10"/>
      <c r="RN75" s="10"/>
      <c r="RO75" s="10"/>
      <c r="RP75" s="10"/>
      <c r="RQ75" s="10"/>
      <c r="RR75" s="10"/>
      <c r="RS75" s="10"/>
      <c r="RT75" s="10"/>
      <c r="RU75" s="10"/>
      <c r="RV75" s="10"/>
      <c r="RW75" s="10"/>
      <c r="RX75" s="10"/>
      <c r="RY75" s="10"/>
      <c r="RZ75" s="10"/>
      <c r="SA75" s="10"/>
      <c r="SB75" s="10"/>
      <c r="SC75" s="10"/>
      <c r="SD75" s="10"/>
      <c r="SE75" s="10"/>
      <c r="SF75" s="10"/>
      <c r="SG75" s="10"/>
      <c r="SH75" s="10"/>
      <c r="SI75" s="10"/>
      <c r="SJ75" s="10"/>
      <c r="SK75" s="10"/>
      <c r="SL75" s="10"/>
      <c r="SM75" s="10"/>
      <c r="SN75" s="10"/>
      <c r="SO75" s="10"/>
      <c r="SP75" s="10"/>
      <c r="SQ75" s="10"/>
      <c r="SR75" s="10"/>
      <c r="SS75" s="10"/>
      <c r="ST75" s="10"/>
      <c r="SU75" s="10"/>
      <c r="SV75" s="10"/>
      <c r="SW75" s="10"/>
      <c r="SX75" s="10"/>
      <c r="SY75" s="10"/>
      <c r="SZ75" s="10"/>
      <c r="TA75" s="10"/>
      <c r="TB75" s="10"/>
      <c r="TC75" s="10"/>
      <c r="TD75" s="10"/>
      <c r="TE75" s="10"/>
      <c r="TF75" s="10"/>
      <c r="TG75" s="10"/>
      <c r="TH75" s="10"/>
      <c r="TI75" s="10"/>
      <c r="TJ75" s="10"/>
      <c r="TK75" s="10"/>
      <c r="TL75" s="10"/>
      <c r="TM75" s="10"/>
      <c r="TN75" s="10"/>
      <c r="TO75" s="10"/>
      <c r="TP75" s="10"/>
      <c r="TQ75" s="10"/>
      <c r="TR75" s="10"/>
      <c r="TS75" s="10"/>
      <c r="TT75" s="10"/>
      <c r="TU75" s="10"/>
      <c r="TV75" s="10"/>
      <c r="TW75" s="10"/>
      <c r="TX75" s="10"/>
      <c r="TY75" s="10"/>
      <c r="TZ75" s="10"/>
      <c r="UA75" s="10"/>
      <c r="UB75" s="10"/>
      <c r="UC75" s="10"/>
      <c r="UD75" s="10"/>
      <c r="UE75" s="10"/>
      <c r="UF75" s="10"/>
      <c r="UG75" s="10"/>
      <c r="UH75" s="10"/>
      <c r="UI75" s="10"/>
      <c r="UJ75" s="10"/>
      <c r="UK75" s="10"/>
      <c r="UL75" s="10"/>
      <c r="UM75" s="10"/>
      <c r="UN75" s="10"/>
      <c r="UO75" s="10"/>
      <c r="UP75" s="10"/>
      <c r="UQ75" s="10"/>
      <c r="UR75" s="10"/>
      <c r="US75" s="10"/>
      <c r="UT75" s="10"/>
      <c r="UU75" s="10"/>
      <c r="UV75" s="10"/>
      <c r="UW75" s="10"/>
      <c r="UX75" s="10"/>
      <c r="UY75" s="10"/>
      <c r="UZ75" s="10"/>
      <c r="VA75" s="10"/>
      <c r="VB75" s="10"/>
      <c r="VC75" s="10"/>
      <c r="VD75" s="10"/>
      <c r="VE75" s="10"/>
      <c r="VF75" s="10"/>
      <c r="VG75" s="10"/>
      <c r="VH75" s="10"/>
      <c r="VI75" s="10"/>
      <c r="VJ75" s="10"/>
      <c r="VK75" s="10"/>
      <c r="VL75" s="10"/>
      <c r="VM75" s="10"/>
      <c r="VN75" s="10"/>
      <c r="VO75" s="10"/>
      <c r="VP75" s="10"/>
      <c r="VQ75" s="10"/>
      <c r="VR75" s="10"/>
      <c r="VS75" s="10"/>
      <c r="VT75" s="10"/>
      <c r="VU75" s="10"/>
      <c r="VV75" s="10"/>
      <c r="VW75" s="10"/>
      <c r="VX75" s="10"/>
      <c r="VY75" s="10"/>
      <c r="VZ75" s="10"/>
      <c r="WA75" s="10"/>
      <c r="WB75" s="10"/>
      <c r="WC75" s="10"/>
      <c r="WD75" s="10"/>
      <c r="WE75" s="10"/>
      <c r="WF75" s="10"/>
      <c r="WG75" s="10"/>
      <c r="WH75" s="10"/>
      <c r="WI75" s="10"/>
      <c r="WJ75" s="10"/>
      <c r="WK75" s="10"/>
      <c r="WL75" s="10"/>
      <c r="WM75" s="10"/>
      <c r="WN75" s="10"/>
      <c r="WO75" s="10"/>
      <c r="WP75" s="10"/>
      <c r="WQ75" s="10"/>
      <c r="WR75" s="10"/>
      <c r="WS75" s="10"/>
      <c r="WT75" s="10"/>
      <c r="WU75" s="10"/>
      <c r="WV75" s="10"/>
      <c r="WW75" s="10"/>
      <c r="WX75" s="10"/>
      <c r="WY75" s="10"/>
      <c r="WZ75" s="10"/>
      <c r="XA75" s="10"/>
      <c r="XB75" s="10"/>
      <c r="XC75" s="10"/>
      <c r="XD75" s="10"/>
      <c r="XE75" s="10"/>
      <c r="XF75" s="10"/>
      <c r="XG75" s="10"/>
      <c r="XH75" s="10"/>
      <c r="XI75" s="10"/>
      <c r="XJ75" s="10"/>
      <c r="XK75" s="10"/>
      <c r="XL75" s="10"/>
      <c r="XM75" s="10"/>
      <c r="XN75" s="10"/>
      <c r="XO75" s="10"/>
      <c r="XP75" s="10"/>
      <c r="XQ75" s="10"/>
      <c r="XR75" s="10"/>
      <c r="XS75" s="10"/>
      <c r="XT75" s="10"/>
      <c r="XU75" s="10"/>
      <c r="XV75" s="10"/>
      <c r="XW75" s="10"/>
      <c r="XX75" s="10"/>
      <c r="XY75" s="10"/>
      <c r="XZ75" s="10"/>
      <c r="YA75" s="10"/>
      <c r="YB75" s="10"/>
      <c r="YC75" s="10"/>
      <c r="YD75" s="10"/>
      <c r="YE75" s="10"/>
      <c r="YF75" s="10"/>
      <c r="YG75" s="10"/>
      <c r="YH75" s="10"/>
      <c r="YI75" s="10"/>
      <c r="YJ75" s="10"/>
      <c r="YK75" s="10"/>
      <c r="YL75" s="10"/>
      <c r="YM75" s="10"/>
      <c r="YN75" s="10"/>
      <c r="YO75" s="10"/>
      <c r="YP75" s="10"/>
      <c r="YQ75" s="10"/>
      <c r="YR75" s="10"/>
      <c r="YS75" s="10"/>
      <c r="YT75" s="10"/>
      <c r="YU75" s="10"/>
      <c r="YV75" s="10"/>
      <c r="YW75" s="10"/>
      <c r="YX75" s="10"/>
      <c r="YY75" s="10"/>
      <c r="YZ75" s="10"/>
      <c r="ZA75" s="10"/>
      <c r="ZB75" s="10"/>
      <c r="ZC75" s="10"/>
      <c r="ZD75" s="10"/>
      <c r="ZE75" s="10"/>
      <c r="ZF75" s="10"/>
      <c r="ZG75" s="10"/>
      <c r="ZH75" s="10"/>
      <c r="ZI75" s="10"/>
      <c r="ZJ75" s="10"/>
      <c r="ZK75" s="10"/>
      <c r="ZL75" s="10"/>
      <c r="ZM75" s="10"/>
      <c r="ZN75" s="10"/>
      <c r="ZO75" s="10"/>
      <c r="ZP75" s="10"/>
      <c r="ZQ75" s="10"/>
      <c r="ZR75" s="10"/>
      <c r="ZS75" s="10"/>
      <c r="ZT75" s="10"/>
      <c r="ZU75" s="10"/>
      <c r="ZV75" s="10"/>
      <c r="ZW75" s="10"/>
      <c r="ZX75" s="10"/>
      <c r="ZY75" s="10"/>
      <c r="ZZ75" s="10"/>
      <c r="AAA75" s="10"/>
      <c r="AAB75" s="10"/>
      <c r="AAC75" s="10"/>
      <c r="AAD75" s="10"/>
      <c r="AAE75" s="10"/>
      <c r="AAF75" s="10"/>
      <c r="AAG75" s="10"/>
      <c r="AAH75" s="10"/>
      <c r="AAI75" s="10"/>
      <c r="AAJ75" s="10"/>
      <c r="AAK75" s="10"/>
      <c r="AAL75" s="10"/>
      <c r="AAM75" s="10"/>
      <c r="AAN75" s="10"/>
      <c r="AAO75" s="10"/>
      <c r="AAP75" s="10"/>
      <c r="AAQ75" s="10"/>
      <c r="AAR75" s="10"/>
      <c r="AAS75" s="10"/>
      <c r="AAT75" s="10"/>
      <c r="AAU75" s="10"/>
      <c r="AAV75" s="10"/>
      <c r="AAW75" s="10"/>
      <c r="AAX75" s="10"/>
      <c r="AAY75" s="10"/>
      <c r="AAZ75" s="10"/>
      <c r="ABA75" s="10"/>
      <c r="ABB75" s="10"/>
      <c r="ABC75" s="10"/>
      <c r="ABD75" s="10"/>
      <c r="ABE75" s="10"/>
      <c r="ABF75" s="10"/>
      <c r="ABG75" s="10"/>
      <c r="ABH75" s="10"/>
      <c r="ABI75" s="10"/>
      <c r="ABJ75" s="10"/>
      <c r="ABK75" s="10"/>
      <c r="ABL75" s="10"/>
    </row>
    <row r="76" spans="1:740" s="35" customFormat="1" x14ac:dyDescent="0.3">
      <c r="B76" s="13">
        <f t="shared" si="4"/>
        <v>0</v>
      </c>
      <c r="C76" s="16"/>
      <c r="D76" s="17"/>
      <c r="E76" s="18"/>
      <c r="F76" s="19"/>
      <c r="G76" s="18"/>
      <c r="H76" s="18"/>
      <c r="I76" s="18"/>
      <c r="J76" s="18" t="s">
        <v>1314</v>
      </c>
      <c r="K76" s="18"/>
      <c r="L76" s="18"/>
      <c r="M76" s="18"/>
      <c r="N76" s="29"/>
    </row>
    <row r="77" spans="1:740" s="21" customFormat="1" x14ac:dyDescent="0.3">
      <c r="A77" s="10"/>
      <c r="B77" s="22">
        <f t="shared" si="4"/>
        <v>0</v>
      </c>
      <c r="C77" s="15"/>
      <c r="D77" s="23" t="s">
        <v>1311</v>
      </c>
      <c r="E77" s="24"/>
      <c r="F77" s="25">
        <v>45301</v>
      </c>
      <c r="G77" s="24"/>
      <c r="H77" s="24"/>
      <c r="I77" s="24"/>
      <c r="J77" s="24" t="s">
        <v>1314</v>
      </c>
      <c r="K77" s="24"/>
      <c r="L77" s="24"/>
      <c r="M77" s="24"/>
      <c r="N77" s="44" t="s">
        <v>1338</v>
      </c>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10"/>
      <c r="HH77" s="10"/>
      <c r="HI77" s="10"/>
      <c r="HJ77" s="10"/>
      <c r="HK77" s="10"/>
      <c r="HL77" s="10"/>
      <c r="HM77" s="10"/>
      <c r="HN77" s="10"/>
      <c r="HO77" s="10"/>
      <c r="HP77" s="10"/>
      <c r="HQ77" s="10"/>
      <c r="HR77" s="10"/>
      <c r="HS77" s="10"/>
      <c r="HT77" s="10"/>
      <c r="HU77" s="10"/>
      <c r="HV77" s="10"/>
      <c r="HW77" s="10"/>
      <c r="HX77" s="10"/>
      <c r="HY77" s="10"/>
      <c r="HZ77" s="10"/>
      <c r="IA77" s="10"/>
      <c r="IB77" s="10"/>
      <c r="IC77" s="10"/>
      <c r="ID77" s="10"/>
      <c r="IE77" s="10"/>
      <c r="IF77" s="10"/>
      <c r="IG77" s="10"/>
      <c r="IH77" s="10"/>
      <c r="II77" s="10"/>
      <c r="IJ77" s="10"/>
      <c r="IK77" s="10"/>
      <c r="IL77" s="10"/>
      <c r="IM77" s="10"/>
      <c r="IN77" s="10"/>
      <c r="IO77" s="10"/>
      <c r="IP77" s="10"/>
      <c r="IQ77" s="10"/>
      <c r="IR77" s="10"/>
      <c r="IS77" s="10"/>
      <c r="IT77" s="10"/>
      <c r="IU77" s="10"/>
      <c r="IV77" s="10"/>
      <c r="IW77" s="10"/>
      <c r="IX77" s="10"/>
      <c r="IY77" s="10"/>
      <c r="IZ77" s="10"/>
      <c r="JA77" s="10"/>
      <c r="JB77" s="10"/>
      <c r="JC77" s="10"/>
      <c r="JD77" s="10"/>
      <c r="JE77" s="10"/>
      <c r="JF77" s="10"/>
      <c r="JG77" s="10"/>
      <c r="JH77" s="10"/>
      <c r="JI77" s="10"/>
      <c r="JJ77" s="10"/>
      <c r="JK77" s="10"/>
      <c r="JL77" s="10"/>
      <c r="JM77" s="10"/>
      <c r="JN77" s="10"/>
      <c r="JO77" s="10"/>
      <c r="JP77" s="10"/>
      <c r="JQ77" s="10"/>
      <c r="JR77" s="10"/>
      <c r="JS77" s="10"/>
      <c r="JT77" s="10"/>
      <c r="JU77" s="10"/>
      <c r="JV77" s="10"/>
      <c r="JW77" s="10"/>
      <c r="JX77" s="10"/>
      <c r="JY77" s="10"/>
      <c r="JZ77" s="10"/>
      <c r="KA77" s="10"/>
      <c r="KB77" s="10"/>
      <c r="KC77" s="10"/>
      <c r="KD77" s="10"/>
      <c r="KE77" s="10"/>
      <c r="KF77" s="10"/>
      <c r="KG77" s="10"/>
      <c r="KH77" s="10"/>
      <c r="KI77" s="10"/>
      <c r="KJ77" s="10"/>
      <c r="KK77" s="10"/>
      <c r="KL77" s="10"/>
      <c r="KM77" s="10"/>
      <c r="KN77" s="10"/>
      <c r="KO77" s="10"/>
      <c r="KP77" s="10"/>
      <c r="KQ77" s="10"/>
      <c r="KR77" s="10"/>
      <c r="KS77" s="10"/>
      <c r="KT77" s="10"/>
      <c r="KU77" s="10"/>
      <c r="KV77" s="10"/>
      <c r="KW77" s="10"/>
      <c r="KX77" s="10"/>
      <c r="KY77" s="10"/>
      <c r="KZ77" s="10"/>
      <c r="LA77" s="10"/>
      <c r="LB77" s="10"/>
      <c r="LC77" s="10"/>
      <c r="LD77" s="10"/>
      <c r="LE77" s="10"/>
      <c r="LF77" s="10"/>
      <c r="LG77" s="10"/>
      <c r="LH77" s="10"/>
      <c r="LI77" s="10"/>
      <c r="LJ77" s="10"/>
      <c r="LK77" s="10"/>
      <c r="LL77" s="10"/>
      <c r="LM77" s="10"/>
      <c r="LN77" s="10"/>
      <c r="LO77" s="10"/>
      <c r="LP77" s="10"/>
      <c r="LQ77" s="10"/>
      <c r="LR77" s="10"/>
      <c r="LS77" s="10"/>
      <c r="LT77" s="10"/>
      <c r="LU77" s="10"/>
      <c r="LV77" s="10"/>
      <c r="LW77" s="10"/>
      <c r="LX77" s="10"/>
      <c r="LY77" s="10"/>
      <c r="LZ77" s="10"/>
      <c r="MA77" s="10"/>
      <c r="MB77" s="10"/>
      <c r="MC77" s="10"/>
      <c r="MD77" s="10"/>
      <c r="ME77" s="10"/>
      <c r="MF77" s="10"/>
      <c r="MG77" s="10"/>
      <c r="MH77" s="10"/>
      <c r="MI77" s="10"/>
      <c r="MJ77" s="10"/>
      <c r="MK77" s="10"/>
      <c r="ML77" s="10"/>
      <c r="MM77" s="10"/>
      <c r="MN77" s="10"/>
      <c r="MO77" s="10"/>
      <c r="MP77" s="10"/>
      <c r="MQ77" s="10"/>
      <c r="MR77" s="10"/>
      <c r="MS77" s="10"/>
      <c r="MT77" s="10"/>
      <c r="MU77" s="10"/>
      <c r="MV77" s="10"/>
      <c r="MW77" s="10"/>
      <c r="MX77" s="10"/>
      <c r="MY77" s="10"/>
      <c r="MZ77" s="10"/>
      <c r="NA77" s="10"/>
      <c r="NB77" s="10"/>
      <c r="NC77" s="10"/>
      <c r="ND77" s="10"/>
      <c r="NE77" s="10"/>
      <c r="NF77" s="10"/>
      <c r="NG77" s="10"/>
      <c r="NH77" s="10"/>
      <c r="NI77" s="10"/>
      <c r="NJ77" s="10"/>
      <c r="NK77" s="10"/>
      <c r="NL77" s="10"/>
      <c r="NM77" s="10"/>
      <c r="NN77" s="10"/>
      <c r="NO77" s="10"/>
      <c r="NP77" s="10"/>
      <c r="NQ77" s="10"/>
      <c r="NR77" s="10"/>
      <c r="NS77" s="10"/>
      <c r="NT77" s="10"/>
      <c r="NU77" s="10"/>
      <c r="NV77" s="10"/>
      <c r="NW77" s="10"/>
      <c r="NX77" s="10"/>
      <c r="NY77" s="10"/>
      <c r="NZ77" s="10"/>
      <c r="OA77" s="10"/>
      <c r="OB77" s="10"/>
      <c r="OC77" s="10"/>
      <c r="OD77" s="10"/>
      <c r="OE77" s="10"/>
      <c r="OF77" s="10"/>
      <c r="OG77" s="10"/>
      <c r="OH77" s="10"/>
      <c r="OI77" s="10"/>
      <c r="OJ77" s="10"/>
      <c r="OK77" s="10"/>
      <c r="OL77" s="10"/>
      <c r="OM77" s="10"/>
      <c r="ON77" s="10"/>
      <c r="OO77" s="10"/>
      <c r="OP77" s="10"/>
      <c r="OQ77" s="10"/>
      <c r="OR77" s="10"/>
      <c r="OS77" s="10"/>
      <c r="OT77" s="10"/>
      <c r="OU77" s="10"/>
      <c r="OV77" s="10"/>
      <c r="OW77" s="10"/>
      <c r="OX77" s="10"/>
      <c r="OY77" s="10"/>
      <c r="OZ77" s="10"/>
      <c r="PA77" s="10"/>
      <c r="PB77" s="10"/>
      <c r="PC77" s="10"/>
      <c r="PD77" s="10"/>
      <c r="PE77" s="10"/>
      <c r="PF77" s="10"/>
      <c r="PG77" s="10"/>
      <c r="PH77" s="10"/>
      <c r="PI77" s="10"/>
      <c r="PJ77" s="10"/>
      <c r="PK77" s="10"/>
      <c r="PL77" s="10"/>
      <c r="PM77" s="10"/>
      <c r="PN77" s="10"/>
      <c r="PO77" s="10"/>
      <c r="PP77" s="10"/>
      <c r="PQ77" s="10"/>
      <c r="PR77" s="10"/>
      <c r="PS77" s="10"/>
      <c r="PT77" s="10"/>
      <c r="PU77" s="10"/>
      <c r="PV77" s="10"/>
      <c r="PW77" s="10"/>
      <c r="PX77" s="10"/>
      <c r="PY77" s="10"/>
      <c r="PZ77" s="10"/>
      <c r="QA77" s="10"/>
      <c r="QB77" s="10"/>
      <c r="QC77" s="10"/>
      <c r="QD77" s="10"/>
      <c r="QE77" s="10"/>
      <c r="QF77" s="10"/>
      <c r="QG77" s="10"/>
      <c r="QH77" s="10"/>
      <c r="QI77" s="10"/>
      <c r="QJ77" s="10"/>
      <c r="QK77" s="10"/>
      <c r="QL77" s="10"/>
      <c r="QM77" s="10"/>
      <c r="QN77" s="10"/>
      <c r="QO77" s="10"/>
      <c r="QP77" s="10"/>
      <c r="QQ77" s="10"/>
      <c r="QR77" s="10"/>
      <c r="QS77" s="10"/>
      <c r="QT77" s="10"/>
      <c r="QU77" s="10"/>
      <c r="QV77" s="10"/>
      <c r="QW77" s="10"/>
      <c r="QX77" s="10"/>
      <c r="QY77" s="10"/>
      <c r="QZ77" s="10"/>
      <c r="RA77" s="10"/>
      <c r="RB77" s="10"/>
      <c r="RC77" s="10"/>
      <c r="RD77" s="10"/>
      <c r="RE77" s="10"/>
      <c r="RF77" s="10"/>
      <c r="RG77" s="10"/>
      <c r="RH77" s="10"/>
      <c r="RI77" s="10"/>
      <c r="RJ77" s="10"/>
      <c r="RK77" s="10"/>
      <c r="RL77" s="10"/>
      <c r="RM77" s="10"/>
      <c r="RN77" s="10"/>
      <c r="RO77" s="10"/>
      <c r="RP77" s="10"/>
      <c r="RQ77" s="10"/>
      <c r="RR77" s="10"/>
      <c r="RS77" s="10"/>
      <c r="RT77" s="10"/>
      <c r="RU77" s="10"/>
      <c r="RV77" s="10"/>
      <c r="RW77" s="10"/>
      <c r="RX77" s="10"/>
      <c r="RY77" s="10"/>
      <c r="RZ77" s="10"/>
      <c r="SA77" s="10"/>
      <c r="SB77" s="10"/>
      <c r="SC77" s="10"/>
      <c r="SD77" s="10"/>
      <c r="SE77" s="10"/>
      <c r="SF77" s="10"/>
      <c r="SG77" s="10"/>
      <c r="SH77" s="10"/>
      <c r="SI77" s="10"/>
      <c r="SJ77" s="10"/>
      <c r="SK77" s="10"/>
      <c r="SL77" s="10"/>
      <c r="SM77" s="10"/>
      <c r="SN77" s="10"/>
      <c r="SO77" s="10"/>
      <c r="SP77" s="10"/>
      <c r="SQ77" s="10"/>
      <c r="SR77" s="10"/>
      <c r="SS77" s="10"/>
      <c r="ST77" s="10"/>
      <c r="SU77" s="10"/>
      <c r="SV77" s="10"/>
      <c r="SW77" s="10"/>
      <c r="SX77" s="10"/>
      <c r="SY77" s="10"/>
      <c r="SZ77" s="10"/>
      <c r="TA77" s="10"/>
      <c r="TB77" s="10"/>
      <c r="TC77" s="10"/>
      <c r="TD77" s="10"/>
      <c r="TE77" s="10"/>
      <c r="TF77" s="10"/>
      <c r="TG77" s="10"/>
      <c r="TH77" s="10"/>
      <c r="TI77" s="10"/>
      <c r="TJ77" s="10"/>
      <c r="TK77" s="10"/>
      <c r="TL77" s="10"/>
      <c r="TM77" s="10"/>
      <c r="TN77" s="10"/>
      <c r="TO77" s="10"/>
      <c r="TP77" s="10"/>
      <c r="TQ77" s="10"/>
      <c r="TR77" s="10"/>
      <c r="TS77" s="10"/>
      <c r="TT77" s="10"/>
      <c r="TU77" s="10"/>
      <c r="TV77" s="10"/>
      <c r="TW77" s="10"/>
      <c r="TX77" s="10"/>
      <c r="TY77" s="10"/>
      <c r="TZ77" s="10"/>
      <c r="UA77" s="10"/>
      <c r="UB77" s="10"/>
      <c r="UC77" s="10"/>
      <c r="UD77" s="10"/>
      <c r="UE77" s="10"/>
      <c r="UF77" s="10"/>
      <c r="UG77" s="10"/>
      <c r="UH77" s="10"/>
      <c r="UI77" s="10"/>
      <c r="UJ77" s="10"/>
      <c r="UK77" s="10"/>
      <c r="UL77" s="10"/>
      <c r="UM77" s="10"/>
      <c r="UN77" s="10"/>
      <c r="UO77" s="10"/>
      <c r="UP77" s="10"/>
      <c r="UQ77" s="10"/>
      <c r="UR77" s="10"/>
      <c r="US77" s="10"/>
      <c r="UT77" s="10"/>
      <c r="UU77" s="10"/>
      <c r="UV77" s="10"/>
      <c r="UW77" s="10"/>
      <c r="UX77" s="10"/>
      <c r="UY77" s="10"/>
      <c r="UZ77" s="10"/>
      <c r="VA77" s="10"/>
      <c r="VB77" s="10"/>
      <c r="VC77" s="10"/>
      <c r="VD77" s="10"/>
      <c r="VE77" s="10"/>
      <c r="VF77" s="10"/>
      <c r="VG77" s="10"/>
      <c r="VH77" s="10"/>
      <c r="VI77" s="10"/>
      <c r="VJ77" s="10"/>
      <c r="VK77" s="10"/>
      <c r="VL77" s="10"/>
      <c r="VM77" s="10"/>
      <c r="VN77" s="10"/>
      <c r="VO77" s="10"/>
      <c r="VP77" s="10"/>
      <c r="VQ77" s="10"/>
      <c r="VR77" s="10"/>
      <c r="VS77" s="10"/>
      <c r="VT77" s="10"/>
      <c r="VU77" s="10"/>
      <c r="VV77" s="10"/>
      <c r="VW77" s="10"/>
      <c r="VX77" s="10"/>
      <c r="VY77" s="10"/>
      <c r="VZ77" s="10"/>
      <c r="WA77" s="10"/>
      <c r="WB77" s="10"/>
      <c r="WC77" s="10"/>
      <c r="WD77" s="10"/>
      <c r="WE77" s="10"/>
      <c r="WF77" s="10"/>
      <c r="WG77" s="10"/>
      <c r="WH77" s="10"/>
      <c r="WI77" s="10"/>
      <c r="WJ77" s="10"/>
      <c r="WK77" s="10"/>
      <c r="WL77" s="10"/>
      <c r="WM77" s="10"/>
      <c r="WN77" s="10"/>
      <c r="WO77" s="10"/>
      <c r="WP77" s="10"/>
      <c r="WQ77" s="10"/>
      <c r="WR77" s="10"/>
      <c r="WS77" s="10"/>
      <c r="WT77" s="10"/>
      <c r="WU77" s="10"/>
      <c r="WV77" s="10"/>
      <c r="WW77" s="10"/>
      <c r="WX77" s="10"/>
      <c r="WY77" s="10"/>
      <c r="WZ77" s="10"/>
      <c r="XA77" s="10"/>
      <c r="XB77" s="10"/>
      <c r="XC77" s="10"/>
      <c r="XD77" s="10"/>
      <c r="XE77" s="10"/>
      <c r="XF77" s="10"/>
      <c r="XG77" s="10"/>
      <c r="XH77" s="10"/>
      <c r="XI77" s="10"/>
      <c r="XJ77" s="10"/>
      <c r="XK77" s="10"/>
      <c r="XL77" s="10"/>
      <c r="XM77" s="10"/>
      <c r="XN77" s="10"/>
      <c r="XO77" s="10"/>
      <c r="XP77" s="10"/>
      <c r="XQ77" s="10"/>
      <c r="XR77" s="10"/>
      <c r="XS77" s="10"/>
      <c r="XT77" s="10"/>
      <c r="XU77" s="10"/>
      <c r="XV77" s="10"/>
      <c r="XW77" s="10"/>
      <c r="XX77" s="10"/>
      <c r="XY77" s="10"/>
      <c r="XZ77" s="10"/>
      <c r="YA77" s="10"/>
      <c r="YB77" s="10"/>
      <c r="YC77" s="10"/>
      <c r="YD77" s="10"/>
      <c r="YE77" s="10"/>
      <c r="YF77" s="10"/>
      <c r="YG77" s="10"/>
      <c r="YH77" s="10"/>
      <c r="YI77" s="10"/>
      <c r="YJ77" s="10"/>
      <c r="YK77" s="10"/>
      <c r="YL77" s="10"/>
      <c r="YM77" s="10"/>
      <c r="YN77" s="10"/>
      <c r="YO77" s="10"/>
      <c r="YP77" s="10"/>
      <c r="YQ77" s="10"/>
      <c r="YR77" s="10"/>
      <c r="YS77" s="10"/>
      <c r="YT77" s="10"/>
      <c r="YU77" s="10"/>
      <c r="YV77" s="10"/>
      <c r="YW77" s="10"/>
      <c r="YX77" s="10"/>
      <c r="YY77" s="10"/>
      <c r="YZ77" s="10"/>
      <c r="ZA77" s="10"/>
      <c r="ZB77" s="10"/>
      <c r="ZC77" s="10"/>
      <c r="ZD77" s="10"/>
      <c r="ZE77" s="10"/>
      <c r="ZF77" s="10"/>
      <c r="ZG77" s="10"/>
      <c r="ZH77" s="10"/>
      <c r="ZI77" s="10"/>
      <c r="ZJ77" s="10"/>
      <c r="ZK77" s="10"/>
      <c r="ZL77" s="10"/>
      <c r="ZM77" s="10"/>
      <c r="ZN77" s="10"/>
      <c r="ZO77" s="10"/>
      <c r="ZP77" s="10"/>
      <c r="ZQ77" s="10"/>
      <c r="ZR77" s="10"/>
      <c r="ZS77" s="10"/>
      <c r="ZT77" s="10"/>
      <c r="ZU77" s="10"/>
      <c r="ZV77" s="10"/>
      <c r="ZW77" s="10"/>
      <c r="ZX77" s="10"/>
      <c r="ZY77" s="10"/>
      <c r="ZZ77" s="10"/>
      <c r="AAA77" s="10"/>
      <c r="AAB77" s="10"/>
      <c r="AAC77" s="10"/>
      <c r="AAD77" s="10"/>
      <c r="AAE77" s="10"/>
      <c r="AAF77" s="10"/>
      <c r="AAG77" s="10"/>
      <c r="AAH77" s="10"/>
      <c r="AAI77" s="10"/>
      <c r="AAJ77" s="10"/>
      <c r="AAK77" s="10"/>
      <c r="AAL77" s="10"/>
      <c r="AAM77" s="10"/>
      <c r="AAN77" s="10"/>
      <c r="AAO77" s="10"/>
      <c r="AAP77" s="10"/>
      <c r="AAQ77" s="10"/>
      <c r="AAR77" s="10"/>
      <c r="AAS77" s="10"/>
      <c r="AAT77" s="10"/>
      <c r="AAU77" s="10"/>
      <c r="AAV77" s="10"/>
      <c r="AAW77" s="10"/>
      <c r="AAX77" s="10"/>
      <c r="AAY77" s="10"/>
      <c r="AAZ77" s="10"/>
      <c r="ABA77" s="10"/>
      <c r="ABB77" s="10"/>
      <c r="ABC77" s="10"/>
      <c r="ABD77" s="10"/>
      <c r="ABE77" s="10"/>
      <c r="ABF77" s="10"/>
      <c r="ABG77" s="10"/>
      <c r="ABH77" s="10"/>
      <c r="ABI77" s="10"/>
      <c r="ABJ77" s="10"/>
      <c r="ABK77" s="10"/>
      <c r="ABL77" s="10"/>
    </row>
    <row r="78" spans="1:740" s="35" customFormat="1" x14ac:dyDescent="0.3">
      <c r="B78" s="13">
        <f t="shared" si="4"/>
        <v>3</v>
      </c>
      <c r="C78" s="16"/>
      <c r="D78" s="17" t="s">
        <v>1311</v>
      </c>
      <c r="E78" s="18" t="s">
        <v>1312</v>
      </c>
      <c r="F78" s="18"/>
      <c r="G78" s="18"/>
      <c r="H78" s="18"/>
      <c r="I78" s="18"/>
      <c r="J78" s="18" t="s">
        <v>1302</v>
      </c>
      <c r="K78" s="18">
        <v>12</v>
      </c>
      <c r="L78" s="19">
        <v>45196</v>
      </c>
      <c r="M78" s="19">
        <f>EOMONTH(L78,K78)</f>
        <v>45565</v>
      </c>
      <c r="N78" s="20"/>
    </row>
    <row r="79" spans="1:740" s="21" customFormat="1" x14ac:dyDescent="0.3">
      <c r="A79" s="10"/>
      <c r="B79" s="22">
        <f t="shared" si="4"/>
        <v>0</v>
      </c>
      <c r="C79" s="15"/>
      <c r="D79" s="23"/>
      <c r="E79" s="24"/>
      <c r="F79" s="24"/>
      <c r="G79" s="24"/>
      <c r="H79" s="24"/>
      <c r="I79" s="24"/>
      <c r="J79" s="24" t="s">
        <v>1314</v>
      </c>
      <c r="K79" s="24"/>
      <c r="L79" s="24"/>
      <c r="M79" s="24"/>
      <c r="N79" s="26"/>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10"/>
      <c r="GF79" s="10"/>
      <c r="GG79" s="10"/>
      <c r="GH79" s="10"/>
      <c r="GI79" s="10"/>
      <c r="GJ79" s="10"/>
      <c r="GK79" s="10"/>
      <c r="GL79" s="10"/>
      <c r="GM79" s="10"/>
      <c r="GN79" s="10"/>
      <c r="GO79" s="10"/>
      <c r="GP79" s="10"/>
      <c r="GQ79" s="10"/>
      <c r="GR79" s="10"/>
      <c r="GS79" s="10"/>
      <c r="GT79" s="10"/>
      <c r="GU79" s="10"/>
      <c r="GV79" s="10"/>
      <c r="GW79" s="10"/>
      <c r="GX79" s="10"/>
      <c r="GY79" s="10"/>
      <c r="GZ79" s="10"/>
      <c r="HA79" s="10"/>
      <c r="HB79" s="10"/>
      <c r="HC79" s="10"/>
      <c r="HD79" s="10"/>
      <c r="HE79" s="10"/>
      <c r="HF79" s="10"/>
      <c r="HG79" s="10"/>
      <c r="HH79" s="10"/>
      <c r="HI79" s="10"/>
      <c r="HJ79" s="10"/>
      <c r="HK79" s="10"/>
      <c r="HL79" s="10"/>
      <c r="HM79" s="10"/>
      <c r="HN79" s="10"/>
      <c r="HO79" s="10"/>
      <c r="HP79" s="10"/>
      <c r="HQ79" s="10"/>
      <c r="HR79" s="10"/>
      <c r="HS79" s="10"/>
      <c r="HT79" s="10"/>
      <c r="HU79" s="10"/>
      <c r="HV79" s="10"/>
      <c r="HW79" s="10"/>
      <c r="HX79" s="10"/>
      <c r="HY79" s="10"/>
      <c r="HZ79" s="10"/>
      <c r="IA79" s="10"/>
      <c r="IB79" s="10"/>
      <c r="IC79" s="10"/>
      <c r="ID79" s="10"/>
      <c r="IE79" s="10"/>
      <c r="IF79" s="10"/>
      <c r="IG79" s="10"/>
      <c r="IH79" s="10"/>
      <c r="II79" s="10"/>
      <c r="IJ79" s="10"/>
      <c r="IK79" s="10"/>
      <c r="IL79" s="10"/>
      <c r="IM79" s="10"/>
      <c r="IN79" s="10"/>
      <c r="IO79" s="10"/>
      <c r="IP79" s="10"/>
      <c r="IQ79" s="10"/>
      <c r="IR79" s="10"/>
      <c r="IS79" s="10"/>
      <c r="IT79" s="10"/>
      <c r="IU79" s="10"/>
      <c r="IV79" s="10"/>
      <c r="IW79" s="10"/>
      <c r="IX79" s="10"/>
      <c r="IY79" s="10"/>
      <c r="IZ79" s="10"/>
      <c r="JA79" s="10"/>
      <c r="JB79" s="10"/>
      <c r="JC79" s="10"/>
      <c r="JD79" s="10"/>
      <c r="JE79" s="10"/>
      <c r="JF79" s="10"/>
      <c r="JG79" s="10"/>
      <c r="JH79" s="10"/>
      <c r="JI79" s="10"/>
      <c r="JJ79" s="10"/>
      <c r="JK79" s="10"/>
      <c r="JL79" s="10"/>
      <c r="JM79" s="10"/>
      <c r="JN79" s="10"/>
      <c r="JO79" s="10"/>
      <c r="JP79" s="10"/>
      <c r="JQ79" s="10"/>
      <c r="JR79" s="10"/>
      <c r="JS79" s="10"/>
      <c r="JT79" s="10"/>
      <c r="JU79" s="10"/>
      <c r="JV79" s="10"/>
      <c r="JW79" s="10"/>
      <c r="JX79" s="10"/>
      <c r="JY79" s="10"/>
      <c r="JZ79" s="10"/>
      <c r="KA79" s="10"/>
      <c r="KB79" s="10"/>
      <c r="KC79" s="10"/>
      <c r="KD79" s="10"/>
      <c r="KE79" s="10"/>
      <c r="KF79" s="10"/>
      <c r="KG79" s="10"/>
      <c r="KH79" s="10"/>
      <c r="KI79" s="10"/>
      <c r="KJ79" s="10"/>
      <c r="KK79" s="10"/>
      <c r="KL79" s="10"/>
      <c r="KM79" s="10"/>
      <c r="KN79" s="10"/>
      <c r="KO79" s="10"/>
      <c r="KP79" s="10"/>
      <c r="KQ79" s="10"/>
      <c r="KR79" s="10"/>
      <c r="KS79" s="10"/>
      <c r="KT79" s="10"/>
      <c r="KU79" s="10"/>
      <c r="KV79" s="10"/>
      <c r="KW79" s="10"/>
      <c r="KX79" s="10"/>
      <c r="KY79" s="10"/>
      <c r="KZ79" s="10"/>
      <c r="LA79" s="10"/>
      <c r="LB79" s="10"/>
      <c r="LC79" s="10"/>
      <c r="LD79" s="10"/>
      <c r="LE79" s="10"/>
      <c r="LF79" s="10"/>
      <c r="LG79" s="10"/>
      <c r="LH79" s="10"/>
      <c r="LI79" s="10"/>
      <c r="LJ79" s="10"/>
      <c r="LK79" s="10"/>
      <c r="LL79" s="10"/>
      <c r="LM79" s="10"/>
      <c r="LN79" s="10"/>
      <c r="LO79" s="10"/>
      <c r="LP79" s="10"/>
      <c r="LQ79" s="10"/>
      <c r="LR79" s="10"/>
      <c r="LS79" s="10"/>
      <c r="LT79" s="10"/>
      <c r="LU79" s="10"/>
      <c r="LV79" s="10"/>
      <c r="LW79" s="10"/>
      <c r="LX79" s="10"/>
      <c r="LY79" s="10"/>
      <c r="LZ79" s="10"/>
      <c r="MA79" s="10"/>
      <c r="MB79" s="10"/>
      <c r="MC79" s="10"/>
      <c r="MD79" s="10"/>
      <c r="ME79" s="10"/>
      <c r="MF79" s="10"/>
      <c r="MG79" s="10"/>
      <c r="MH79" s="10"/>
      <c r="MI79" s="10"/>
      <c r="MJ79" s="10"/>
      <c r="MK79" s="10"/>
      <c r="ML79" s="10"/>
      <c r="MM79" s="10"/>
      <c r="MN79" s="10"/>
      <c r="MO79" s="10"/>
      <c r="MP79" s="10"/>
      <c r="MQ79" s="10"/>
      <c r="MR79" s="10"/>
      <c r="MS79" s="10"/>
      <c r="MT79" s="10"/>
      <c r="MU79" s="10"/>
      <c r="MV79" s="10"/>
      <c r="MW79" s="10"/>
      <c r="MX79" s="10"/>
      <c r="MY79" s="10"/>
      <c r="MZ79" s="10"/>
      <c r="NA79" s="10"/>
      <c r="NB79" s="10"/>
      <c r="NC79" s="10"/>
      <c r="ND79" s="10"/>
      <c r="NE79" s="10"/>
      <c r="NF79" s="10"/>
      <c r="NG79" s="10"/>
      <c r="NH79" s="10"/>
      <c r="NI79" s="10"/>
      <c r="NJ79" s="10"/>
      <c r="NK79" s="10"/>
      <c r="NL79" s="10"/>
      <c r="NM79" s="10"/>
      <c r="NN79" s="10"/>
      <c r="NO79" s="10"/>
      <c r="NP79" s="10"/>
      <c r="NQ79" s="10"/>
      <c r="NR79" s="10"/>
      <c r="NS79" s="10"/>
      <c r="NT79" s="10"/>
      <c r="NU79" s="10"/>
      <c r="NV79" s="10"/>
      <c r="NW79" s="10"/>
      <c r="NX79" s="10"/>
      <c r="NY79" s="10"/>
      <c r="NZ79" s="10"/>
      <c r="OA79" s="10"/>
      <c r="OB79" s="10"/>
      <c r="OC79" s="10"/>
      <c r="OD79" s="10"/>
      <c r="OE79" s="10"/>
      <c r="OF79" s="10"/>
      <c r="OG79" s="10"/>
      <c r="OH79" s="10"/>
      <c r="OI79" s="10"/>
      <c r="OJ79" s="10"/>
      <c r="OK79" s="10"/>
      <c r="OL79" s="10"/>
      <c r="OM79" s="10"/>
      <c r="ON79" s="10"/>
      <c r="OO79" s="10"/>
      <c r="OP79" s="10"/>
      <c r="OQ79" s="10"/>
      <c r="OR79" s="10"/>
      <c r="OS79" s="10"/>
      <c r="OT79" s="10"/>
      <c r="OU79" s="10"/>
      <c r="OV79" s="10"/>
      <c r="OW79" s="10"/>
      <c r="OX79" s="10"/>
      <c r="OY79" s="10"/>
      <c r="OZ79" s="10"/>
      <c r="PA79" s="10"/>
      <c r="PB79" s="10"/>
      <c r="PC79" s="10"/>
      <c r="PD79" s="10"/>
      <c r="PE79" s="10"/>
      <c r="PF79" s="10"/>
      <c r="PG79" s="10"/>
      <c r="PH79" s="10"/>
      <c r="PI79" s="10"/>
      <c r="PJ79" s="10"/>
      <c r="PK79" s="10"/>
      <c r="PL79" s="10"/>
      <c r="PM79" s="10"/>
      <c r="PN79" s="10"/>
      <c r="PO79" s="10"/>
      <c r="PP79" s="10"/>
      <c r="PQ79" s="10"/>
      <c r="PR79" s="10"/>
      <c r="PS79" s="10"/>
      <c r="PT79" s="10"/>
      <c r="PU79" s="10"/>
      <c r="PV79" s="10"/>
      <c r="PW79" s="10"/>
      <c r="PX79" s="10"/>
      <c r="PY79" s="10"/>
      <c r="PZ79" s="10"/>
      <c r="QA79" s="10"/>
      <c r="QB79" s="10"/>
      <c r="QC79" s="10"/>
      <c r="QD79" s="10"/>
      <c r="QE79" s="10"/>
      <c r="QF79" s="10"/>
      <c r="QG79" s="10"/>
      <c r="QH79" s="10"/>
      <c r="QI79" s="10"/>
      <c r="QJ79" s="10"/>
      <c r="QK79" s="10"/>
      <c r="QL79" s="10"/>
      <c r="QM79" s="10"/>
      <c r="QN79" s="10"/>
      <c r="QO79" s="10"/>
      <c r="QP79" s="10"/>
      <c r="QQ79" s="10"/>
      <c r="QR79" s="10"/>
      <c r="QS79" s="10"/>
      <c r="QT79" s="10"/>
      <c r="QU79" s="10"/>
      <c r="QV79" s="10"/>
      <c r="QW79" s="10"/>
      <c r="QX79" s="10"/>
      <c r="QY79" s="10"/>
      <c r="QZ79" s="10"/>
      <c r="RA79" s="10"/>
      <c r="RB79" s="10"/>
      <c r="RC79" s="10"/>
      <c r="RD79" s="10"/>
      <c r="RE79" s="10"/>
      <c r="RF79" s="10"/>
      <c r="RG79" s="10"/>
      <c r="RH79" s="10"/>
      <c r="RI79" s="10"/>
      <c r="RJ79" s="10"/>
      <c r="RK79" s="10"/>
      <c r="RL79" s="10"/>
      <c r="RM79" s="10"/>
      <c r="RN79" s="10"/>
      <c r="RO79" s="10"/>
      <c r="RP79" s="10"/>
      <c r="RQ79" s="10"/>
      <c r="RR79" s="10"/>
      <c r="RS79" s="10"/>
      <c r="RT79" s="10"/>
      <c r="RU79" s="10"/>
      <c r="RV79" s="10"/>
      <c r="RW79" s="10"/>
      <c r="RX79" s="10"/>
      <c r="RY79" s="10"/>
      <c r="RZ79" s="10"/>
      <c r="SA79" s="10"/>
      <c r="SB79" s="10"/>
      <c r="SC79" s="10"/>
      <c r="SD79" s="10"/>
      <c r="SE79" s="10"/>
      <c r="SF79" s="10"/>
      <c r="SG79" s="10"/>
      <c r="SH79" s="10"/>
      <c r="SI79" s="10"/>
      <c r="SJ79" s="10"/>
      <c r="SK79" s="10"/>
      <c r="SL79" s="10"/>
      <c r="SM79" s="10"/>
      <c r="SN79" s="10"/>
      <c r="SO79" s="10"/>
      <c r="SP79" s="10"/>
      <c r="SQ79" s="10"/>
      <c r="SR79" s="10"/>
      <c r="SS79" s="10"/>
      <c r="ST79" s="10"/>
      <c r="SU79" s="10"/>
      <c r="SV79" s="10"/>
      <c r="SW79" s="10"/>
      <c r="SX79" s="10"/>
      <c r="SY79" s="10"/>
      <c r="SZ79" s="10"/>
      <c r="TA79" s="10"/>
      <c r="TB79" s="10"/>
      <c r="TC79" s="10"/>
      <c r="TD79" s="10"/>
      <c r="TE79" s="10"/>
      <c r="TF79" s="10"/>
      <c r="TG79" s="10"/>
      <c r="TH79" s="10"/>
      <c r="TI79" s="10"/>
      <c r="TJ79" s="10"/>
      <c r="TK79" s="10"/>
      <c r="TL79" s="10"/>
      <c r="TM79" s="10"/>
      <c r="TN79" s="10"/>
      <c r="TO79" s="10"/>
      <c r="TP79" s="10"/>
      <c r="TQ79" s="10"/>
      <c r="TR79" s="10"/>
      <c r="TS79" s="10"/>
      <c r="TT79" s="10"/>
      <c r="TU79" s="10"/>
      <c r="TV79" s="10"/>
      <c r="TW79" s="10"/>
      <c r="TX79" s="10"/>
      <c r="TY79" s="10"/>
      <c r="TZ79" s="10"/>
      <c r="UA79" s="10"/>
      <c r="UB79" s="10"/>
      <c r="UC79" s="10"/>
      <c r="UD79" s="10"/>
      <c r="UE79" s="10"/>
      <c r="UF79" s="10"/>
      <c r="UG79" s="10"/>
      <c r="UH79" s="10"/>
      <c r="UI79" s="10"/>
      <c r="UJ79" s="10"/>
      <c r="UK79" s="10"/>
      <c r="UL79" s="10"/>
      <c r="UM79" s="10"/>
      <c r="UN79" s="10"/>
      <c r="UO79" s="10"/>
      <c r="UP79" s="10"/>
      <c r="UQ79" s="10"/>
      <c r="UR79" s="10"/>
      <c r="US79" s="10"/>
      <c r="UT79" s="10"/>
      <c r="UU79" s="10"/>
      <c r="UV79" s="10"/>
      <c r="UW79" s="10"/>
      <c r="UX79" s="10"/>
      <c r="UY79" s="10"/>
      <c r="UZ79" s="10"/>
      <c r="VA79" s="10"/>
      <c r="VB79" s="10"/>
      <c r="VC79" s="10"/>
      <c r="VD79" s="10"/>
      <c r="VE79" s="10"/>
      <c r="VF79" s="10"/>
      <c r="VG79" s="10"/>
      <c r="VH79" s="10"/>
      <c r="VI79" s="10"/>
      <c r="VJ79" s="10"/>
      <c r="VK79" s="10"/>
      <c r="VL79" s="10"/>
      <c r="VM79" s="10"/>
      <c r="VN79" s="10"/>
      <c r="VO79" s="10"/>
      <c r="VP79" s="10"/>
      <c r="VQ79" s="10"/>
      <c r="VR79" s="10"/>
      <c r="VS79" s="10"/>
      <c r="VT79" s="10"/>
      <c r="VU79" s="10"/>
      <c r="VV79" s="10"/>
      <c r="VW79" s="10"/>
      <c r="VX79" s="10"/>
      <c r="VY79" s="10"/>
      <c r="VZ79" s="10"/>
      <c r="WA79" s="10"/>
      <c r="WB79" s="10"/>
      <c r="WC79" s="10"/>
      <c r="WD79" s="10"/>
      <c r="WE79" s="10"/>
      <c r="WF79" s="10"/>
      <c r="WG79" s="10"/>
      <c r="WH79" s="10"/>
      <c r="WI79" s="10"/>
      <c r="WJ79" s="10"/>
      <c r="WK79" s="10"/>
      <c r="WL79" s="10"/>
      <c r="WM79" s="10"/>
      <c r="WN79" s="10"/>
      <c r="WO79" s="10"/>
      <c r="WP79" s="10"/>
      <c r="WQ79" s="10"/>
      <c r="WR79" s="10"/>
      <c r="WS79" s="10"/>
      <c r="WT79" s="10"/>
      <c r="WU79" s="10"/>
      <c r="WV79" s="10"/>
      <c r="WW79" s="10"/>
      <c r="WX79" s="10"/>
      <c r="WY79" s="10"/>
      <c r="WZ79" s="10"/>
      <c r="XA79" s="10"/>
      <c r="XB79" s="10"/>
      <c r="XC79" s="10"/>
      <c r="XD79" s="10"/>
      <c r="XE79" s="10"/>
      <c r="XF79" s="10"/>
      <c r="XG79" s="10"/>
      <c r="XH79" s="10"/>
      <c r="XI79" s="10"/>
      <c r="XJ79" s="10"/>
      <c r="XK79" s="10"/>
      <c r="XL79" s="10"/>
      <c r="XM79" s="10"/>
      <c r="XN79" s="10"/>
      <c r="XO79" s="10"/>
      <c r="XP79" s="10"/>
      <c r="XQ79" s="10"/>
      <c r="XR79" s="10"/>
      <c r="XS79" s="10"/>
      <c r="XT79" s="10"/>
      <c r="XU79" s="10"/>
      <c r="XV79" s="10"/>
      <c r="XW79" s="10"/>
      <c r="XX79" s="10"/>
      <c r="XY79" s="10"/>
      <c r="XZ79" s="10"/>
      <c r="YA79" s="10"/>
      <c r="YB79" s="10"/>
      <c r="YC79" s="10"/>
      <c r="YD79" s="10"/>
      <c r="YE79" s="10"/>
      <c r="YF79" s="10"/>
      <c r="YG79" s="10"/>
      <c r="YH79" s="10"/>
      <c r="YI79" s="10"/>
      <c r="YJ79" s="10"/>
      <c r="YK79" s="10"/>
      <c r="YL79" s="10"/>
      <c r="YM79" s="10"/>
      <c r="YN79" s="10"/>
      <c r="YO79" s="10"/>
      <c r="YP79" s="10"/>
      <c r="YQ79" s="10"/>
      <c r="YR79" s="10"/>
      <c r="YS79" s="10"/>
      <c r="YT79" s="10"/>
      <c r="YU79" s="10"/>
      <c r="YV79" s="10"/>
      <c r="YW79" s="10"/>
      <c r="YX79" s="10"/>
      <c r="YY79" s="10"/>
      <c r="YZ79" s="10"/>
      <c r="ZA79" s="10"/>
      <c r="ZB79" s="10"/>
      <c r="ZC79" s="10"/>
      <c r="ZD79" s="10"/>
      <c r="ZE79" s="10"/>
      <c r="ZF79" s="10"/>
      <c r="ZG79" s="10"/>
      <c r="ZH79" s="10"/>
      <c r="ZI79" s="10"/>
      <c r="ZJ79" s="10"/>
      <c r="ZK79" s="10"/>
      <c r="ZL79" s="10"/>
      <c r="ZM79" s="10"/>
      <c r="ZN79" s="10"/>
      <c r="ZO79" s="10"/>
      <c r="ZP79" s="10"/>
      <c r="ZQ79" s="10"/>
      <c r="ZR79" s="10"/>
      <c r="ZS79" s="10"/>
      <c r="ZT79" s="10"/>
      <c r="ZU79" s="10"/>
      <c r="ZV79" s="10"/>
      <c r="ZW79" s="10"/>
      <c r="ZX79" s="10"/>
      <c r="ZY79" s="10"/>
      <c r="ZZ79" s="10"/>
      <c r="AAA79" s="10"/>
      <c r="AAB79" s="10"/>
      <c r="AAC79" s="10"/>
      <c r="AAD79" s="10"/>
      <c r="AAE79" s="10"/>
      <c r="AAF79" s="10"/>
      <c r="AAG79" s="10"/>
      <c r="AAH79" s="10"/>
      <c r="AAI79" s="10"/>
      <c r="AAJ79" s="10"/>
      <c r="AAK79" s="10"/>
      <c r="AAL79" s="10"/>
      <c r="AAM79" s="10"/>
      <c r="AAN79" s="10"/>
      <c r="AAO79" s="10"/>
      <c r="AAP79" s="10"/>
      <c r="AAQ79" s="10"/>
      <c r="AAR79" s="10"/>
      <c r="AAS79" s="10"/>
      <c r="AAT79" s="10"/>
      <c r="AAU79" s="10"/>
      <c r="AAV79" s="10"/>
      <c r="AAW79" s="10"/>
      <c r="AAX79" s="10"/>
      <c r="AAY79" s="10"/>
      <c r="AAZ79" s="10"/>
      <c r="ABA79" s="10"/>
      <c r="ABB79" s="10"/>
      <c r="ABC79" s="10"/>
      <c r="ABD79" s="10"/>
      <c r="ABE79" s="10"/>
      <c r="ABF79" s="10"/>
      <c r="ABG79" s="10"/>
      <c r="ABH79" s="10"/>
      <c r="ABI79" s="10"/>
      <c r="ABJ79" s="10"/>
      <c r="ABK79" s="10"/>
      <c r="ABL79" s="10"/>
    </row>
    <row r="80" spans="1:740" s="35" customFormat="1" x14ac:dyDescent="0.3">
      <c r="B80" s="13">
        <f t="shared" si="4"/>
        <v>0</v>
      </c>
      <c r="C80" s="16"/>
      <c r="D80" s="17"/>
      <c r="E80" s="18"/>
      <c r="F80" s="18"/>
      <c r="G80" s="18"/>
      <c r="H80" s="18"/>
      <c r="I80" s="18"/>
      <c r="J80" s="18" t="s">
        <v>1314</v>
      </c>
      <c r="K80" s="18"/>
      <c r="L80" s="18"/>
      <c r="M80" s="18"/>
      <c r="N80" s="20"/>
    </row>
    <row r="81" spans="1:740" s="21" customFormat="1" x14ac:dyDescent="0.3">
      <c r="A81" s="10"/>
      <c r="B81" s="22">
        <f t="shared" si="4"/>
        <v>3</v>
      </c>
      <c r="C81" s="15"/>
      <c r="D81" s="23" t="s">
        <v>1310</v>
      </c>
      <c r="E81" s="24" t="s">
        <v>1306</v>
      </c>
      <c r="F81" s="24"/>
      <c r="G81" s="24"/>
      <c r="H81" s="24"/>
      <c r="I81" s="24"/>
      <c r="J81" s="24" t="s">
        <v>1302</v>
      </c>
      <c r="K81" s="24">
        <v>12</v>
      </c>
      <c r="L81" s="25">
        <v>45139</v>
      </c>
      <c r="M81" s="25">
        <f>EOMONTH(L81,K81)</f>
        <v>45535</v>
      </c>
      <c r="N81" s="26" t="s">
        <v>1339</v>
      </c>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10"/>
      <c r="HH81" s="10"/>
      <c r="HI81" s="10"/>
      <c r="HJ81" s="10"/>
      <c r="HK81" s="10"/>
      <c r="HL81" s="10"/>
      <c r="HM81" s="10"/>
      <c r="HN81" s="10"/>
      <c r="HO81" s="10"/>
      <c r="HP81" s="10"/>
      <c r="HQ81" s="10"/>
      <c r="HR81" s="10"/>
      <c r="HS81" s="10"/>
      <c r="HT81" s="10"/>
      <c r="HU81" s="10"/>
      <c r="HV81" s="10"/>
      <c r="HW81" s="10"/>
      <c r="HX81" s="10"/>
      <c r="HY81" s="10"/>
      <c r="HZ81" s="10"/>
      <c r="IA81" s="10"/>
      <c r="IB81" s="10"/>
      <c r="IC81" s="10"/>
      <c r="ID81" s="10"/>
      <c r="IE81" s="10"/>
      <c r="IF81" s="10"/>
      <c r="IG81" s="10"/>
      <c r="IH81" s="10"/>
      <c r="II81" s="10"/>
      <c r="IJ81" s="10"/>
      <c r="IK81" s="10"/>
      <c r="IL81" s="10"/>
      <c r="IM81" s="10"/>
      <c r="IN81" s="10"/>
      <c r="IO81" s="10"/>
      <c r="IP81" s="10"/>
      <c r="IQ81" s="10"/>
      <c r="IR81" s="10"/>
      <c r="IS81" s="10"/>
      <c r="IT81" s="10"/>
      <c r="IU81" s="10"/>
      <c r="IV81" s="10"/>
      <c r="IW81" s="10"/>
      <c r="IX81" s="10"/>
      <c r="IY81" s="10"/>
      <c r="IZ81" s="10"/>
      <c r="JA81" s="10"/>
      <c r="JB81" s="10"/>
      <c r="JC81" s="10"/>
      <c r="JD81" s="10"/>
      <c r="JE81" s="10"/>
      <c r="JF81" s="10"/>
      <c r="JG81" s="10"/>
      <c r="JH81" s="10"/>
      <c r="JI81" s="10"/>
      <c r="JJ81" s="10"/>
      <c r="JK81" s="10"/>
      <c r="JL81" s="10"/>
      <c r="JM81" s="10"/>
      <c r="JN81" s="10"/>
      <c r="JO81" s="10"/>
      <c r="JP81" s="10"/>
      <c r="JQ81" s="10"/>
      <c r="JR81" s="10"/>
      <c r="JS81" s="10"/>
      <c r="JT81" s="10"/>
      <c r="JU81" s="10"/>
      <c r="JV81" s="10"/>
      <c r="JW81" s="10"/>
      <c r="JX81" s="10"/>
      <c r="JY81" s="10"/>
      <c r="JZ81" s="10"/>
      <c r="KA81" s="10"/>
      <c r="KB81" s="10"/>
      <c r="KC81" s="10"/>
      <c r="KD81" s="10"/>
      <c r="KE81" s="10"/>
      <c r="KF81" s="10"/>
      <c r="KG81" s="10"/>
      <c r="KH81" s="10"/>
      <c r="KI81" s="10"/>
      <c r="KJ81" s="10"/>
      <c r="KK81" s="10"/>
      <c r="KL81" s="10"/>
      <c r="KM81" s="10"/>
      <c r="KN81" s="10"/>
      <c r="KO81" s="10"/>
      <c r="KP81" s="10"/>
      <c r="KQ81" s="10"/>
      <c r="KR81" s="10"/>
      <c r="KS81" s="10"/>
      <c r="KT81" s="10"/>
      <c r="KU81" s="10"/>
      <c r="KV81" s="10"/>
      <c r="KW81" s="10"/>
      <c r="KX81" s="10"/>
      <c r="KY81" s="10"/>
      <c r="KZ81" s="10"/>
      <c r="LA81" s="10"/>
      <c r="LB81" s="10"/>
      <c r="LC81" s="10"/>
      <c r="LD81" s="10"/>
      <c r="LE81" s="10"/>
      <c r="LF81" s="10"/>
      <c r="LG81" s="10"/>
      <c r="LH81" s="10"/>
      <c r="LI81" s="10"/>
      <c r="LJ81" s="10"/>
      <c r="LK81" s="10"/>
      <c r="LL81" s="10"/>
      <c r="LM81" s="10"/>
      <c r="LN81" s="10"/>
      <c r="LO81" s="10"/>
      <c r="LP81" s="10"/>
      <c r="LQ81" s="10"/>
      <c r="LR81" s="10"/>
      <c r="LS81" s="10"/>
      <c r="LT81" s="10"/>
      <c r="LU81" s="10"/>
      <c r="LV81" s="10"/>
      <c r="LW81" s="10"/>
      <c r="LX81" s="10"/>
      <c r="LY81" s="10"/>
      <c r="LZ81" s="10"/>
      <c r="MA81" s="10"/>
      <c r="MB81" s="10"/>
      <c r="MC81" s="10"/>
      <c r="MD81" s="10"/>
      <c r="ME81" s="10"/>
      <c r="MF81" s="10"/>
      <c r="MG81" s="10"/>
      <c r="MH81" s="10"/>
      <c r="MI81" s="10"/>
      <c r="MJ81" s="10"/>
      <c r="MK81" s="10"/>
      <c r="ML81" s="10"/>
      <c r="MM81" s="10"/>
      <c r="MN81" s="10"/>
      <c r="MO81" s="10"/>
      <c r="MP81" s="10"/>
      <c r="MQ81" s="10"/>
      <c r="MR81" s="10"/>
      <c r="MS81" s="10"/>
      <c r="MT81" s="10"/>
      <c r="MU81" s="10"/>
      <c r="MV81" s="10"/>
      <c r="MW81" s="10"/>
      <c r="MX81" s="10"/>
      <c r="MY81" s="10"/>
      <c r="MZ81" s="10"/>
      <c r="NA81" s="10"/>
      <c r="NB81" s="10"/>
      <c r="NC81" s="10"/>
      <c r="ND81" s="10"/>
      <c r="NE81" s="10"/>
      <c r="NF81" s="10"/>
      <c r="NG81" s="10"/>
      <c r="NH81" s="10"/>
      <c r="NI81" s="10"/>
      <c r="NJ81" s="10"/>
      <c r="NK81" s="10"/>
      <c r="NL81" s="10"/>
      <c r="NM81" s="10"/>
      <c r="NN81" s="10"/>
      <c r="NO81" s="10"/>
      <c r="NP81" s="10"/>
      <c r="NQ81" s="10"/>
      <c r="NR81" s="10"/>
      <c r="NS81" s="10"/>
      <c r="NT81" s="10"/>
      <c r="NU81" s="10"/>
      <c r="NV81" s="10"/>
      <c r="NW81" s="10"/>
      <c r="NX81" s="10"/>
      <c r="NY81" s="10"/>
      <c r="NZ81" s="10"/>
      <c r="OA81" s="10"/>
      <c r="OB81" s="10"/>
      <c r="OC81" s="10"/>
      <c r="OD81" s="10"/>
      <c r="OE81" s="10"/>
      <c r="OF81" s="10"/>
      <c r="OG81" s="10"/>
      <c r="OH81" s="10"/>
      <c r="OI81" s="10"/>
      <c r="OJ81" s="10"/>
      <c r="OK81" s="10"/>
      <c r="OL81" s="10"/>
      <c r="OM81" s="10"/>
      <c r="ON81" s="10"/>
      <c r="OO81" s="10"/>
      <c r="OP81" s="10"/>
      <c r="OQ81" s="10"/>
      <c r="OR81" s="10"/>
      <c r="OS81" s="10"/>
      <c r="OT81" s="10"/>
      <c r="OU81" s="10"/>
      <c r="OV81" s="10"/>
      <c r="OW81" s="10"/>
      <c r="OX81" s="10"/>
      <c r="OY81" s="10"/>
      <c r="OZ81" s="10"/>
      <c r="PA81" s="10"/>
      <c r="PB81" s="10"/>
      <c r="PC81" s="10"/>
      <c r="PD81" s="10"/>
      <c r="PE81" s="10"/>
      <c r="PF81" s="10"/>
      <c r="PG81" s="10"/>
      <c r="PH81" s="10"/>
      <c r="PI81" s="10"/>
      <c r="PJ81" s="10"/>
      <c r="PK81" s="10"/>
      <c r="PL81" s="10"/>
      <c r="PM81" s="10"/>
      <c r="PN81" s="10"/>
      <c r="PO81" s="10"/>
      <c r="PP81" s="10"/>
      <c r="PQ81" s="10"/>
      <c r="PR81" s="10"/>
      <c r="PS81" s="10"/>
      <c r="PT81" s="10"/>
      <c r="PU81" s="10"/>
      <c r="PV81" s="10"/>
      <c r="PW81" s="10"/>
      <c r="PX81" s="10"/>
      <c r="PY81" s="10"/>
      <c r="PZ81" s="10"/>
      <c r="QA81" s="10"/>
      <c r="QB81" s="10"/>
      <c r="QC81" s="10"/>
      <c r="QD81" s="10"/>
      <c r="QE81" s="10"/>
      <c r="QF81" s="10"/>
      <c r="QG81" s="10"/>
      <c r="QH81" s="10"/>
      <c r="QI81" s="10"/>
      <c r="QJ81" s="10"/>
      <c r="QK81" s="10"/>
      <c r="QL81" s="10"/>
      <c r="QM81" s="10"/>
      <c r="QN81" s="10"/>
      <c r="QO81" s="10"/>
      <c r="QP81" s="10"/>
      <c r="QQ81" s="10"/>
      <c r="QR81" s="10"/>
      <c r="QS81" s="10"/>
      <c r="QT81" s="10"/>
      <c r="QU81" s="10"/>
      <c r="QV81" s="10"/>
      <c r="QW81" s="10"/>
      <c r="QX81" s="10"/>
      <c r="QY81" s="10"/>
      <c r="QZ81" s="10"/>
      <c r="RA81" s="10"/>
      <c r="RB81" s="10"/>
      <c r="RC81" s="10"/>
      <c r="RD81" s="10"/>
      <c r="RE81" s="10"/>
      <c r="RF81" s="10"/>
      <c r="RG81" s="10"/>
      <c r="RH81" s="10"/>
      <c r="RI81" s="10"/>
      <c r="RJ81" s="10"/>
      <c r="RK81" s="10"/>
      <c r="RL81" s="10"/>
      <c r="RM81" s="10"/>
      <c r="RN81" s="10"/>
      <c r="RO81" s="10"/>
      <c r="RP81" s="10"/>
      <c r="RQ81" s="10"/>
      <c r="RR81" s="10"/>
      <c r="RS81" s="10"/>
      <c r="RT81" s="10"/>
      <c r="RU81" s="10"/>
      <c r="RV81" s="10"/>
      <c r="RW81" s="10"/>
      <c r="RX81" s="10"/>
      <c r="RY81" s="10"/>
      <c r="RZ81" s="10"/>
      <c r="SA81" s="10"/>
      <c r="SB81" s="10"/>
      <c r="SC81" s="10"/>
      <c r="SD81" s="10"/>
      <c r="SE81" s="10"/>
      <c r="SF81" s="10"/>
      <c r="SG81" s="10"/>
      <c r="SH81" s="10"/>
      <c r="SI81" s="10"/>
      <c r="SJ81" s="10"/>
      <c r="SK81" s="10"/>
      <c r="SL81" s="10"/>
      <c r="SM81" s="10"/>
      <c r="SN81" s="10"/>
      <c r="SO81" s="10"/>
      <c r="SP81" s="10"/>
      <c r="SQ81" s="10"/>
      <c r="SR81" s="10"/>
      <c r="SS81" s="10"/>
      <c r="ST81" s="10"/>
      <c r="SU81" s="10"/>
      <c r="SV81" s="10"/>
      <c r="SW81" s="10"/>
      <c r="SX81" s="10"/>
      <c r="SY81" s="10"/>
      <c r="SZ81" s="10"/>
      <c r="TA81" s="10"/>
      <c r="TB81" s="10"/>
      <c r="TC81" s="10"/>
      <c r="TD81" s="10"/>
      <c r="TE81" s="10"/>
      <c r="TF81" s="10"/>
      <c r="TG81" s="10"/>
      <c r="TH81" s="10"/>
      <c r="TI81" s="10"/>
      <c r="TJ81" s="10"/>
      <c r="TK81" s="10"/>
      <c r="TL81" s="10"/>
      <c r="TM81" s="10"/>
      <c r="TN81" s="10"/>
      <c r="TO81" s="10"/>
      <c r="TP81" s="10"/>
      <c r="TQ81" s="10"/>
      <c r="TR81" s="10"/>
      <c r="TS81" s="10"/>
      <c r="TT81" s="10"/>
      <c r="TU81" s="10"/>
      <c r="TV81" s="10"/>
      <c r="TW81" s="10"/>
      <c r="TX81" s="10"/>
      <c r="TY81" s="10"/>
      <c r="TZ81" s="10"/>
      <c r="UA81" s="10"/>
      <c r="UB81" s="10"/>
      <c r="UC81" s="10"/>
      <c r="UD81" s="10"/>
      <c r="UE81" s="10"/>
      <c r="UF81" s="10"/>
      <c r="UG81" s="10"/>
      <c r="UH81" s="10"/>
      <c r="UI81" s="10"/>
      <c r="UJ81" s="10"/>
      <c r="UK81" s="10"/>
      <c r="UL81" s="10"/>
      <c r="UM81" s="10"/>
      <c r="UN81" s="10"/>
      <c r="UO81" s="10"/>
      <c r="UP81" s="10"/>
      <c r="UQ81" s="10"/>
      <c r="UR81" s="10"/>
      <c r="US81" s="10"/>
      <c r="UT81" s="10"/>
      <c r="UU81" s="10"/>
      <c r="UV81" s="10"/>
      <c r="UW81" s="10"/>
      <c r="UX81" s="10"/>
      <c r="UY81" s="10"/>
      <c r="UZ81" s="10"/>
      <c r="VA81" s="10"/>
      <c r="VB81" s="10"/>
      <c r="VC81" s="10"/>
      <c r="VD81" s="10"/>
      <c r="VE81" s="10"/>
      <c r="VF81" s="10"/>
      <c r="VG81" s="10"/>
      <c r="VH81" s="10"/>
      <c r="VI81" s="10"/>
      <c r="VJ81" s="10"/>
      <c r="VK81" s="10"/>
      <c r="VL81" s="10"/>
      <c r="VM81" s="10"/>
      <c r="VN81" s="10"/>
      <c r="VO81" s="10"/>
      <c r="VP81" s="10"/>
      <c r="VQ81" s="10"/>
      <c r="VR81" s="10"/>
      <c r="VS81" s="10"/>
      <c r="VT81" s="10"/>
      <c r="VU81" s="10"/>
      <c r="VV81" s="10"/>
      <c r="VW81" s="10"/>
      <c r="VX81" s="10"/>
      <c r="VY81" s="10"/>
      <c r="VZ81" s="10"/>
      <c r="WA81" s="10"/>
      <c r="WB81" s="10"/>
      <c r="WC81" s="10"/>
      <c r="WD81" s="10"/>
      <c r="WE81" s="10"/>
      <c r="WF81" s="10"/>
      <c r="WG81" s="10"/>
      <c r="WH81" s="10"/>
      <c r="WI81" s="10"/>
      <c r="WJ81" s="10"/>
      <c r="WK81" s="10"/>
      <c r="WL81" s="10"/>
      <c r="WM81" s="10"/>
      <c r="WN81" s="10"/>
      <c r="WO81" s="10"/>
      <c r="WP81" s="10"/>
      <c r="WQ81" s="10"/>
      <c r="WR81" s="10"/>
      <c r="WS81" s="10"/>
      <c r="WT81" s="10"/>
      <c r="WU81" s="10"/>
      <c r="WV81" s="10"/>
      <c r="WW81" s="10"/>
      <c r="WX81" s="10"/>
      <c r="WY81" s="10"/>
      <c r="WZ81" s="10"/>
      <c r="XA81" s="10"/>
      <c r="XB81" s="10"/>
      <c r="XC81" s="10"/>
      <c r="XD81" s="10"/>
      <c r="XE81" s="10"/>
      <c r="XF81" s="10"/>
      <c r="XG81" s="10"/>
      <c r="XH81" s="10"/>
      <c r="XI81" s="10"/>
      <c r="XJ81" s="10"/>
      <c r="XK81" s="10"/>
      <c r="XL81" s="10"/>
      <c r="XM81" s="10"/>
      <c r="XN81" s="10"/>
      <c r="XO81" s="10"/>
      <c r="XP81" s="10"/>
      <c r="XQ81" s="10"/>
      <c r="XR81" s="10"/>
      <c r="XS81" s="10"/>
      <c r="XT81" s="10"/>
      <c r="XU81" s="10"/>
      <c r="XV81" s="10"/>
      <c r="XW81" s="10"/>
      <c r="XX81" s="10"/>
      <c r="XY81" s="10"/>
      <c r="XZ81" s="10"/>
      <c r="YA81" s="10"/>
      <c r="YB81" s="10"/>
      <c r="YC81" s="10"/>
      <c r="YD81" s="10"/>
      <c r="YE81" s="10"/>
      <c r="YF81" s="10"/>
      <c r="YG81" s="10"/>
      <c r="YH81" s="10"/>
      <c r="YI81" s="10"/>
      <c r="YJ81" s="10"/>
      <c r="YK81" s="10"/>
      <c r="YL81" s="10"/>
      <c r="YM81" s="10"/>
      <c r="YN81" s="10"/>
      <c r="YO81" s="10"/>
      <c r="YP81" s="10"/>
      <c r="YQ81" s="10"/>
      <c r="YR81" s="10"/>
      <c r="YS81" s="10"/>
      <c r="YT81" s="10"/>
      <c r="YU81" s="10"/>
      <c r="YV81" s="10"/>
      <c r="YW81" s="10"/>
      <c r="YX81" s="10"/>
      <c r="YY81" s="10"/>
      <c r="YZ81" s="10"/>
      <c r="ZA81" s="10"/>
      <c r="ZB81" s="10"/>
      <c r="ZC81" s="10"/>
      <c r="ZD81" s="10"/>
      <c r="ZE81" s="10"/>
      <c r="ZF81" s="10"/>
      <c r="ZG81" s="10"/>
      <c r="ZH81" s="10"/>
      <c r="ZI81" s="10"/>
      <c r="ZJ81" s="10"/>
      <c r="ZK81" s="10"/>
      <c r="ZL81" s="10"/>
      <c r="ZM81" s="10"/>
      <c r="ZN81" s="10"/>
      <c r="ZO81" s="10"/>
      <c r="ZP81" s="10"/>
      <c r="ZQ81" s="10"/>
      <c r="ZR81" s="10"/>
      <c r="ZS81" s="10"/>
      <c r="ZT81" s="10"/>
      <c r="ZU81" s="10"/>
      <c r="ZV81" s="10"/>
      <c r="ZW81" s="10"/>
      <c r="ZX81" s="10"/>
      <c r="ZY81" s="10"/>
      <c r="ZZ81" s="10"/>
      <c r="AAA81" s="10"/>
      <c r="AAB81" s="10"/>
      <c r="AAC81" s="10"/>
      <c r="AAD81" s="10"/>
      <c r="AAE81" s="10"/>
      <c r="AAF81" s="10"/>
      <c r="AAG81" s="10"/>
      <c r="AAH81" s="10"/>
      <c r="AAI81" s="10"/>
      <c r="AAJ81" s="10"/>
      <c r="AAK81" s="10"/>
      <c r="AAL81" s="10"/>
      <c r="AAM81" s="10"/>
      <c r="AAN81" s="10"/>
      <c r="AAO81" s="10"/>
      <c r="AAP81" s="10"/>
      <c r="AAQ81" s="10"/>
      <c r="AAR81" s="10"/>
      <c r="AAS81" s="10"/>
      <c r="AAT81" s="10"/>
      <c r="AAU81" s="10"/>
      <c r="AAV81" s="10"/>
      <c r="AAW81" s="10"/>
      <c r="AAX81" s="10"/>
      <c r="AAY81" s="10"/>
      <c r="AAZ81" s="10"/>
      <c r="ABA81" s="10"/>
      <c r="ABB81" s="10"/>
      <c r="ABC81" s="10"/>
      <c r="ABD81" s="10"/>
      <c r="ABE81" s="10"/>
      <c r="ABF81" s="10"/>
      <c r="ABG81" s="10"/>
      <c r="ABH81" s="10"/>
      <c r="ABI81" s="10"/>
      <c r="ABJ81" s="10"/>
      <c r="ABK81" s="10"/>
      <c r="ABL81" s="10"/>
    </row>
    <row r="82" spans="1:740" s="35" customFormat="1" x14ac:dyDescent="0.3">
      <c r="B82" s="13">
        <f t="shared" si="4"/>
        <v>0</v>
      </c>
      <c r="C82" s="16"/>
      <c r="D82" s="17" t="s">
        <v>1311</v>
      </c>
      <c r="E82" s="18" t="s">
        <v>1312</v>
      </c>
      <c r="F82" s="18"/>
      <c r="G82" s="19">
        <v>45295</v>
      </c>
      <c r="H82" s="18"/>
      <c r="I82" s="18"/>
      <c r="J82" s="18" t="s">
        <v>1314</v>
      </c>
      <c r="K82" s="18"/>
      <c r="L82" s="18"/>
      <c r="M82" s="18"/>
      <c r="N82" s="43" t="s">
        <v>1340</v>
      </c>
    </row>
    <row r="83" spans="1:740" s="21" customFormat="1" x14ac:dyDescent="0.3">
      <c r="A83" s="10"/>
      <c r="B83" s="22">
        <f t="shared" si="4"/>
        <v>3</v>
      </c>
      <c r="C83" s="15"/>
      <c r="D83" s="23" t="s">
        <v>1311</v>
      </c>
      <c r="E83" s="24" t="s">
        <v>1312</v>
      </c>
      <c r="F83" s="24"/>
      <c r="G83" s="24"/>
      <c r="H83" s="25">
        <v>45201</v>
      </c>
      <c r="I83" s="25">
        <v>45202</v>
      </c>
      <c r="J83" s="25" t="s">
        <v>1302</v>
      </c>
      <c r="K83" s="24">
        <v>12</v>
      </c>
      <c r="L83" s="25">
        <v>45225</v>
      </c>
      <c r="M83" s="25">
        <f>EOMONTH(L83,K83)</f>
        <v>45596</v>
      </c>
      <c r="N83" s="26"/>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10"/>
      <c r="HH83" s="10"/>
      <c r="HI83" s="10"/>
      <c r="HJ83" s="10"/>
      <c r="HK83" s="10"/>
      <c r="HL83" s="10"/>
      <c r="HM83" s="10"/>
      <c r="HN83" s="10"/>
      <c r="HO83" s="10"/>
      <c r="HP83" s="10"/>
      <c r="HQ83" s="10"/>
      <c r="HR83" s="10"/>
      <c r="HS83" s="10"/>
      <c r="HT83" s="10"/>
      <c r="HU83" s="10"/>
      <c r="HV83" s="10"/>
      <c r="HW83" s="10"/>
      <c r="HX83" s="10"/>
      <c r="HY83" s="10"/>
      <c r="HZ83" s="10"/>
      <c r="IA83" s="10"/>
      <c r="IB83" s="10"/>
      <c r="IC83" s="10"/>
      <c r="ID83" s="10"/>
      <c r="IE83" s="10"/>
      <c r="IF83" s="10"/>
      <c r="IG83" s="10"/>
      <c r="IH83" s="10"/>
      <c r="II83" s="10"/>
      <c r="IJ83" s="10"/>
      <c r="IK83" s="10"/>
      <c r="IL83" s="10"/>
      <c r="IM83" s="10"/>
      <c r="IN83" s="10"/>
      <c r="IO83" s="10"/>
      <c r="IP83" s="10"/>
      <c r="IQ83" s="10"/>
      <c r="IR83" s="10"/>
      <c r="IS83" s="10"/>
      <c r="IT83" s="10"/>
      <c r="IU83" s="10"/>
      <c r="IV83" s="10"/>
      <c r="IW83" s="10"/>
      <c r="IX83" s="10"/>
      <c r="IY83" s="10"/>
      <c r="IZ83" s="10"/>
      <c r="JA83" s="10"/>
      <c r="JB83" s="10"/>
      <c r="JC83" s="10"/>
      <c r="JD83" s="10"/>
      <c r="JE83" s="10"/>
      <c r="JF83" s="10"/>
      <c r="JG83" s="10"/>
      <c r="JH83" s="10"/>
      <c r="JI83" s="10"/>
      <c r="JJ83" s="10"/>
      <c r="JK83" s="10"/>
      <c r="JL83" s="10"/>
      <c r="JM83" s="10"/>
      <c r="JN83" s="10"/>
      <c r="JO83" s="10"/>
      <c r="JP83" s="10"/>
      <c r="JQ83" s="10"/>
      <c r="JR83" s="10"/>
      <c r="JS83" s="10"/>
      <c r="JT83" s="10"/>
      <c r="JU83" s="10"/>
      <c r="JV83" s="10"/>
      <c r="JW83" s="10"/>
      <c r="JX83" s="10"/>
      <c r="JY83" s="10"/>
      <c r="JZ83" s="10"/>
      <c r="KA83" s="10"/>
      <c r="KB83" s="10"/>
      <c r="KC83" s="10"/>
      <c r="KD83" s="10"/>
      <c r="KE83" s="10"/>
      <c r="KF83" s="10"/>
      <c r="KG83" s="10"/>
      <c r="KH83" s="10"/>
      <c r="KI83" s="10"/>
      <c r="KJ83" s="10"/>
      <c r="KK83" s="10"/>
      <c r="KL83" s="10"/>
      <c r="KM83" s="10"/>
      <c r="KN83" s="10"/>
      <c r="KO83" s="10"/>
      <c r="KP83" s="10"/>
      <c r="KQ83" s="10"/>
      <c r="KR83" s="10"/>
      <c r="KS83" s="10"/>
      <c r="KT83" s="10"/>
      <c r="KU83" s="10"/>
      <c r="KV83" s="10"/>
      <c r="KW83" s="10"/>
      <c r="KX83" s="10"/>
      <c r="KY83" s="10"/>
      <c r="KZ83" s="10"/>
      <c r="LA83" s="10"/>
      <c r="LB83" s="10"/>
      <c r="LC83" s="10"/>
      <c r="LD83" s="10"/>
      <c r="LE83" s="10"/>
      <c r="LF83" s="10"/>
      <c r="LG83" s="10"/>
      <c r="LH83" s="10"/>
      <c r="LI83" s="10"/>
      <c r="LJ83" s="10"/>
      <c r="LK83" s="10"/>
      <c r="LL83" s="10"/>
      <c r="LM83" s="10"/>
      <c r="LN83" s="10"/>
      <c r="LO83" s="10"/>
      <c r="LP83" s="10"/>
      <c r="LQ83" s="10"/>
      <c r="LR83" s="10"/>
      <c r="LS83" s="10"/>
      <c r="LT83" s="10"/>
      <c r="LU83" s="10"/>
      <c r="LV83" s="10"/>
      <c r="LW83" s="10"/>
      <c r="LX83" s="10"/>
      <c r="LY83" s="10"/>
      <c r="LZ83" s="10"/>
      <c r="MA83" s="10"/>
      <c r="MB83" s="10"/>
      <c r="MC83" s="10"/>
      <c r="MD83" s="10"/>
      <c r="ME83" s="10"/>
      <c r="MF83" s="10"/>
      <c r="MG83" s="10"/>
      <c r="MH83" s="10"/>
      <c r="MI83" s="10"/>
      <c r="MJ83" s="10"/>
      <c r="MK83" s="10"/>
      <c r="ML83" s="10"/>
      <c r="MM83" s="10"/>
      <c r="MN83" s="10"/>
      <c r="MO83" s="10"/>
      <c r="MP83" s="10"/>
      <c r="MQ83" s="10"/>
      <c r="MR83" s="10"/>
      <c r="MS83" s="10"/>
      <c r="MT83" s="10"/>
      <c r="MU83" s="10"/>
      <c r="MV83" s="10"/>
      <c r="MW83" s="10"/>
      <c r="MX83" s="10"/>
      <c r="MY83" s="10"/>
      <c r="MZ83" s="10"/>
      <c r="NA83" s="10"/>
      <c r="NB83" s="10"/>
      <c r="NC83" s="10"/>
      <c r="ND83" s="10"/>
      <c r="NE83" s="10"/>
      <c r="NF83" s="10"/>
      <c r="NG83" s="10"/>
      <c r="NH83" s="10"/>
      <c r="NI83" s="10"/>
      <c r="NJ83" s="10"/>
      <c r="NK83" s="10"/>
      <c r="NL83" s="10"/>
      <c r="NM83" s="10"/>
      <c r="NN83" s="10"/>
      <c r="NO83" s="10"/>
      <c r="NP83" s="10"/>
      <c r="NQ83" s="10"/>
      <c r="NR83" s="10"/>
      <c r="NS83" s="10"/>
      <c r="NT83" s="10"/>
      <c r="NU83" s="10"/>
      <c r="NV83" s="10"/>
      <c r="NW83" s="10"/>
      <c r="NX83" s="10"/>
      <c r="NY83" s="10"/>
      <c r="NZ83" s="10"/>
      <c r="OA83" s="10"/>
      <c r="OB83" s="10"/>
      <c r="OC83" s="10"/>
      <c r="OD83" s="10"/>
      <c r="OE83" s="10"/>
      <c r="OF83" s="10"/>
      <c r="OG83" s="10"/>
      <c r="OH83" s="10"/>
      <c r="OI83" s="10"/>
      <c r="OJ83" s="10"/>
      <c r="OK83" s="10"/>
      <c r="OL83" s="10"/>
      <c r="OM83" s="10"/>
      <c r="ON83" s="10"/>
      <c r="OO83" s="10"/>
      <c r="OP83" s="10"/>
      <c r="OQ83" s="10"/>
      <c r="OR83" s="10"/>
      <c r="OS83" s="10"/>
      <c r="OT83" s="10"/>
      <c r="OU83" s="10"/>
      <c r="OV83" s="10"/>
      <c r="OW83" s="10"/>
      <c r="OX83" s="10"/>
      <c r="OY83" s="10"/>
      <c r="OZ83" s="10"/>
      <c r="PA83" s="10"/>
      <c r="PB83" s="10"/>
      <c r="PC83" s="10"/>
      <c r="PD83" s="10"/>
      <c r="PE83" s="10"/>
      <c r="PF83" s="10"/>
      <c r="PG83" s="10"/>
      <c r="PH83" s="10"/>
      <c r="PI83" s="10"/>
      <c r="PJ83" s="10"/>
      <c r="PK83" s="10"/>
      <c r="PL83" s="10"/>
      <c r="PM83" s="10"/>
      <c r="PN83" s="10"/>
      <c r="PO83" s="10"/>
      <c r="PP83" s="10"/>
      <c r="PQ83" s="10"/>
      <c r="PR83" s="10"/>
      <c r="PS83" s="10"/>
      <c r="PT83" s="10"/>
      <c r="PU83" s="10"/>
      <c r="PV83" s="10"/>
      <c r="PW83" s="10"/>
      <c r="PX83" s="10"/>
      <c r="PY83" s="10"/>
      <c r="PZ83" s="10"/>
      <c r="QA83" s="10"/>
      <c r="QB83" s="10"/>
      <c r="QC83" s="10"/>
      <c r="QD83" s="10"/>
      <c r="QE83" s="10"/>
      <c r="QF83" s="10"/>
      <c r="QG83" s="10"/>
      <c r="QH83" s="10"/>
      <c r="QI83" s="10"/>
      <c r="QJ83" s="10"/>
      <c r="QK83" s="10"/>
      <c r="QL83" s="10"/>
      <c r="QM83" s="10"/>
      <c r="QN83" s="10"/>
      <c r="QO83" s="10"/>
      <c r="QP83" s="10"/>
      <c r="QQ83" s="10"/>
      <c r="QR83" s="10"/>
      <c r="QS83" s="10"/>
      <c r="QT83" s="10"/>
      <c r="QU83" s="10"/>
      <c r="QV83" s="10"/>
      <c r="QW83" s="10"/>
      <c r="QX83" s="10"/>
      <c r="QY83" s="10"/>
      <c r="QZ83" s="10"/>
      <c r="RA83" s="10"/>
      <c r="RB83" s="10"/>
      <c r="RC83" s="10"/>
      <c r="RD83" s="10"/>
      <c r="RE83" s="10"/>
      <c r="RF83" s="10"/>
      <c r="RG83" s="10"/>
      <c r="RH83" s="10"/>
      <c r="RI83" s="10"/>
      <c r="RJ83" s="10"/>
      <c r="RK83" s="10"/>
      <c r="RL83" s="10"/>
      <c r="RM83" s="10"/>
      <c r="RN83" s="10"/>
      <c r="RO83" s="10"/>
      <c r="RP83" s="10"/>
      <c r="RQ83" s="10"/>
      <c r="RR83" s="10"/>
      <c r="RS83" s="10"/>
      <c r="RT83" s="10"/>
      <c r="RU83" s="10"/>
      <c r="RV83" s="10"/>
      <c r="RW83" s="10"/>
      <c r="RX83" s="10"/>
      <c r="RY83" s="10"/>
      <c r="RZ83" s="10"/>
      <c r="SA83" s="10"/>
      <c r="SB83" s="10"/>
      <c r="SC83" s="10"/>
      <c r="SD83" s="10"/>
      <c r="SE83" s="10"/>
      <c r="SF83" s="10"/>
      <c r="SG83" s="10"/>
      <c r="SH83" s="10"/>
      <c r="SI83" s="10"/>
      <c r="SJ83" s="10"/>
      <c r="SK83" s="10"/>
      <c r="SL83" s="10"/>
      <c r="SM83" s="10"/>
      <c r="SN83" s="10"/>
      <c r="SO83" s="10"/>
      <c r="SP83" s="10"/>
      <c r="SQ83" s="10"/>
      <c r="SR83" s="10"/>
      <c r="SS83" s="10"/>
      <c r="ST83" s="10"/>
      <c r="SU83" s="10"/>
      <c r="SV83" s="10"/>
      <c r="SW83" s="10"/>
      <c r="SX83" s="10"/>
      <c r="SY83" s="10"/>
      <c r="SZ83" s="10"/>
      <c r="TA83" s="10"/>
      <c r="TB83" s="10"/>
      <c r="TC83" s="10"/>
      <c r="TD83" s="10"/>
      <c r="TE83" s="10"/>
      <c r="TF83" s="10"/>
      <c r="TG83" s="10"/>
      <c r="TH83" s="10"/>
      <c r="TI83" s="10"/>
      <c r="TJ83" s="10"/>
      <c r="TK83" s="10"/>
      <c r="TL83" s="10"/>
      <c r="TM83" s="10"/>
      <c r="TN83" s="10"/>
      <c r="TO83" s="10"/>
      <c r="TP83" s="10"/>
      <c r="TQ83" s="10"/>
      <c r="TR83" s="10"/>
      <c r="TS83" s="10"/>
      <c r="TT83" s="10"/>
      <c r="TU83" s="10"/>
      <c r="TV83" s="10"/>
      <c r="TW83" s="10"/>
      <c r="TX83" s="10"/>
      <c r="TY83" s="10"/>
      <c r="TZ83" s="10"/>
      <c r="UA83" s="10"/>
      <c r="UB83" s="10"/>
      <c r="UC83" s="10"/>
      <c r="UD83" s="10"/>
      <c r="UE83" s="10"/>
      <c r="UF83" s="10"/>
      <c r="UG83" s="10"/>
      <c r="UH83" s="10"/>
      <c r="UI83" s="10"/>
      <c r="UJ83" s="10"/>
      <c r="UK83" s="10"/>
      <c r="UL83" s="10"/>
      <c r="UM83" s="10"/>
      <c r="UN83" s="10"/>
      <c r="UO83" s="10"/>
      <c r="UP83" s="10"/>
      <c r="UQ83" s="10"/>
      <c r="UR83" s="10"/>
      <c r="US83" s="10"/>
      <c r="UT83" s="10"/>
      <c r="UU83" s="10"/>
      <c r="UV83" s="10"/>
      <c r="UW83" s="10"/>
      <c r="UX83" s="10"/>
      <c r="UY83" s="10"/>
      <c r="UZ83" s="10"/>
      <c r="VA83" s="10"/>
      <c r="VB83" s="10"/>
      <c r="VC83" s="10"/>
      <c r="VD83" s="10"/>
      <c r="VE83" s="10"/>
      <c r="VF83" s="10"/>
      <c r="VG83" s="10"/>
      <c r="VH83" s="10"/>
      <c r="VI83" s="10"/>
      <c r="VJ83" s="10"/>
      <c r="VK83" s="10"/>
      <c r="VL83" s="10"/>
      <c r="VM83" s="10"/>
      <c r="VN83" s="10"/>
      <c r="VO83" s="10"/>
      <c r="VP83" s="10"/>
      <c r="VQ83" s="10"/>
      <c r="VR83" s="10"/>
      <c r="VS83" s="10"/>
      <c r="VT83" s="10"/>
      <c r="VU83" s="10"/>
      <c r="VV83" s="10"/>
      <c r="VW83" s="10"/>
      <c r="VX83" s="10"/>
      <c r="VY83" s="10"/>
      <c r="VZ83" s="10"/>
      <c r="WA83" s="10"/>
      <c r="WB83" s="10"/>
      <c r="WC83" s="10"/>
      <c r="WD83" s="10"/>
      <c r="WE83" s="10"/>
      <c r="WF83" s="10"/>
      <c r="WG83" s="10"/>
      <c r="WH83" s="10"/>
      <c r="WI83" s="10"/>
      <c r="WJ83" s="10"/>
      <c r="WK83" s="10"/>
      <c r="WL83" s="10"/>
      <c r="WM83" s="10"/>
      <c r="WN83" s="10"/>
      <c r="WO83" s="10"/>
      <c r="WP83" s="10"/>
      <c r="WQ83" s="10"/>
      <c r="WR83" s="10"/>
      <c r="WS83" s="10"/>
      <c r="WT83" s="10"/>
      <c r="WU83" s="10"/>
      <c r="WV83" s="10"/>
      <c r="WW83" s="10"/>
      <c r="WX83" s="10"/>
      <c r="WY83" s="10"/>
      <c r="WZ83" s="10"/>
      <c r="XA83" s="10"/>
      <c r="XB83" s="10"/>
      <c r="XC83" s="10"/>
      <c r="XD83" s="10"/>
      <c r="XE83" s="10"/>
      <c r="XF83" s="10"/>
      <c r="XG83" s="10"/>
      <c r="XH83" s="10"/>
      <c r="XI83" s="10"/>
      <c r="XJ83" s="10"/>
      <c r="XK83" s="10"/>
      <c r="XL83" s="10"/>
      <c r="XM83" s="10"/>
      <c r="XN83" s="10"/>
      <c r="XO83" s="10"/>
      <c r="XP83" s="10"/>
      <c r="XQ83" s="10"/>
      <c r="XR83" s="10"/>
      <c r="XS83" s="10"/>
      <c r="XT83" s="10"/>
      <c r="XU83" s="10"/>
      <c r="XV83" s="10"/>
      <c r="XW83" s="10"/>
      <c r="XX83" s="10"/>
      <c r="XY83" s="10"/>
      <c r="XZ83" s="10"/>
      <c r="YA83" s="10"/>
      <c r="YB83" s="10"/>
      <c r="YC83" s="10"/>
      <c r="YD83" s="10"/>
      <c r="YE83" s="10"/>
      <c r="YF83" s="10"/>
      <c r="YG83" s="10"/>
      <c r="YH83" s="10"/>
      <c r="YI83" s="10"/>
      <c r="YJ83" s="10"/>
      <c r="YK83" s="10"/>
      <c r="YL83" s="10"/>
      <c r="YM83" s="10"/>
      <c r="YN83" s="10"/>
      <c r="YO83" s="10"/>
      <c r="YP83" s="10"/>
      <c r="YQ83" s="10"/>
      <c r="YR83" s="10"/>
      <c r="YS83" s="10"/>
      <c r="YT83" s="10"/>
      <c r="YU83" s="10"/>
      <c r="YV83" s="10"/>
      <c r="YW83" s="10"/>
      <c r="YX83" s="10"/>
      <c r="YY83" s="10"/>
      <c r="YZ83" s="10"/>
      <c r="ZA83" s="10"/>
      <c r="ZB83" s="10"/>
      <c r="ZC83" s="10"/>
      <c r="ZD83" s="10"/>
      <c r="ZE83" s="10"/>
      <c r="ZF83" s="10"/>
      <c r="ZG83" s="10"/>
      <c r="ZH83" s="10"/>
      <c r="ZI83" s="10"/>
      <c r="ZJ83" s="10"/>
      <c r="ZK83" s="10"/>
      <c r="ZL83" s="10"/>
      <c r="ZM83" s="10"/>
      <c r="ZN83" s="10"/>
      <c r="ZO83" s="10"/>
      <c r="ZP83" s="10"/>
      <c r="ZQ83" s="10"/>
      <c r="ZR83" s="10"/>
      <c r="ZS83" s="10"/>
      <c r="ZT83" s="10"/>
      <c r="ZU83" s="10"/>
      <c r="ZV83" s="10"/>
      <c r="ZW83" s="10"/>
      <c r="ZX83" s="10"/>
      <c r="ZY83" s="10"/>
      <c r="ZZ83" s="10"/>
      <c r="AAA83" s="10"/>
      <c r="AAB83" s="10"/>
      <c r="AAC83" s="10"/>
      <c r="AAD83" s="10"/>
      <c r="AAE83" s="10"/>
      <c r="AAF83" s="10"/>
      <c r="AAG83" s="10"/>
      <c r="AAH83" s="10"/>
      <c r="AAI83" s="10"/>
      <c r="AAJ83" s="10"/>
      <c r="AAK83" s="10"/>
      <c r="AAL83" s="10"/>
      <c r="AAM83" s="10"/>
      <c r="AAN83" s="10"/>
      <c r="AAO83" s="10"/>
      <c r="AAP83" s="10"/>
      <c r="AAQ83" s="10"/>
      <c r="AAR83" s="10"/>
      <c r="AAS83" s="10"/>
      <c r="AAT83" s="10"/>
      <c r="AAU83" s="10"/>
      <c r="AAV83" s="10"/>
      <c r="AAW83" s="10"/>
      <c r="AAX83" s="10"/>
      <c r="AAY83" s="10"/>
      <c r="AAZ83" s="10"/>
      <c r="ABA83" s="10"/>
      <c r="ABB83" s="10"/>
      <c r="ABC83" s="10"/>
      <c r="ABD83" s="10"/>
      <c r="ABE83" s="10"/>
      <c r="ABF83" s="10"/>
      <c r="ABG83" s="10"/>
      <c r="ABH83" s="10"/>
      <c r="ABI83" s="10"/>
      <c r="ABJ83" s="10"/>
      <c r="ABK83" s="10"/>
      <c r="ABL83" s="10"/>
    </row>
    <row r="84" spans="1:740" s="35" customFormat="1" x14ac:dyDescent="0.3">
      <c r="B84" s="13">
        <f t="shared" si="4"/>
        <v>0</v>
      </c>
      <c r="C84" s="16"/>
      <c r="D84" s="17"/>
      <c r="E84" s="18"/>
      <c r="F84" s="18"/>
      <c r="G84" s="18"/>
      <c r="H84" s="18"/>
      <c r="I84" s="18"/>
      <c r="J84" s="18" t="s">
        <v>1314</v>
      </c>
      <c r="K84" s="18"/>
      <c r="L84" s="18"/>
      <c r="M84" s="18"/>
      <c r="N84" s="20"/>
    </row>
    <row r="85" spans="1:740" s="21" customFormat="1" x14ac:dyDescent="0.3">
      <c r="A85" s="10"/>
      <c r="B85" s="22">
        <f t="shared" si="4"/>
        <v>0</v>
      </c>
      <c r="C85" s="15"/>
      <c r="D85" s="23" t="s">
        <v>1311</v>
      </c>
      <c r="E85" s="24"/>
      <c r="F85" s="25">
        <v>45271</v>
      </c>
      <c r="G85" s="24"/>
      <c r="H85" s="24"/>
      <c r="I85" s="24"/>
      <c r="J85" s="24" t="s">
        <v>1314</v>
      </c>
      <c r="K85" s="24"/>
      <c r="L85" s="24"/>
      <c r="M85" s="24"/>
      <c r="N85" s="43" t="s">
        <v>1341</v>
      </c>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D85" s="10"/>
      <c r="HE85" s="10"/>
      <c r="HF85" s="10"/>
      <c r="HG85" s="10"/>
      <c r="HH85" s="10"/>
      <c r="HI85" s="10"/>
      <c r="HJ85" s="10"/>
      <c r="HK85" s="10"/>
      <c r="HL85" s="10"/>
      <c r="HM85" s="10"/>
      <c r="HN85" s="10"/>
      <c r="HO85" s="10"/>
      <c r="HP85" s="10"/>
      <c r="HQ85" s="10"/>
      <c r="HR85" s="10"/>
      <c r="HS85" s="10"/>
      <c r="HT85" s="10"/>
      <c r="HU85" s="10"/>
      <c r="HV85" s="10"/>
      <c r="HW85" s="10"/>
      <c r="HX85" s="10"/>
      <c r="HY85" s="10"/>
      <c r="HZ85" s="10"/>
      <c r="IA85" s="10"/>
      <c r="IB85" s="10"/>
      <c r="IC85" s="10"/>
      <c r="ID85" s="10"/>
      <c r="IE85" s="10"/>
      <c r="IF85" s="10"/>
      <c r="IG85" s="10"/>
      <c r="IH85" s="10"/>
      <c r="II85" s="10"/>
      <c r="IJ85" s="10"/>
      <c r="IK85" s="10"/>
      <c r="IL85" s="10"/>
      <c r="IM85" s="10"/>
      <c r="IN85" s="10"/>
      <c r="IO85" s="10"/>
      <c r="IP85" s="10"/>
      <c r="IQ85" s="10"/>
      <c r="IR85" s="10"/>
      <c r="IS85" s="10"/>
      <c r="IT85" s="10"/>
      <c r="IU85" s="10"/>
      <c r="IV85" s="10"/>
      <c r="IW85" s="10"/>
      <c r="IX85" s="10"/>
      <c r="IY85" s="10"/>
      <c r="IZ85" s="10"/>
      <c r="JA85" s="10"/>
      <c r="JB85" s="10"/>
      <c r="JC85" s="10"/>
      <c r="JD85" s="10"/>
      <c r="JE85" s="10"/>
      <c r="JF85" s="10"/>
      <c r="JG85" s="10"/>
      <c r="JH85" s="10"/>
      <c r="JI85" s="10"/>
      <c r="JJ85" s="10"/>
      <c r="JK85" s="10"/>
      <c r="JL85" s="10"/>
      <c r="JM85" s="10"/>
      <c r="JN85" s="10"/>
      <c r="JO85" s="10"/>
      <c r="JP85" s="10"/>
      <c r="JQ85" s="10"/>
      <c r="JR85" s="10"/>
      <c r="JS85" s="10"/>
      <c r="JT85" s="10"/>
      <c r="JU85" s="10"/>
      <c r="JV85" s="10"/>
      <c r="JW85" s="10"/>
      <c r="JX85" s="10"/>
      <c r="JY85" s="10"/>
      <c r="JZ85" s="10"/>
      <c r="KA85" s="10"/>
      <c r="KB85" s="10"/>
      <c r="KC85" s="10"/>
      <c r="KD85" s="10"/>
      <c r="KE85" s="10"/>
      <c r="KF85" s="10"/>
      <c r="KG85" s="10"/>
      <c r="KH85" s="10"/>
      <c r="KI85" s="10"/>
      <c r="KJ85" s="10"/>
      <c r="KK85" s="10"/>
      <c r="KL85" s="10"/>
      <c r="KM85" s="10"/>
      <c r="KN85" s="10"/>
      <c r="KO85" s="10"/>
      <c r="KP85" s="10"/>
      <c r="KQ85" s="10"/>
      <c r="KR85" s="10"/>
      <c r="KS85" s="10"/>
      <c r="KT85" s="10"/>
      <c r="KU85" s="10"/>
      <c r="KV85" s="10"/>
      <c r="KW85" s="10"/>
      <c r="KX85" s="10"/>
      <c r="KY85" s="10"/>
      <c r="KZ85" s="10"/>
      <c r="LA85" s="10"/>
      <c r="LB85" s="10"/>
      <c r="LC85" s="10"/>
      <c r="LD85" s="10"/>
      <c r="LE85" s="10"/>
      <c r="LF85" s="10"/>
      <c r="LG85" s="10"/>
      <c r="LH85" s="10"/>
      <c r="LI85" s="10"/>
      <c r="LJ85" s="10"/>
      <c r="LK85" s="10"/>
      <c r="LL85" s="10"/>
      <c r="LM85" s="10"/>
      <c r="LN85" s="10"/>
      <c r="LO85" s="10"/>
      <c r="LP85" s="10"/>
      <c r="LQ85" s="10"/>
      <c r="LR85" s="10"/>
      <c r="LS85" s="10"/>
      <c r="LT85" s="10"/>
      <c r="LU85" s="10"/>
      <c r="LV85" s="10"/>
      <c r="LW85" s="10"/>
      <c r="LX85" s="10"/>
      <c r="LY85" s="10"/>
      <c r="LZ85" s="10"/>
      <c r="MA85" s="10"/>
      <c r="MB85" s="10"/>
      <c r="MC85" s="10"/>
      <c r="MD85" s="10"/>
      <c r="ME85" s="10"/>
      <c r="MF85" s="10"/>
      <c r="MG85" s="10"/>
      <c r="MH85" s="10"/>
      <c r="MI85" s="10"/>
      <c r="MJ85" s="10"/>
      <c r="MK85" s="10"/>
      <c r="ML85" s="10"/>
      <c r="MM85" s="10"/>
      <c r="MN85" s="10"/>
      <c r="MO85" s="10"/>
      <c r="MP85" s="10"/>
      <c r="MQ85" s="10"/>
      <c r="MR85" s="10"/>
      <c r="MS85" s="10"/>
      <c r="MT85" s="10"/>
      <c r="MU85" s="10"/>
      <c r="MV85" s="10"/>
      <c r="MW85" s="10"/>
      <c r="MX85" s="10"/>
      <c r="MY85" s="10"/>
      <c r="MZ85" s="10"/>
      <c r="NA85" s="10"/>
      <c r="NB85" s="10"/>
      <c r="NC85" s="10"/>
      <c r="ND85" s="10"/>
      <c r="NE85" s="10"/>
      <c r="NF85" s="10"/>
      <c r="NG85" s="10"/>
      <c r="NH85" s="10"/>
      <c r="NI85" s="10"/>
      <c r="NJ85" s="10"/>
      <c r="NK85" s="10"/>
      <c r="NL85" s="10"/>
      <c r="NM85" s="10"/>
      <c r="NN85" s="10"/>
      <c r="NO85" s="10"/>
      <c r="NP85" s="10"/>
      <c r="NQ85" s="10"/>
      <c r="NR85" s="10"/>
      <c r="NS85" s="10"/>
      <c r="NT85" s="10"/>
      <c r="NU85" s="10"/>
      <c r="NV85" s="10"/>
      <c r="NW85" s="10"/>
      <c r="NX85" s="10"/>
      <c r="NY85" s="10"/>
      <c r="NZ85" s="10"/>
      <c r="OA85" s="10"/>
      <c r="OB85" s="10"/>
      <c r="OC85" s="10"/>
      <c r="OD85" s="10"/>
      <c r="OE85" s="10"/>
      <c r="OF85" s="10"/>
      <c r="OG85" s="10"/>
      <c r="OH85" s="10"/>
      <c r="OI85" s="10"/>
      <c r="OJ85" s="10"/>
      <c r="OK85" s="10"/>
      <c r="OL85" s="10"/>
      <c r="OM85" s="10"/>
      <c r="ON85" s="10"/>
      <c r="OO85" s="10"/>
      <c r="OP85" s="10"/>
      <c r="OQ85" s="10"/>
      <c r="OR85" s="10"/>
      <c r="OS85" s="10"/>
      <c r="OT85" s="10"/>
      <c r="OU85" s="10"/>
      <c r="OV85" s="10"/>
      <c r="OW85" s="10"/>
      <c r="OX85" s="10"/>
      <c r="OY85" s="10"/>
      <c r="OZ85" s="10"/>
      <c r="PA85" s="10"/>
      <c r="PB85" s="10"/>
      <c r="PC85" s="10"/>
      <c r="PD85" s="10"/>
      <c r="PE85" s="10"/>
      <c r="PF85" s="10"/>
      <c r="PG85" s="10"/>
      <c r="PH85" s="10"/>
      <c r="PI85" s="10"/>
      <c r="PJ85" s="10"/>
      <c r="PK85" s="10"/>
      <c r="PL85" s="10"/>
      <c r="PM85" s="10"/>
      <c r="PN85" s="10"/>
      <c r="PO85" s="10"/>
      <c r="PP85" s="10"/>
      <c r="PQ85" s="10"/>
      <c r="PR85" s="10"/>
      <c r="PS85" s="10"/>
      <c r="PT85" s="10"/>
      <c r="PU85" s="10"/>
      <c r="PV85" s="10"/>
      <c r="PW85" s="10"/>
      <c r="PX85" s="10"/>
      <c r="PY85" s="10"/>
      <c r="PZ85" s="10"/>
      <c r="QA85" s="10"/>
      <c r="QB85" s="10"/>
      <c r="QC85" s="10"/>
      <c r="QD85" s="10"/>
      <c r="QE85" s="10"/>
      <c r="QF85" s="10"/>
      <c r="QG85" s="10"/>
      <c r="QH85" s="10"/>
      <c r="QI85" s="10"/>
      <c r="QJ85" s="10"/>
      <c r="QK85" s="10"/>
      <c r="QL85" s="10"/>
      <c r="QM85" s="10"/>
      <c r="QN85" s="10"/>
      <c r="QO85" s="10"/>
      <c r="QP85" s="10"/>
      <c r="QQ85" s="10"/>
      <c r="QR85" s="10"/>
      <c r="QS85" s="10"/>
      <c r="QT85" s="10"/>
      <c r="QU85" s="10"/>
      <c r="QV85" s="10"/>
      <c r="QW85" s="10"/>
      <c r="QX85" s="10"/>
      <c r="QY85" s="10"/>
      <c r="QZ85" s="10"/>
      <c r="RA85" s="10"/>
      <c r="RB85" s="10"/>
      <c r="RC85" s="10"/>
      <c r="RD85" s="10"/>
      <c r="RE85" s="10"/>
      <c r="RF85" s="10"/>
      <c r="RG85" s="10"/>
      <c r="RH85" s="10"/>
      <c r="RI85" s="10"/>
      <c r="RJ85" s="10"/>
      <c r="RK85" s="10"/>
      <c r="RL85" s="10"/>
      <c r="RM85" s="10"/>
      <c r="RN85" s="10"/>
      <c r="RO85" s="10"/>
      <c r="RP85" s="10"/>
      <c r="RQ85" s="10"/>
      <c r="RR85" s="10"/>
      <c r="RS85" s="10"/>
      <c r="RT85" s="10"/>
      <c r="RU85" s="10"/>
      <c r="RV85" s="10"/>
      <c r="RW85" s="10"/>
      <c r="RX85" s="10"/>
      <c r="RY85" s="10"/>
      <c r="RZ85" s="10"/>
      <c r="SA85" s="10"/>
      <c r="SB85" s="10"/>
      <c r="SC85" s="10"/>
      <c r="SD85" s="10"/>
      <c r="SE85" s="10"/>
      <c r="SF85" s="10"/>
      <c r="SG85" s="10"/>
      <c r="SH85" s="10"/>
      <c r="SI85" s="10"/>
      <c r="SJ85" s="10"/>
      <c r="SK85" s="10"/>
      <c r="SL85" s="10"/>
      <c r="SM85" s="10"/>
      <c r="SN85" s="10"/>
      <c r="SO85" s="10"/>
      <c r="SP85" s="10"/>
      <c r="SQ85" s="10"/>
      <c r="SR85" s="10"/>
      <c r="SS85" s="10"/>
      <c r="ST85" s="10"/>
      <c r="SU85" s="10"/>
      <c r="SV85" s="10"/>
      <c r="SW85" s="10"/>
      <c r="SX85" s="10"/>
      <c r="SY85" s="10"/>
      <c r="SZ85" s="10"/>
      <c r="TA85" s="10"/>
      <c r="TB85" s="10"/>
      <c r="TC85" s="10"/>
      <c r="TD85" s="10"/>
      <c r="TE85" s="10"/>
      <c r="TF85" s="10"/>
      <c r="TG85" s="10"/>
      <c r="TH85" s="10"/>
      <c r="TI85" s="10"/>
      <c r="TJ85" s="10"/>
      <c r="TK85" s="10"/>
      <c r="TL85" s="10"/>
      <c r="TM85" s="10"/>
      <c r="TN85" s="10"/>
      <c r="TO85" s="10"/>
      <c r="TP85" s="10"/>
      <c r="TQ85" s="10"/>
      <c r="TR85" s="10"/>
      <c r="TS85" s="10"/>
      <c r="TT85" s="10"/>
      <c r="TU85" s="10"/>
      <c r="TV85" s="10"/>
      <c r="TW85" s="10"/>
      <c r="TX85" s="10"/>
      <c r="TY85" s="10"/>
      <c r="TZ85" s="10"/>
      <c r="UA85" s="10"/>
      <c r="UB85" s="10"/>
      <c r="UC85" s="10"/>
      <c r="UD85" s="10"/>
      <c r="UE85" s="10"/>
      <c r="UF85" s="10"/>
      <c r="UG85" s="10"/>
      <c r="UH85" s="10"/>
      <c r="UI85" s="10"/>
      <c r="UJ85" s="10"/>
      <c r="UK85" s="10"/>
      <c r="UL85" s="10"/>
      <c r="UM85" s="10"/>
      <c r="UN85" s="10"/>
      <c r="UO85" s="10"/>
      <c r="UP85" s="10"/>
      <c r="UQ85" s="10"/>
      <c r="UR85" s="10"/>
      <c r="US85" s="10"/>
      <c r="UT85" s="10"/>
      <c r="UU85" s="10"/>
      <c r="UV85" s="10"/>
      <c r="UW85" s="10"/>
      <c r="UX85" s="10"/>
      <c r="UY85" s="10"/>
      <c r="UZ85" s="10"/>
      <c r="VA85" s="10"/>
      <c r="VB85" s="10"/>
      <c r="VC85" s="10"/>
      <c r="VD85" s="10"/>
      <c r="VE85" s="10"/>
      <c r="VF85" s="10"/>
      <c r="VG85" s="10"/>
      <c r="VH85" s="10"/>
      <c r="VI85" s="10"/>
      <c r="VJ85" s="10"/>
      <c r="VK85" s="10"/>
      <c r="VL85" s="10"/>
      <c r="VM85" s="10"/>
      <c r="VN85" s="10"/>
      <c r="VO85" s="10"/>
      <c r="VP85" s="10"/>
      <c r="VQ85" s="10"/>
      <c r="VR85" s="10"/>
      <c r="VS85" s="10"/>
      <c r="VT85" s="10"/>
      <c r="VU85" s="10"/>
      <c r="VV85" s="10"/>
      <c r="VW85" s="10"/>
      <c r="VX85" s="10"/>
      <c r="VY85" s="10"/>
      <c r="VZ85" s="10"/>
      <c r="WA85" s="10"/>
      <c r="WB85" s="10"/>
      <c r="WC85" s="10"/>
      <c r="WD85" s="10"/>
      <c r="WE85" s="10"/>
      <c r="WF85" s="10"/>
      <c r="WG85" s="10"/>
      <c r="WH85" s="10"/>
      <c r="WI85" s="10"/>
      <c r="WJ85" s="10"/>
      <c r="WK85" s="10"/>
      <c r="WL85" s="10"/>
      <c r="WM85" s="10"/>
      <c r="WN85" s="10"/>
      <c r="WO85" s="10"/>
      <c r="WP85" s="10"/>
      <c r="WQ85" s="10"/>
      <c r="WR85" s="10"/>
      <c r="WS85" s="10"/>
      <c r="WT85" s="10"/>
      <c r="WU85" s="10"/>
      <c r="WV85" s="10"/>
      <c r="WW85" s="10"/>
      <c r="WX85" s="10"/>
      <c r="WY85" s="10"/>
      <c r="WZ85" s="10"/>
      <c r="XA85" s="10"/>
      <c r="XB85" s="10"/>
      <c r="XC85" s="10"/>
      <c r="XD85" s="10"/>
      <c r="XE85" s="10"/>
      <c r="XF85" s="10"/>
      <c r="XG85" s="10"/>
      <c r="XH85" s="10"/>
      <c r="XI85" s="10"/>
      <c r="XJ85" s="10"/>
      <c r="XK85" s="10"/>
      <c r="XL85" s="10"/>
      <c r="XM85" s="10"/>
      <c r="XN85" s="10"/>
      <c r="XO85" s="10"/>
      <c r="XP85" s="10"/>
      <c r="XQ85" s="10"/>
      <c r="XR85" s="10"/>
      <c r="XS85" s="10"/>
      <c r="XT85" s="10"/>
      <c r="XU85" s="10"/>
      <c r="XV85" s="10"/>
      <c r="XW85" s="10"/>
      <c r="XX85" s="10"/>
      <c r="XY85" s="10"/>
      <c r="XZ85" s="10"/>
      <c r="YA85" s="10"/>
      <c r="YB85" s="10"/>
      <c r="YC85" s="10"/>
      <c r="YD85" s="10"/>
      <c r="YE85" s="10"/>
      <c r="YF85" s="10"/>
      <c r="YG85" s="10"/>
      <c r="YH85" s="10"/>
      <c r="YI85" s="10"/>
      <c r="YJ85" s="10"/>
      <c r="YK85" s="10"/>
      <c r="YL85" s="10"/>
      <c r="YM85" s="10"/>
      <c r="YN85" s="10"/>
      <c r="YO85" s="10"/>
      <c r="YP85" s="10"/>
      <c r="YQ85" s="10"/>
      <c r="YR85" s="10"/>
      <c r="YS85" s="10"/>
      <c r="YT85" s="10"/>
      <c r="YU85" s="10"/>
      <c r="YV85" s="10"/>
      <c r="YW85" s="10"/>
      <c r="YX85" s="10"/>
      <c r="YY85" s="10"/>
      <c r="YZ85" s="10"/>
      <c r="ZA85" s="10"/>
      <c r="ZB85" s="10"/>
      <c r="ZC85" s="10"/>
      <c r="ZD85" s="10"/>
      <c r="ZE85" s="10"/>
      <c r="ZF85" s="10"/>
      <c r="ZG85" s="10"/>
      <c r="ZH85" s="10"/>
      <c r="ZI85" s="10"/>
      <c r="ZJ85" s="10"/>
      <c r="ZK85" s="10"/>
      <c r="ZL85" s="10"/>
      <c r="ZM85" s="10"/>
      <c r="ZN85" s="10"/>
      <c r="ZO85" s="10"/>
      <c r="ZP85" s="10"/>
      <c r="ZQ85" s="10"/>
      <c r="ZR85" s="10"/>
      <c r="ZS85" s="10"/>
      <c r="ZT85" s="10"/>
      <c r="ZU85" s="10"/>
      <c r="ZV85" s="10"/>
      <c r="ZW85" s="10"/>
      <c r="ZX85" s="10"/>
      <c r="ZY85" s="10"/>
      <c r="ZZ85" s="10"/>
      <c r="AAA85" s="10"/>
      <c r="AAB85" s="10"/>
      <c r="AAC85" s="10"/>
      <c r="AAD85" s="10"/>
      <c r="AAE85" s="10"/>
      <c r="AAF85" s="10"/>
      <c r="AAG85" s="10"/>
      <c r="AAH85" s="10"/>
      <c r="AAI85" s="10"/>
      <c r="AAJ85" s="10"/>
      <c r="AAK85" s="10"/>
      <c r="AAL85" s="10"/>
      <c r="AAM85" s="10"/>
      <c r="AAN85" s="10"/>
      <c r="AAO85" s="10"/>
      <c r="AAP85" s="10"/>
      <c r="AAQ85" s="10"/>
      <c r="AAR85" s="10"/>
      <c r="AAS85" s="10"/>
      <c r="AAT85" s="10"/>
      <c r="AAU85" s="10"/>
      <c r="AAV85" s="10"/>
      <c r="AAW85" s="10"/>
      <c r="AAX85" s="10"/>
      <c r="AAY85" s="10"/>
      <c r="AAZ85" s="10"/>
      <c r="ABA85" s="10"/>
      <c r="ABB85" s="10"/>
      <c r="ABC85" s="10"/>
      <c r="ABD85" s="10"/>
      <c r="ABE85" s="10"/>
      <c r="ABF85" s="10"/>
      <c r="ABG85" s="10"/>
      <c r="ABH85" s="10"/>
      <c r="ABI85" s="10"/>
      <c r="ABJ85" s="10"/>
      <c r="ABK85" s="10"/>
      <c r="ABL85" s="10"/>
    </row>
    <row r="86" spans="1:740" s="35" customFormat="1" x14ac:dyDescent="0.3">
      <c r="B86" s="13">
        <f t="shared" si="4"/>
        <v>0</v>
      </c>
      <c r="C86" s="16"/>
      <c r="D86" s="17" t="s">
        <v>1311</v>
      </c>
      <c r="E86" s="18"/>
      <c r="F86" s="45">
        <v>45280</v>
      </c>
      <c r="G86" s="16"/>
      <c r="H86" s="16"/>
      <c r="I86" s="16"/>
      <c r="J86" s="18" t="s">
        <v>1314</v>
      </c>
      <c r="K86" s="16"/>
      <c r="L86" s="16"/>
      <c r="M86" s="16"/>
      <c r="N86" s="43" t="s">
        <v>1330</v>
      </c>
    </row>
  </sheetData>
  <autoFilter ref="B1:N86" xr:uid="{00000000-0009-0000-0000-000003000000}"/>
  <dataValidations count="5">
    <dataValidation type="list" allowBlank="1" showInputMessage="1" showErrorMessage="1" sqref="D12" xr:uid="{00000000-0002-0000-0300-000000000000}">
      <formula1>"Simples Energia, LuzBoa, Simples Energia Espanha, EZU Energia, Contrato?"</formula1>
    </dataValidation>
    <dataValidation type="list" allowBlank="1" showInputMessage="1" showErrorMessage="1" sqref="D23" xr:uid="{00000000-0002-0000-0300-000001000000}">
      <formula1>"Simples Energia, LuzBoa, Simples Energia Espanha, EZU Energia, -"</formula1>
    </dataValidation>
    <dataValidation type="list" allowBlank="1" showInputMessage="1" showErrorMessage="1" sqref="D2:D11 D13:D22 D24:D86" xr:uid="{00000000-0002-0000-0300-000002000000}">
      <formula1>"Simples Energia, LuzBoa, Simples Energia Espanha, EZU Energia"</formula1>
    </dataValidation>
    <dataValidation type="list" allowBlank="1" showInputMessage="1" showErrorMessage="1" sqref="E2:E86" xr:uid="{00000000-0002-0000-0300-000003000000}">
      <formula1>"Fixo, Indexado"</formula1>
    </dataValidation>
    <dataValidation type="list" allowBlank="1" showInputMessage="1" showErrorMessage="1" sqref="J2:J86" xr:uid="{00000000-0002-0000-0300-000004000000}">
      <formula1>"Ativo, Aguardando, Pendencias, Não Tratar"</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A0274-5ED5-4D55-B6F4-908AF3572117}">
  <sheetPr filterMode="1"/>
  <dimension ref="A1:S523"/>
  <sheetViews>
    <sheetView showGridLines="0" workbookViewId="0">
      <pane ySplit="4" topLeftCell="A191" activePane="bottomLeft" state="frozen"/>
      <selection pane="bottomLeft" activeCell="B244" sqref="A244:B244"/>
    </sheetView>
  </sheetViews>
  <sheetFormatPr defaultRowHeight="14.4" x14ac:dyDescent="0.3"/>
  <cols>
    <col min="1" max="1" width="8" customWidth="1"/>
    <col min="2" max="2" width="20" customWidth="1"/>
    <col min="3" max="3" width="24" customWidth="1"/>
    <col min="4" max="5" width="14" customWidth="1"/>
    <col min="6" max="7" width="11" customWidth="1"/>
    <col min="8" max="8" width="10" customWidth="1"/>
    <col min="9" max="9" width="12" customWidth="1"/>
    <col min="10" max="10" width="11" customWidth="1"/>
    <col min="11" max="14" width="10" customWidth="1"/>
    <col min="15" max="15" width="11" customWidth="1"/>
    <col min="16" max="16" width="12" customWidth="1"/>
    <col min="18" max="18" width="10" customWidth="1"/>
    <col min="19" max="19" width="18" customWidth="1"/>
  </cols>
  <sheetData>
    <row r="1" spans="1:19" ht="14.4" customHeight="1" x14ac:dyDescent="0.3">
      <c r="A1" s="311" t="s">
        <v>1363</v>
      </c>
      <c r="B1" s="311"/>
      <c r="C1" s="311"/>
      <c r="D1" s="311"/>
      <c r="E1" s="311"/>
      <c r="F1" s="311"/>
      <c r="G1" s="311"/>
      <c r="H1" s="311"/>
      <c r="I1" s="311"/>
      <c r="J1" s="311"/>
      <c r="K1" s="311"/>
      <c r="L1" s="311"/>
      <c r="M1" s="311"/>
      <c r="N1" s="311"/>
      <c r="O1" s="311"/>
      <c r="P1" s="311"/>
    </row>
    <row r="2" spans="1:19" ht="14.4" customHeight="1" x14ac:dyDescent="0.3">
      <c r="A2" s="312" t="s">
        <v>1364</v>
      </c>
      <c r="B2" s="312"/>
      <c r="C2" s="312"/>
      <c r="D2" s="312"/>
      <c r="E2" s="312"/>
      <c r="F2" s="312"/>
      <c r="G2" s="312"/>
      <c r="H2" s="312"/>
      <c r="I2" s="312"/>
      <c r="J2" s="312"/>
      <c r="K2" s="312"/>
      <c r="L2" s="312"/>
      <c r="M2" s="312"/>
      <c r="N2" s="312"/>
      <c r="O2" s="312"/>
      <c r="P2" s="312"/>
    </row>
    <row r="3" spans="1:19" ht="3.6" customHeight="1" x14ac:dyDescent="0.3"/>
    <row r="4" spans="1:19" ht="42.6" customHeight="1" x14ac:dyDescent="0.3">
      <c r="A4" s="223" t="s">
        <v>22</v>
      </c>
      <c r="B4" s="223" t="s">
        <v>24</v>
      </c>
      <c r="C4" s="223" t="s">
        <v>25</v>
      </c>
      <c r="D4" s="223" t="s">
        <v>40</v>
      </c>
      <c r="E4" s="223" t="s">
        <v>46</v>
      </c>
      <c r="F4" s="223" t="s">
        <v>1365</v>
      </c>
      <c r="G4" s="223" t="s">
        <v>1366</v>
      </c>
      <c r="H4" s="223" t="s">
        <v>1367</v>
      </c>
      <c r="I4" s="223" t="s">
        <v>1368</v>
      </c>
      <c r="J4" s="223" t="s">
        <v>1369</v>
      </c>
      <c r="K4" s="223" t="s">
        <v>1370</v>
      </c>
      <c r="L4" s="223" t="s">
        <v>1371</v>
      </c>
      <c r="M4" s="227" t="s">
        <v>1383</v>
      </c>
      <c r="N4" s="227" t="s">
        <v>1382</v>
      </c>
      <c r="O4" s="223" t="s">
        <v>1372</v>
      </c>
      <c r="P4" s="223" t="s">
        <v>5</v>
      </c>
      <c r="R4" s="216" t="s">
        <v>1373</v>
      </c>
    </row>
    <row r="5" spans="1:19" hidden="1" x14ac:dyDescent="0.3">
      <c r="A5" s="217" t="str">
        <f>""&amp;'Project Overview'!A2</f>
        <v>1</v>
      </c>
      <c r="B5" s="218" t="str">
        <f>'Project Overview'!B2</f>
        <v>A Colmeia do Minho</v>
      </c>
      <c r="C5" s="218" t="str">
        <f>'Project Overview'!C2</f>
        <v>A Colmeia do Minho, S.A.,</v>
      </c>
      <c r="D5" s="221" t="str">
        <f>'Project Overview'!R2</f>
        <v>ACTIVE</v>
      </c>
      <c r="E5" s="221" t="str">
        <f ca="1">'Project Overview'!Y2</f>
        <v>yes</v>
      </c>
      <c r="F5" s="217">
        <f>IF(OR($A5="",$B5=""),1,0)</f>
        <v>0</v>
      </c>
      <c r="G5" s="217">
        <f>IF($C5="",1,0)</f>
        <v>0</v>
      </c>
      <c r="H5" s="217">
        <f>IF('Project Overview'!D2="",1,0)</f>
        <v>0</v>
      </c>
      <c r="I5" s="217">
        <f>IF('Project Overview'!F2="",1,0)</f>
        <v>0</v>
      </c>
      <c r="J5" s="217">
        <f>IF(AND($A5&lt;&gt;"",OR('Project Overview'!I2="ESCO",'Project Overview'!I2="EPC",'Project Overview'!I2="ESCO BUYOUT"),'Project Overview'!K2=""),1,0)</f>
        <v>0</v>
      </c>
      <c r="K5" s="217">
        <f>IF(AND($A5&lt;&gt;"",'Project Overview'!M2=""),1,0)</f>
        <v>0</v>
      </c>
      <c r="L5" s="217">
        <f>IF(AND($A5&lt;&gt;"",'Project Overview'!U2=""),1,0)</f>
        <v>0</v>
      </c>
      <c r="M5" s="217">
        <f>IF(OR($A5="",'Project Overview'!O2="",'Project Overview'!O2="?"),1,0)</f>
        <v>0</v>
      </c>
      <c r="N5" s="217">
        <f>IF(OR($A5="",'Project Overview'!P2="", 'Project Overview'!P2="?"),1,0)</f>
        <v>0</v>
      </c>
      <c r="O5" s="217">
        <f>SUM(F5:N5)</f>
        <v>0</v>
      </c>
      <c r="P5" s="217" t="str">
        <f t="shared" ref="P5:P68" si="0">IF($A5="","",IF($O5=0,"OK","REVER"))</f>
        <v>OK</v>
      </c>
      <c r="R5" s="219" t="s">
        <v>1374</v>
      </c>
      <c r="S5" t="s">
        <v>1375</v>
      </c>
    </row>
    <row r="6" spans="1:19" ht="43.2" hidden="1" x14ac:dyDescent="0.3">
      <c r="A6" s="217" t="str">
        <f>""&amp;'Project Overview'!A3</f>
        <v>2</v>
      </c>
      <c r="B6" s="218" t="str">
        <f>'Project Overview'!B3</f>
        <v>Florineve</v>
      </c>
      <c r="C6" s="218" t="str">
        <f>'Project Overview'!C3</f>
        <v>Florineve - Produção e Comércio de Flores de Corte</v>
      </c>
      <c r="D6" s="221" t="str">
        <f>'Project Overview'!R3</f>
        <v>ACTIVE</v>
      </c>
      <c r="E6" s="221" t="str">
        <f ca="1">'Project Overview'!Y3</f>
        <v>yes</v>
      </c>
      <c r="F6" s="217">
        <f t="shared" ref="F6:F7" si="1">IF(OR($A6="",$B6=""),1,0)</f>
        <v>0</v>
      </c>
      <c r="G6" s="217">
        <f t="shared" ref="G6:G7" si="2">IF($C6="",1,0)</f>
        <v>0</v>
      </c>
      <c r="H6" s="217">
        <f>IF(AND($A6&lt;&gt;"",'Project Overview'!D3=""),1,0)</f>
        <v>0</v>
      </c>
      <c r="I6" s="217">
        <f>IF(AND($A6&lt;&gt;"",'Project Overview'!F3=""),1,0)</f>
        <v>0</v>
      </c>
      <c r="J6" s="217">
        <f>IF(AND($A6&lt;&gt;"",OR('Project Overview'!I3="ESCO",'Project Overview'!I3="EPC",'Project Overview'!I3="ESCO BUYOUT"),'Project Overview'!K3=""),1,0)</f>
        <v>0</v>
      </c>
      <c r="K6" s="217">
        <f>IF(AND($A6&lt;&gt;"",'Project Overview'!M3=""),1,0)</f>
        <v>0</v>
      </c>
      <c r="L6" s="217">
        <f>IF(AND($A6&lt;&gt;"",'Project Overview'!U3=""),1,0)</f>
        <v>0</v>
      </c>
      <c r="M6" s="217">
        <f>IF(OR($A6="",'Project Overview'!O3="",'Project Overview'!O3="?"),1,0)</f>
        <v>0</v>
      </c>
      <c r="N6" s="217">
        <f>IF(OR($A6="",'Project Overview'!P3="", 'Project Overview'!P3="?"),1,0)</f>
        <v>0</v>
      </c>
      <c r="O6" s="217">
        <f t="shared" ref="O6:O69" si="3">SUM(F6:N6)</f>
        <v>0</v>
      </c>
      <c r="P6" s="217" t="str">
        <f t="shared" si="0"/>
        <v>OK</v>
      </c>
      <c r="R6" s="220" t="s">
        <v>1376</v>
      </c>
      <c r="S6" t="s">
        <v>1377</v>
      </c>
    </row>
    <row r="7" spans="1:19" ht="28.8" hidden="1" x14ac:dyDescent="0.3">
      <c r="A7" s="217" t="str">
        <f>""&amp;'Project Overview'!A4</f>
        <v>3</v>
      </c>
      <c r="B7" s="218" t="str">
        <f>'Project Overview'!B4</f>
        <v>Dialogos do Bosque</v>
      </c>
      <c r="C7" s="218" t="str">
        <f>'Project Overview'!C4</f>
        <v>Diálogos do Bosque, Unipessoal, LDA</v>
      </c>
      <c r="D7" s="221" t="str">
        <f>'Project Overview'!R4</f>
        <v>ACTIVE</v>
      </c>
      <c r="E7" s="221" t="str">
        <f ca="1">'Project Overview'!Y4</f>
        <v>yes</v>
      </c>
      <c r="F7" s="217">
        <f t="shared" si="1"/>
        <v>0</v>
      </c>
      <c r="G7" s="217">
        <f t="shared" si="2"/>
        <v>0</v>
      </c>
      <c r="H7" s="217">
        <f>IF(AND($A7&lt;&gt;"",'Project Overview'!D4=""),1,0)</f>
        <v>0</v>
      </c>
      <c r="I7" s="217">
        <f>IF(AND($A7&lt;&gt;"",'Project Overview'!F4=""),1,0)</f>
        <v>0</v>
      </c>
      <c r="J7" s="217">
        <f>IF(AND($A7&lt;&gt;"",OR('Project Overview'!I4="ESCO",'Project Overview'!I4="EPC",'Project Overview'!I4="ESCO BUYOUT"),'Project Overview'!K4=""),1,0)</f>
        <v>0</v>
      </c>
      <c r="K7" s="217">
        <f>IF(AND($A7&lt;&gt;"",'Project Overview'!M4=""),1,0)</f>
        <v>0</v>
      </c>
      <c r="L7" s="217">
        <f>IF(AND($A7&lt;&gt;"",'Project Overview'!U4=""),1,0)</f>
        <v>0</v>
      </c>
      <c r="M7" s="217">
        <f>IF(OR($A7="",'Project Overview'!O4="",'Project Overview'!O4="?"),1,0)</f>
        <v>0</v>
      </c>
      <c r="N7" s="217">
        <f>IF(OR($A7="",'Project Overview'!P4="", 'Project Overview'!P4="?"),1,0)</f>
        <v>0</v>
      </c>
      <c r="O7" s="217">
        <f t="shared" si="3"/>
        <v>0</v>
      </c>
      <c r="P7" s="217" t="str">
        <f t="shared" si="0"/>
        <v>OK</v>
      </c>
    </row>
    <row r="8" spans="1:19" ht="28.8" hidden="1" x14ac:dyDescent="0.3">
      <c r="A8" s="217" t="str">
        <f>""&amp;'Project Overview'!A5</f>
        <v>4</v>
      </c>
      <c r="B8" s="218" t="str">
        <f>'Project Overview'!B5</f>
        <v>Presuntos Lourenço 2</v>
      </c>
      <c r="C8" s="218" t="str">
        <f>'Project Overview'!C5</f>
        <v>A. Pires Lourenço &amp; Filhos S.A</v>
      </c>
      <c r="D8" s="221" t="str">
        <f>'Project Overview'!R5</f>
        <v>ACTIVE</v>
      </c>
      <c r="E8" s="221" t="str">
        <f ca="1">'Project Overview'!Y5</f>
        <v>yes</v>
      </c>
      <c r="F8" s="217">
        <f t="shared" ref="F8:F68" si="4">IF(AND($A8&lt;&gt;"",$B8=""),1,0)</f>
        <v>0</v>
      </c>
      <c r="G8" s="217">
        <f t="shared" ref="G8:G68" si="5">IF(AND($A8&lt;&gt;"",$C8=""),1,0)</f>
        <v>0</v>
      </c>
      <c r="H8" s="217">
        <f>IF(AND($A8&lt;&gt;"",'Project Overview'!D5=""),1,0)</f>
        <v>0</v>
      </c>
      <c r="I8" s="217">
        <f>IF(AND($A8&lt;&gt;"",'Project Overview'!F5=""),1,0)</f>
        <v>0</v>
      </c>
      <c r="J8" s="217">
        <f>IF(AND($A8&lt;&gt;"",OR('Project Overview'!I5="ESCO",'Project Overview'!I5="EPC",'Project Overview'!I5="ESCO BUYOUT"),'Project Overview'!K5=""),1,0)</f>
        <v>0</v>
      </c>
      <c r="K8" s="217">
        <f>IF(AND($A8&lt;&gt;"",'Project Overview'!M5=""),1,0)</f>
        <v>0</v>
      </c>
      <c r="L8" s="217">
        <f>IF(AND($A8&lt;&gt;"",'Project Overview'!U5=""),1,0)</f>
        <v>0</v>
      </c>
      <c r="M8" s="217">
        <f>IF(OR($A8="",'Project Overview'!O5="",'Project Overview'!O5="?"),1,0)</f>
        <v>0</v>
      </c>
      <c r="N8" s="217">
        <f>IF(OR($A8="",'Project Overview'!P5="", 'Project Overview'!P5="?"),1,0)</f>
        <v>0</v>
      </c>
      <c r="O8" s="217">
        <f t="shared" si="3"/>
        <v>0</v>
      </c>
      <c r="P8" s="217" t="str">
        <f t="shared" si="0"/>
        <v>OK</v>
      </c>
      <c r="R8">
        <f>N8</f>
        <v>0</v>
      </c>
    </row>
    <row r="9" spans="1:19" ht="28.8" hidden="1" x14ac:dyDescent="0.3">
      <c r="A9" s="217" t="str">
        <f>""&amp;'Project Overview'!A6</f>
        <v>4</v>
      </c>
      <c r="B9" s="218" t="str">
        <f>'Project Overview'!B6</f>
        <v>Pires Lourenço 1</v>
      </c>
      <c r="C9" s="218" t="str">
        <f>'Project Overview'!C6</f>
        <v>A. Pires Lourenço &amp; Filhos S.A</v>
      </c>
      <c r="D9" s="221" t="str">
        <f>'Project Overview'!R6</f>
        <v>ACTIVE</v>
      </c>
      <c r="E9" s="221" t="str">
        <f ca="1">'Project Overview'!Y6</f>
        <v>yes</v>
      </c>
      <c r="F9" s="217">
        <f>IF(OR($A9="",$B9=""),1,0)</f>
        <v>0</v>
      </c>
      <c r="G9" s="217">
        <f>IF($C9="",1,0)</f>
        <v>0</v>
      </c>
      <c r="H9" s="217">
        <f>IF(AND($A9&lt;&gt;"",'Project Overview'!D6=""),1,0)</f>
        <v>0</v>
      </c>
      <c r="I9" s="217">
        <f>IF(AND($A9&lt;&gt;"",'Project Overview'!F6=""),1,0)</f>
        <v>0</v>
      </c>
      <c r="J9" s="217">
        <f>IF(AND($A9&lt;&gt;"",OR('Project Overview'!I6="ESCO",'Project Overview'!I6="EPC",'Project Overview'!I6="ESCO BUYOUT"),'Project Overview'!K6=""),1,0)</f>
        <v>0</v>
      </c>
      <c r="K9" s="217">
        <f>IF(AND($A9&lt;&gt;"",'Project Overview'!M6=""),1,0)</f>
        <v>0</v>
      </c>
      <c r="L9" s="217">
        <f>IF(AND($A9&lt;&gt;"",'Project Overview'!U6=""),1,0)</f>
        <v>0</v>
      </c>
      <c r="M9" s="217">
        <f>IF(OR($A9="",'Project Overview'!O6="",'Project Overview'!O6="?"),1,0)</f>
        <v>0</v>
      </c>
      <c r="N9" s="217">
        <f>IF(OR($A9="",'Project Overview'!P6="", 'Project Overview'!P6="?"),1,0)</f>
        <v>0</v>
      </c>
      <c r="O9" s="217">
        <f t="shared" si="3"/>
        <v>0</v>
      </c>
      <c r="P9" s="217" t="str">
        <f t="shared" si="0"/>
        <v>OK</v>
      </c>
    </row>
    <row r="10" spans="1:19" ht="28.8" hidden="1" x14ac:dyDescent="0.3">
      <c r="A10" s="217" t="str">
        <f>""&amp;'Project Overview'!A7</f>
        <v>5</v>
      </c>
      <c r="B10" s="218" t="str">
        <f>'Project Overview'!B7</f>
        <v>Usinage</v>
      </c>
      <c r="C10" s="218" t="str">
        <f>'Project Overview'!C7</f>
        <v>Usinage - Maquinação e Porta Moldes, Lda</v>
      </c>
      <c r="D10" s="221" t="str">
        <f>'Project Overview'!R7</f>
        <v>ACTIVE</v>
      </c>
      <c r="E10" s="221" t="str">
        <f ca="1">'Project Overview'!Y7</f>
        <v>no</v>
      </c>
      <c r="F10" s="217">
        <f t="shared" si="4"/>
        <v>0</v>
      </c>
      <c r="G10" s="217">
        <f t="shared" si="5"/>
        <v>0</v>
      </c>
      <c r="H10" s="217">
        <f>IF(AND($A10&lt;&gt;"",'Project Overview'!D7=""),1,0)</f>
        <v>0</v>
      </c>
      <c r="I10" s="217">
        <f>IF(AND($A10&lt;&gt;"",'Project Overview'!F7=""),1,0)</f>
        <v>0</v>
      </c>
      <c r="J10" s="217">
        <f>IF(AND($A10&lt;&gt;"",OR('Project Overview'!I7="ESCO",'Project Overview'!I7="EPC",'Project Overview'!I7="ESCO BUYOUT"),'Project Overview'!K7=""),1,0)</f>
        <v>0</v>
      </c>
      <c r="K10" s="217">
        <f>IF(AND($A10&lt;&gt;"",'Project Overview'!M7=""),1,0)</f>
        <v>0</v>
      </c>
      <c r="L10" s="217">
        <f>IF(AND($A10&lt;&gt;"",'Project Overview'!U7=""),1,0)</f>
        <v>0</v>
      </c>
      <c r="M10" s="217">
        <f>IF(OR($A10="",'Project Overview'!O7="",'Project Overview'!O7="?"),1,0)</f>
        <v>0</v>
      </c>
      <c r="N10" s="217">
        <f>IF(OR($A10="",'Project Overview'!P7="", 'Project Overview'!P7="?"),1,0)</f>
        <v>0</v>
      </c>
      <c r="O10" s="217">
        <f t="shared" si="3"/>
        <v>0</v>
      </c>
      <c r="P10" s="217" t="str">
        <f t="shared" si="0"/>
        <v>OK</v>
      </c>
    </row>
    <row r="11" spans="1:19" ht="28.8" hidden="1" x14ac:dyDescent="0.3">
      <c r="A11" s="217" t="str">
        <f>""&amp;'Project Overview'!A8</f>
        <v>6</v>
      </c>
      <c r="B11" s="218" t="str">
        <f>'Project Overview'!B8</f>
        <v>Museu Caramulo</v>
      </c>
      <c r="C11" s="218" t="str">
        <f>'Project Overview'!C8</f>
        <v>Fundação Abel e João de Lacerda</v>
      </c>
      <c r="D11" s="221" t="str">
        <f>'Project Overview'!R8</f>
        <v>ACTIVE</v>
      </c>
      <c r="E11" s="221" t="str">
        <f ca="1">'Project Overview'!Y8</f>
        <v>yes</v>
      </c>
      <c r="F11" s="217">
        <f>IF(OR($A11="",$B11=""),1,0)</f>
        <v>0</v>
      </c>
      <c r="G11" s="217">
        <f>IF($C11="",1,0)</f>
        <v>0</v>
      </c>
      <c r="H11" s="217">
        <f>IF(AND($A11&lt;&gt;"",'Project Overview'!D8=""),1,0)</f>
        <v>0</v>
      </c>
      <c r="I11" s="217">
        <f>IF(AND($A11&lt;&gt;"",'Project Overview'!F8=""),1,0)</f>
        <v>0</v>
      </c>
      <c r="J11" s="217">
        <f>IF(AND($A11&lt;&gt;"",OR('Project Overview'!I8="ESCO",'Project Overview'!I8="EPC",'Project Overview'!I8="ESCO BUYOUT"),'Project Overview'!K8=""),1,0)</f>
        <v>0</v>
      </c>
      <c r="K11" s="217">
        <f>IF(AND($A11&lt;&gt;"",'Project Overview'!M8=""),1,0)</f>
        <v>0</v>
      </c>
      <c r="L11" s="217">
        <f>IF(AND($A11&lt;&gt;"",'Project Overview'!U8=""),1,0)</f>
        <v>0</v>
      </c>
      <c r="M11" s="217">
        <f>IF(OR($A11="",'Project Overview'!O8="",'Project Overview'!O8="?"),1,0)</f>
        <v>0</v>
      </c>
      <c r="N11" s="217">
        <f>IF(OR($A11="",'Project Overview'!P8="", 'Project Overview'!P8="?"),1,0)</f>
        <v>0</v>
      </c>
      <c r="O11" s="217">
        <f t="shared" si="3"/>
        <v>0</v>
      </c>
      <c r="P11" s="217" t="str">
        <f t="shared" si="0"/>
        <v>OK</v>
      </c>
    </row>
    <row r="12" spans="1:19" hidden="1" x14ac:dyDescent="0.3">
      <c r="A12" s="217" t="str">
        <f>""&amp;'Project Overview'!A9</f>
        <v>7</v>
      </c>
      <c r="B12" s="218" t="str">
        <f>'Project Overview'!B9</f>
        <v>Confrontar Sabores</v>
      </c>
      <c r="C12" s="218" t="str">
        <f>'Project Overview'!C9</f>
        <v>Confrontan Sabores, Lda</v>
      </c>
      <c r="D12" s="221" t="str">
        <f>'Project Overview'!R9</f>
        <v>CANCELLED</v>
      </c>
      <c r="E12" s="221" t="str">
        <f ca="1">'Project Overview'!Y9</f>
        <v>no</v>
      </c>
      <c r="F12" s="217">
        <f t="shared" si="4"/>
        <v>0</v>
      </c>
      <c r="G12" s="217">
        <f t="shared" si="5"/>
        <v>0</v>
      </c>
      <c r="H12" s="217">
        <f>IF(AND($A12&lt;&gt;"",'Project Overview'!D9=""),1,0)</f>
        <v>0</v>
      </c>
      <c r="I12" s="217">
        <f>IF(AND($A12&lt;&gt;"",'Project Overview'!F9=""),1,0)</f>
        <v>1</v>
      </c>
      <c r="J12" s="217">
        <f>IF(AND($A12&lt;&gt;"",OR('Project Overview'!I9="ESCO",'Project Overview'!I9="EPC",'Project Overview'!I9="ESCO BUYOUT"),'Project Overview'!K9=""),1,0)</f>
        <v>0</v>
      </c>
      <c r="K12" s="217">
        <f>IF(AND($A12&lt;&gt;"",'Project Overview'!M9=""),1,0)</f>
        <v>1</v>
      </c>
      <c r="L12" s="217">
        <f>IF(AND($A12&lt;&gt;"",'Project Overview'!U9=""),1,0)</f>
        <v>1</v>
      </c>
      <c r="M12" s="217">
        <f>IF(OR($A12="",'Project Overview'!O9="",'Project Overview'!O9="?"),1,0)</f>
        <v>1</v>
      </c>
      <c r="N12" s="217">
        <f>IF(OR($A12="",'Project Overview'!P9="", 'Project Overview'!P9="?"),1,0)</f>
        <v>1</v>
      </c>
      <c r="O12" s="217">
        <f t="shared" si="3"/>
        <v>5</v>
      </c>
      <c r="P12" s="217" t="str">
        <f t="shared" si="0"/>
        <v>REVER</v>
      </c>
    </row>
    <row r="13" spans="1:19" hidden="1" x14ac:dyDescent="0.3">
      <c r="A13" s="217" t="str">
        <f>""&amp;'Project Overview'!A10</f>
        <v>8</v>
      </c>
      <c r="B13" s="218" t="str">
        <f>'Project Overview'!B10</f>
        <v>Marmores da Granja</v>
      </c>
      <c r="C13" s="218" t="str">
        <f>'Project Overview'!C10</f>
        <v>Marmores da Granja Lda</v>
      </c>
      <c r="D13" s="221" t="str">
        <f>'Project Overview'!R10</f>
        <v>ACTIVE</v>
      </c>
      <c r="E13" s="221" t="str">
        <f ca="1">'Project Overview'!Y10</f>
        <v>yes</v>
      </c>
      <c r="F13" s="217">
        <f>IF(OR($A13="",$B13=""),1,0)</f>
        <v>0</v>
      </c>
      <c r="G13" s="217">
        <f>IF($C13="",1,0)</f>
        <v>0</v>
      </c>
      <c r="H13" s="217">
        <f>IF(AND($A13&lt;&gt;"",'Project Overview'!D10=""),1,0)</f>
        <v>0</v>
      </c>
      <c r="I13" s="217">
        <f>IF(AND($A13&lt;&gt;"",'Project Overview'!F10=""),1,0)</f>
        <v>0</v>
      </c>
      <c r="J13" s="217">
        <f>IF(AND($A13&lt;&gt;"",OR('Project Overview'!I10="ESCO",'Project Overview'!I10="EPC",'Project Overview'!I10="ESCO BUYOUT"),'Project Overview'!K10=""),1,0)</f>
        <v>0</v>
      </c>
      <c r="K13" s="217">
        <f>IF(AND($A13&lt;&gt;"",'Project Overview'!M10=""),1,0)</f>
        <v>0</v>
      </c>
      <c r="L13" s="217">
        <f>IF(AND($A13&lt;&gt;"",'Project Overview'!U10=""),1,0)</f>
        <v>0</v>
      </c>
      <c r="M13" s="217">
        <f>IF(OR($A13="",'Project Overview'!O10="",'Project Overview'!O10="?"),1,0)</f>
        <v>0</v>
      </c>
      <c r="N13" s="217">
        <f>IF(OR($A13="",'Project Overview'!P10="", 'Project Overview'!P10="?"),1,0)</f>
        <v>0</v>
      </c>
      <c r="O13" s="217">
        <f t="shared" si="3"/>
        <v>0</v>
      </c>
      <c r="P13" s="217" t="str">
        <f t="shared" si="0"/>
        <v>OK</v>
      </c>
    </row>
    <row r="14" spans="1:19" hidden="1" x14ac:dyDescent="0.3">
      <c r="A14" s="217" t="str">
        <f>""&amp;'Project Overview'!A11</f>
        <v>9</v>
      </c>
      <c r="B14" s="218" t="str">
        <f>'Project Overview'!B11</f>
        <v>Lands Hause - Pataias</v>
      </c>
      <c r="C14" s="218" t="str">
        <f>'Project Overview'!C11</f>
        <v>Ah Pinhal do Rei, Lda</v>
      </c>
      <c r="D14" s="221" t="str">
        <f>'Project Overview'!R11</f>
        <v>ACTIVE</v>
      </c>
      <c r="E14" s="221" t="str">
        <f ca="1">'Project Overview'!Y11</f>
        <v>no</v>
      </c>
      <c r="F14" s="217">
        <f t="shared" si="4"/>
        <v>0</v>
      </c>
      <c r="G14" s="217">
        <f t="shared" si="5"/>
        <v>0</v>
      </c>
      <c r="H14" s="217">
        <f>IF(AND($A14&lt;&gt;"",'Project Overview'!D11=""),1,0)</f>
        <v>0</v>
      </c>
      <c r="I14" s="217">
        <f>IF(AND($A14&lt;&gt;"",'Project Overview'!F11=""),1,0)</f>
        <v>0</v>
      </c>
      <c r="J14" s="217">
        <f>IF(AND($A14&lt;&gt;"",OR('Project Overview'!I11="ESCO",'Project Overview'!I11="EPC",'Project Overview'!I11="ESCO BUYOUT"),'Project Overview'!K11=""),1,0)</f>
        <v>0</v>
      </c>
      <c r="K14" s="217">
        <f>IF(AND($A14&lt;&gt;"",'Project Overview'!M11=""),1,0)</f>
        <v>0</v>
      </c>
      <c r="L14" s="217">
        <f>IF(AND($A14&lt;&gt;"",'Project Overview'!U11=""),1,0)</f>
        <v>0</v>
      </c>
      <c r="M14" s="217">
        <f>IF(OR($A14="",'Project Overview'!O11="",'Project Overview'!O11="?"),1,0)</f>
        <v>0</v>
      </c>
      <c r="N14" s="217">
        <f>IF(OR($A14="",'Project Overview'!P11="", 'Project Overview'!P11="?"),1,0)</f>
        <v>0</v>
      </c>
      <c r="O14" s="217">
        <f t="shared" si="3"/>
        <v>0</v>
      </c>
      <c r="P14" s="217" t="str">
        <f t="shared" si="0"/>
        <v>OK</v>
      </c>
    </row>
    <row r="15" spans="1:19" ht="28.8" hidden="1" x14ac:dyDescent="0.3">
      <c r="A15" s="217" t="str">
        <f>""&amp;'Project Overview'!A12</f>
        <v>10</v>
      </c>
      <c r="B15" s="218" t="str">
        <f>'Project Overview'!B12</f>
        <v>Lusobatata</v>
      </c>
      <c r="C15" s="218" t="str">
        <f>'Project Overview'!C12</f>
        <v>Lusobatata- Produtos de lV Gama, LDA</v>
      </c>
      <c r="D15" s="221" t="str">
        <f>'Project Overview'!R12</f>
        <v>ACTIVE</v>
      </c>
      <c r="E15" s="221" t="str">
        <f ca="1">'Project Overview'!Y12</f>
        <v>yes</v>
      </c>
      <c r="F15" s="217">
        <f t="shared" ref="F15:F16" si="6">IF(OR($A15="",$B15=""),1,0)</f>
        <v>0</v>
      </c>
      <c r="G15" s="217">
        <f t="shared" ref="G15:G16" si="7">IF($C15="",1,0)</f>
        <v>0</v>
      </c>
      <c r="H15" s="217">
        <f>IF(AND($A15&lt;&gt;"",'Project Overview'!D12=""),1,0)</f>
        <v>0</v>
      </c>
      <c r="I15" s="217">
        <f>IF(AND($A15&lt;&gt;"",'Project Overview'!F12=""),1,0)</f>
        <v>0</v>
      </c>
      <c r="J15" s="217">
        <f>IF(AND($A15&lt;&gt;"",OR('Project Overview'!I12="ESCO",'Project Overview'!I12="EPC",'Project Overview'!I12="ESCO BUYOUT"),'Project Overview'!K12=""),1,0)</f>
        <v>0</v>
      </c>
      <c r="K15" s="217">
        <f>IF(AND($A15&lt;&gt;"",'Project Overview'!M12=""),1,0)</f>
        <v>0</v>
      </c>
      <c r="L15" s="217">
        <f>IF(AND($A15&lt;&gt;"",'Project Overview'!U12=""),1,0)</f>
        <v>0</v>
      </c>
      <c r="M15" s="217">
        <f>IF(OR($A15="",'Project Overview'!O12="",'Project Overview'!O12="?"),1,0)</f>
        <v>0</v>
      </c>
      <c r="N15" s="217">
        <f>IF(OR($A15="",'Project Overview'!P12="", 'Project Overview'!P12="?"),1,0)</f>
        <v>0</v>
      </c>
      <c r="O15" s="217">
        <f t="shared" si="3"/>
        <v>0</v>
      </c>
      <c r="P15" s="217" t="str">
        <f t="shared" si="0"/>
        <v>OK</v>
      </c>
    </row>
    <row r="16" spans="1:19" ht="28.8" hidden="1" x14ac:dyDescent="0.3">
      <c r="A16" s="217" t="str">
        <f>""&amp;'Project Overview'!A13</f>
        <v>11</v>
      </c>
      <c r="B16" s="218" t="str">
        <f>'Project Overview'!B13</f>
        <v>Solidus</v>
      </c>
      <c r="C16" s="218" t="str">
        <f>'Project Overview'!C13</f>
        <v>Solidus Soluções Para Ferramentas e Moldes, Lda.</v>
      </c>
      <c r="D16" s="221" t="str">
        <f>'Project Overview'!R13</f>
        <v>ACTIVE</v>
      </c>
      <c r="E16" s="221" t="str">
        <f ca="1">'Project Overview'!Y13</f>
        <v>yes</v>
      </c>
      <c r="F16" s="217">
        <f t="shared" si="6"/>
        <v>0</v>
      </c>
      <c r="G16" s="217">
        <f t="shared" si="7"/>
        <v>0</v>
      </c>
      <c r="H16" s="217">
        <f>IF(AND($A16&lt;&gt;"",'Project Overview'!D13=""),1,0)</f>
        <v>0</v>
      </c>
      <c r="I16" s="217">
        <f>IF(AND($A16&lt;&gt;"",'Project Overview'!F13=""),1,0)</f>
        <v>0</v>
      </c>
      <c r="J16" s="217">
        <f>IF(AND($A16&lt;&gt;"",OR('Project Overview'!I13="ESCO",'Project Overview'!I13="EPC",'Project Overview'!I13="ESCO BUYOUT"),'Project Overview'!K13=""),1,0)</f>
        <v>0</v>
      </c>
      <c r="K16" s="217">
        <f>IF(AND($A16&lt;&gt;"",'Project Overview'!M13=""),1,0)</f>
        <v>0</v>
      </c>
      <c r="L16" s="217">
        <f>IF(AND($A16&lt;&gt;"",'Project Overview'!U13=""),1,0)</f>
        <v>0</v>
      </c>
      <c r="M16" s="217">
        <f>IF(OR($A16="",'Project Overview'!O13="",'Project Overview'!O13="?"),1,0)</f>
        <v>0</v>
      </c>
      <c r="N16" s="217">
        <f>IF(OR($A16="",'Project Overview'!P13="", 'Project Overview'!P13="?"),1,0)</f>
        <v>0</v>
      </c>
      <c r="O16" s="217">
        <f t="shared" si="3"/>
        <v>0</v>
      </c>
      <c r="P16" s="217" t="str">
        <f t="shared" si="0"/>
        <v>OK</v>
      </c>
    </row>
    <row r="17" spans="1:16" ht="57.6" hidden="1" x14ac:dyDescent="0.3">
      <c r="A17" s="217" t="str">
        <f>""&amp;'Project Overview'!A14</f>
        <v>12</v>
      </c>
      <c r="B17" s="218" t="str">
        <f>'Project Overview'!B14</f>
        <v>NC Logistica</v>
      </c>
      <c r="C17" s="218" t="str">
        <f>'Project Overview'!C14</f>
        <v>Natureza Em Congelados, Armazenagem e Comercialização de Produtos Alimentares Lda</v>
      </c>
      <c r="D17" s="221" t="str">
        <f>'Project Overview'!R14</f>
        <v>CANCELLED</v>
      </c>
      <c r="E17" s="221" t="str">
        <f ca="1">'Project Overview'!Y14</f>
        <v>no</v>
      </c>
      <c r="F17" s="217">
        <f t="shared" si="4"/>
        <v>0</v>
      </c>
      <c r="G17" s="217">
        <f t="shared" si="5"/>
        <v>0</v>
      </c>
      <c r="H17" s="217">
        <f>IF(AND($A17&lt;&gt;"",'Project Overview'!D14=""),1,0)</f>
        <v>0</v>
      </c>
      <c r="I17" s="217">
        <f>IF(AND($A17&lt;&gt;"",'Project Overview'!F14=""),1,0)</f>
        <v>1</v>
      </c>
      <c r="J17" s="217">
        <f>IF(AND($A17&lt;&gt;"",OR('Project Overview'!I14="ESCO",'Project Overview'!I14="EPC",'Project Overview'!I14="ESCO BUYOUT"),'Project Overview'!K14=""),1,0)</f>
        <v>0</v>
      </c>
      <c r="K17" s="217">
        <f>IF(AND($A17&lt;&gt;"",'Project Overview'!M14=""),1,0)</f>
        <v>1</v>
      </c>
      <c r="L17" s="217">
        <f>IF(AND($A17&lt;&gt;"",'Project Overview'!U14=""),1,0)</f>
        <v>0</v>
      </c>
      <c r="M17" s="217">
        <f>IF(OR($A17="",'Project Overview'!O14="",'Project Overview'!O14="?"),1,0)</f>
        <v>1</v>
      </c>
      <c r="N17" s="217">
        <f>IF(OR($A17="",'Project Overview'!P14="", 'Project Overview'!P14="?"),1,0)</f>
        <v>1</v>
      </c>
      <c r="O17" s="217">
        <f t="shared" si="3"/>
        <v>4</v>
      </c>
      <c r="P17" s="217" t="str">
        <f t="shared" si="0"/>
        <v>REVER</v>
      </c>
    </row>
    <row r="18" spans="1:16" ht="43.2" hidden="1" x14ac:dyDescent="0.3">
      <c r="A18" s="217" t="str">
        <f>""&amp;'Project Overview'!A15</f>
        <v>13</v>
      </c>
      <c r="B18" s="218" t="str">
        <f>'Project Overview'!B15</f>
        <v>Marmo J</v>
      </c>
      <c r="C18" s="218" t="str">
        <f>'Project Overview'!C15</f>
        <v>Marmo J - Exportação, Importação, Mármores Unipessoal Lda</v>
      </c>
      <c r="D18" s="221" t="str">
        <f>'Project Overview'!R15</f>
        <v>ACTIVE</v>
      </c>
      <c r="E18" s="221" t="str">
        <f ca="1">'Project Overview'!Y15</f>
        <v>yes</v>
      </c>
      <c r="F18" s="217">
        <f t="shared" ref="F18:F23" si="8">IF(OR($A18="",$B18=""),1,0)</f>
        <v>0</v>
      </c>
      <c r="G18" s="217">
        <f t="shared" ref="G18:G23" si="9">IF($C18="",1,0)</f>
        <v>0</v>
      </c>
      <c r="H18" s="217">
        <f>IF(AND($A18&lt;&gt;"",'Project Overview'!D15=""),1,0)</f>
        <v>0</v>
      </c>
      <c r="I18" s="217">
        <f>IF(AND($A18&lt;&gt;"",'Project Overview'!F15=""),1,0)</f>
        <v>0</v>
      </c>
      <c r="J18" s="217">
        <f>IF(AND($A18&lt;&gt;"",OR('Project Overview'!I15="ESCO",'Project Overview'!I15="EPC",'Project Overview'!I15="ESCO BUYOUT"),'Project Overview'!K15=""),1,0)</f>
        <v>0</v>
      </c>
      <c r="K18" s="217">
        <f>IF(AND($A18&lt;&gt;"",'Project Overview'!M15=""),1,0)</f>
        <v>0</v>
      </c>
      <c r="L18" s="217">
        <f>IF(AND($A18&lt;&gt;"",'Project Overview'!U15=""),1,0)</f>
        <v>0</v>
      </c>
      <c r="M18" s="217">
        <f>IF(OR($A18="",'Project Overview'!O15="",'Project Overview'!O15="?"),1,0)</f>
        <v>0</v>
      </c>
      <c r="N18" s="217">
        <f>IF(OR($A18="",'Project Overview'!P15="", 'Project Overview'!P15="?"),1,0)</f>
        <v>0</v>
      </c>
      <c r="O18" s="217">
        <f t="shared" si="3"/>
        <v>0</v>
      </c>
      <c r="P18" s="217" t="str">
        <f t="shared" si="0"/>
        <v>OK</v>
      </c>
    </row>
    <row r="19" spans="1:16" ht="28.8" hidden="1" x14ac:dyDescent="0.3">
      <c r="A19" s="217" t="str">
        <f>""&amp;'Project Overview'!A16</f>
        <v>14</v>
      </c>
      <c r="B19" s="218" t="str">
        <f>'Project Overview'!B16</f>
        <v>Roufimar</v>
      </c>
      <c r="C19" s="218" t="str">
        <f>'Project Overview'!C16</f>
        <v>Roufimar Industria de Marmores, S.A</v>
      </c>
      <c r="D19" s="221" t="str">
        <f>'Project Overview'!R16</f>
        <v>ACTIVE</v>
      </c>
      <c r="E19" s="221" t="str">
        <f ca="1">'Project Overview'!Y16</f>
        <v>yes</v>
      </c>
      <c r="F19" s="217">
        <f t="shared" si="8"/>
        <v>0</v>
      </c>
      <c r="G19" s="217">
        <f t="shared" si="9"/>
        <v>0</v>
      </c>
      <c r="H19" s="217">
        <f>IF(AND($A19&lt;&gt;"",'Project Overview'!D16=""),1,0)</f>
        <v>0</v>
      </c>
      <c r="I19" s="217">
        <f>IF(AND($A19&lt;&gt;"",'Project Overview'!F16=""),1,0)</f>
        <v>0</v>
      </c>
      <c r="J19" s="217">
        <f>IF(AND($A19&lt;&gt;"",OR('Project Overview'!I16="ESCO",'Project Overview'!I16="EPC",'Project Overview'!I16="ESCO BUYOUT"),'Project Overview'!K16=""),1,0)</f>
        <v>0</v>
      </c>
      <c r="K19" s="217">
        <f>IF(AND($A19&lt;&gt;"",'Project Overview'!M16=""),1,0)</f>
        <v>0</v>
      </c>
      <c r="L19" s="217">
        <f>IF(AND($A19&lt;&gt;"",'Project Overview'!U16=""),1,0)</f>
        <v>0</v>
      </c>
      <c r="M19" s="217">
        <f>IF(OR($A19="",'Project Overview'!O16="",'Project Overview'!O16="?"),1,0)</f>
        <v>0</v>
      </c>
      <c r="N19" s="217">
        <f>IF(OR($A19="",'Project Overview'!P16="", 'Project Overview'!P16="?"),1,0)</f>
        <v>0</v>
      </c>
      <c r="O19" s="217">
        <f t="shared" si="3"/>
        <v>0</v>
      </c>
      <c r="P19" s="217" t="str">
        <f t="shared" si="0"/>
        <v>OK</v>
      </c>
    </row>
    <row r="20" spans="1:16" ht="28.8" hidden="1" x14ac:dyDescent="0.3">
      <c r="A20" s="217" t="str">
        <f>""&amp;'Project Overview'!A17</f>
        <v>15</v>
      </c>
      <c r="B20" s="218" t="str">
        <f>'Project Overview'!B17</f>
        <v>Viarco</v>
      </c>
      <c r="C20" s="218" t="str">
        <f>'Project Overview'!C17</f>
        <v>Viarco-Industria de Lapis Lda</v>
      </c>
      <c r="D20" s="221" t="str">
        <f>'Project Overview'!R17</f>
        <v>ACTIVE</v>
      </c>
      <c r="E20" s="221" t="str">
        <f ca="1">'Project Overview'!Y17</f>
        <v>yes</v>
      </c>
      <c r="F20" s="217">
        <f t="shared" si="8"/>
        <v>0</v>
      </c>
      <c r="G20" s="217">
        <f t="shared" si="9"/>
        <v>0</v>
      </c>
      <c r="H20" s="217">
        <f>IF(AND($A20&lt;&gt;"",'Project Overview'!D17=""),1,0)</f>
        <v>0</v>
      </c>
      <c r="I20" s="217">
        <f>IF(AND($A20&lt;&gt;"",'Project Overview'!F17=""),1,0)</f>
        <v>0</v>
      </c>
      <c r="J20" s="217">
        <f>IF(AND($A20&lt;&gt;"",OR('Project Overview'!I17="ESCO",'Project Overview'!I17="EPC",'Project Overview'!I17="ESCO BUYOUT"),'Project Overview'!K17=""),1,0)</f>
        <v>0</v>
      </c>
      <c r="K20" s="217">
        <f>IF(AND($A20&lt;&gt;"",'Project Overview'!M17=""),1,0)</f>
        <v>0</v>
      </c>
      <c r="L20" s="217">
        <f>IF(AND($A20&lt;&gt;"",'Project Overview'!U17=""),1,0)</f>
        <v>0</v>
      </c>
      <c r="M20" s="217">
        <f>IF(OR($A20="",'Project Overview'!O17="",'Project Overview'!O17="?"),1,0)</f>
        <v>0</v>
      </c>
      <c r="N20" s="217">
        <f>IF(OR($A20="",'Project Overview'!P17="", 'Project Overview'!P17="?"),1,0)</f>
        <v>0</v>
      </c>
      <c r="O20" s="217">
        <f t="shared" si="3"/>
        <v>0</v>
      </c>
      <c r="P20" s="217" t="str">
        <f t="shared" si="0"/>
        <v>OK</v>
      </c>
    </row>
    <row r="21" spans="1:16" hidden="1" x14ac:dyDescent="0.3">
      <c r="A21" s="217" t="str">
        <f>""&amp;'Project Overview'!A18</f>
        <v>16</v>
      </c>
      <c r="B21" s="218" t="str">
        <f>'Project Overview'!B18</f>
        <v>O Zé Pacheco</v>
      </c>
      <c r="C21" s="218" t="str">
        <f>'Project Overview'!C18</f>
        <v>Gadelho de Castro, S.A</v>
      </c>
      <c r="D21" s="221" t="str">
        <f>'Project Overview'!R18</f>
        <v>ACTIVE</v>
      </c>
      <c r="E21" s="221" t="str">
        <f ca="1">'Project Overview'!Y18</f>
        <v>yes</v>
      </c>
      <c r="F21" s="217">
        <f t="shared" si="8"/>
        <v>0</v>
      </c>
      <c r="G21" s="217">
        <f t="shared" si="9"/>
        <v>0</v>
      </c>
      <c r="H21" s="217">
        <f>IF(AND($A21&lt;&gt;"",'Project Overview'!D18=""),1,0)</f>
        <v>0</v>
      </c>
      <c r="I21" s="217">
        <f>IF(AND($A21&lt;&gt;"",'Project Overview'!F18=""),1,0)</f>
        <v>0</v>
      </c>
      <c r="J21" s="217">
        <f>IF(AND($A21&lt;&gt;"",OR('Project Overview'!I18="ESCO",'Project Overview'!I18="EPC",'Project Overview'!I18="ESCO BUYOUT"),'Project Overview'!K18=""),1,0)</f>
        <v>0</v>
      </c>
      <c r="K21" s="217">
        <f>IF(AND($A21&lt;&gt;"",'Project Overview'!M18=""),1,0)</f>
        <v>0</v>
      </c>
      <c r="L21" s="217">
        <f>IF(AND($A21&lt;&gt;"",'Project Overview'!U18=""),1,0)</f>
        <v>0</v>
      </c>
      <c r="M21" s="217">
        <f>IF(OR($A21="",'Project Overview'!O18="",'Project Overview'!O18="?"),1,0)</f>
        <v>0</v>
      </c>
      <c r="N21" s="217">
        <f>IF(OR($A21="",'Project Overview'!P18="", 'Project Overview'!P18="?"),1,0)</f>
        <v>0</v>
      </c>
      <c r="O21" s="217">
        <f t="shared" si="3"/>
        <v>0</v>
      </c>
      <c r="P21" s="217" t="str">
        <f t="shared" si="0"/>
        <v>OK</v>
      </c>
    </row>
    <row r="22" spans="1:16" hidden="1" x14ac:dyDescent="0.3">
      <c r="A22" s="217" t="str">
        <f>""&amp;'Project Overview'!A19</f>
        <v>17</v>
      </c>
      <c r="B22" s="218" t="str">
        <f>'Project Overview'!B19</f>
        <v>Amadois</v>
      </c>
      <c r="C22" s="218" t="str">
        <f>'Project Overview'!C19</f>
        <v>Amadois-Calçado Lda</v>
      </c>
      <c r="D22" s="221" t="str">
        <f>'Project Overview'!R19</f>
        <v>ACTIVE</v>
      </c>
      <c r="E22" s="221" t="str">
        <f ca="1">'Project Overview'!Y19</f>
        <v>yes</v>
      </c>
      <c r="F22" s="217">
        <f t="shared" si="8"/>
        <v>0</v>
      </c>
      <c r="G22" s="217">
        <f t="shared" si="9"/>
        <v>0</v>
      </c>
      <c r="H22" s="217">
        <f>IF(AND($A22&lt;&gt;"",'Project Overview'!D19=""),1,0)</f>
        <v>0</v>
      </c>
      <c r="I22" s="217">
        <f>IF(AND($A22&lt;&gt;"",'Project Overview'!F19=""),1,0)</f>
        <v>0</v>
      </c>
      <c r="J22" s="217">
        <f>IF(AND($A22&lt;&gt;"",OR('Project Overview'!I19="ESCO",'Project Overview'!I19="EPC",'Project Overview'!I19="ESCO BUYOUT"),'Project Overview'!K19=""),1,0)</f>
        <v>0</v>
      </c>
      <c r="K22" s="217">
        <f>IF(AND($A22&lt;&gt;"",'Project Overview'!M19=""),1,0)</f>
        <v>0</v>
      </c>
      <c r="L22" s="217">
        <f>IF(AND($A22&lt;&gt;"",'Project Overview'!U19=""),1,0)</f>
        <v>0</v>
      </c>
      <c r="M22" s="217">
        <f>IF(OR($A22="",'Project Overview'!O19="",'Project Overview'!O19="?"),1,0)</f>
        <v>0</v>
      </c>
      <c r="N22" s="217">
        <f>IF(OR($A22="",'Project Overview'!P19="", 'Project Overview'!P19="?"),1,0)</f>
        <v>0</v>
      </c>
      <c r="O22" s="217">
        <f t="shared" si="3"/>
        <v>0</v>
      </c>
      <c r="P22" s="217" t="str">
        <f t="shared" si="0"/>
        <v>OK</v>
      </c>
    </row>
    <row r="23" spans="1:16" ht="28.8" hidden="1" x14ac:dyDescent="0.3">
      <c r="A23" s="217" t="str">
        <f>""&amp;'Project Overview'!A20</f>
        <v>18</v>
      </c>
      <c r="B23" s="218" t="str">
        <f>'Project Overview'!B20</f>
        <v>Transportes Rapido</v>
      </c>
      <c r="C23" s="218" t="str">
        <f>'Project Overview'!C20</f>
        <v>Sociedade de Transportes Poiarense Lda</v>
      </c>
      <c r="D23" s="221" t="str">
        <f>'Project Overview'!R20</f>
        <v>ACTIVE</v>
      </c>
      <c r="E23" s="221" t="str">
        <f ca="1">'Project Overview'!Y20</f>
        <v>yes</v>
      </c>
      <c r="F23" s="217">
        <f t="shared" si="8"/>
        <v>0</v>
      </c>
      <c r="G23" s="217">
        <f t="shared" si="9"/>
        <v>0</v>
      </c>
      <c r="H23" s="217">
        <f>IF(AND($A23&lt;&gt;"",'Project Overview'!D20=""),1,0)</f>
        <v>0</v>
      </c>
      <c r="I23" s="217">
        <f>IF(AND($A23&lt;&gt;"",'Project Overview'!F20=""),1,0)</f>
        <v>0</v>
      </c>
      <c r="J23" s="217">
        <f>IF(AND($A23&lt;&gt;"",OR('Project Overview'!I20="ESCO",'Project Overview'!I20="EPC",'Project Overview'!I20="ESCO BUYOUT"),'Project Overview'!K20=""),1,0)</f>
        <v>0</v>
      </c>
      <c r="K23" s="217">
        <f>IF(AND($A23&lt;&gt;"",'Project Overview'!M20=""),1,0)</f>
        <v>0</v>
      </c>
      <c r="L23" s="217">
        <f>IF(AND($A23&lt;&gt;"",'Project Overview'!U20=""),1,0)</f>
        <v>0</v>
      </c>
      <c r="M23" s="217">
        <f>IF(OR($A23="",'Project Overview'!O20="",'Project Overview'!O20="?"),1,0)</f>
        <v>0</v>
      </c>
      <c r="N23" s="217">
        <f>IF(OR($A23="",'Project Overview'!P20="", 'Project Overview'!P20="?"),1,0)</f>
        <v>0</v>
      </c>
      <c r="O23" s="217">
        <f t="shared" si="3"/>
        <v>0</v>
      </c>
      <c r="P23" s="217" t="str">
        <f t="shared" si="0"/>
        <v>OK</v>
      </c>
    </row>
    <row r="24" spans="1:16" ht="28.8" hidden="1" x14ac:dyDescent="0.3">
      <c r="A24" s="217" t="str">
        <f>""&amp;'Project Overview'!A21</f>
        <v>19</v>
      </c>
      <c r="B24" s="218" t="str">
        <f>'Project Overview'!B21</f>
        <v>Granetos</v>
      </c>
      <c r="C24" s="218" t="str">
        <f>'Project Overview'!C21</f>
        <v>Granetos-Mármores e Granitos, S.A</v>
      </c>
      <c r="D24" s="221" t="str">
        <f>'Project Overview'!R21</f>
        <v>ACTIVE</v>
      </c>
      <c r="E24" s="221" t="str">
        <f ca="1">'Project Overview'!Y21</f>
        <v>no</v>
      </c>
      <c r="F24" s="217">
        <f t="shared" si="4"/>
        <v>0</v>
      </c>
      <c r="G24" s="217">
        <f t="shared" si="5"/>
        <v>0</v>
      </c>
      <c r="H24" s="217">
        <f>IF(AND($A24&lt;&gt;"",'Project Overview'!D21=""),1,0)</f>
        <v>0</v>
      </c>
      <c r="I24" s="217">
        <f>IF(AND($A24&lt;&gt;"",'Project Overview'!F21=""),1,0)</f>
        <v>0</v>
      </c>
      <c r="J24" s="217">
        <f>IF(AND($A24&lt;&gt;"",OR('Project Overview'!I21="ESCO",'Project Overview'!I21="EPC",'Project Overview'!I21="ESCO BUYOUT"),'Project Overview'!K21=""),1,0)</f>
        <v>0</v>
      </c>
      <c r="K24" s="217">
        <f>IF(AND($A24&lt;&gt;"",'Project Overview'!M21=""),1,0)</f>
        <v>0</v>
      </c>
      <c r="L24" s="217">
        <f>IF(AND($A24&lt;&gt;"",'Project Overview'!U21=""),1,0)</f>
        <v>0</v>
      </c>
      <c r="M24" s="217">
        <f>IF(OR($A24="",'Project Overview'!O21="",'Project Overview'!O21="?"),1,0)</f>
        <v>0</v>
      </c>
      <c r="N24" s="217">
        <f>IF(OR($A24="",'Project Overview'!P21="", 'Project Overview'!P21="?"),1,0)</f>
        <v>0</v>
      </c>
      <c r="O24" s="217">
        <f t="shared" si="3"/>
        <v>0</v>
      </c>
      <c r="P24" s="217" t="str">
        <f t="shared" si="0"/>
        <v>OK</v>
      </c>
    </row>
    <row r="25" spans="1:16" ht="28.8" hidden="1" x14ac:dyDescent="0.3">
      <c r="A25" s="217" t="str">
        <f>""&amp;'Project Overview'!A22</f>
        <v>20</v>
      </c>
      <c r="B25" s="218" t="str">
        <f>'Project Overview'!B22</f>
        <v>Queijaria Inácio Corvelo</v>
      </c>
      <c r="C25" s="218" t="str">
        <f>'Project Overview'!C22</f>
        <v>Inácio José Vinhas Corvelo</v>
      </c>
      <c r="D25" s="221" t="str">
        <f>'Project Overview'!R22</f>
        <v>ACTIVE</v>
      </c>
      <c r="E25" s="221" t="str">
        <f ca="1">'Project Overview'!Y22</f>
        <v>no</v>
      </c>
      <c r="F25" s="217">
        <f t="shared" si="4"/>
        <v>0</v>
      </c>
      <c r="G25" s="217">
        <f t="shared" si="5"/>
        <v>0</v>
      </c>
      <c r="H25" s="217">
        <f>IF(AND($A25&lt;&gt;"",'Project Overview'!D22=""),1,0)</f>
        <v>0</v>
      </c>
      <c r="I25" s="217">
        <f>IF(AND($A25&lt;&gt;"",'Project Overview'!F22=""),1,0)</f>
        <v>0</v>
      </c>
      <c r="J25" s="217">
        <f>IF(AND($A25&lt;&gt;"",OR('Project Overview'!I22="ESCO",'Project Overview'!I22="EPC",'Project Overview'!I22="ESCO BUYOUT"),'Project Overview'!K22=""),1,0)</f>
        <v>0</v>
      </c>
      <c r="K25" s="217">
        <f>IF(AND($A25&lt;&gt;"",'Project Overview'!M22=""),1,0)</f>
        <v>0</v>
      </c>
      <c r="L25" s="217">
        <f>IF(AND($A25&lt;&gt;"",'Project Overview'!U22=""),1,0)</f>
        <v>1</v>
      </c>
      <c r="M25" s="217">
        <f>IF(OR($A25="",'Project Overview'!O22="",'Project Overview'!O22="?"),1,0)</f>
        <v>0</v>
      </c>
      <c r="N25" s="217">
        <f>IF(OR($A25="",'Project Overview'!P22="", 'Project Overview'!P22="?"),1,0)</f>
        <v>0</v>
      </c>
      <c r="O25" s="217">
        <f t="shared" si="3"/>
        <v>1</v>
      </c>
      <c r="P25" s="217" t="str">
        <f t="shared" si="0"/>
        <v>REVER</v>
      </c>
    </row>
    <row r="26" spans="1:16" ht="28.8" hidden="1" x14ac:dyDescent="0.3">
      <c r="A26" s="217" t="str">
        <f>""&amp;'Project Overview'!A23</f>
        <v>21</v>
      </c>
      <c r="B26" s="218" t="str">
        <f>'Project Overview'!B23</f>
        <v>Topeca</v>
      </c>
      <c r="C26" s="218" t="str">
        <f>'Project Overview'!C23</f>
        <v>Topeca-Produtos de Construção Civil Lda</v>
      </c>
      <c r="D26" s="221" t="str">
        <f>'Project Overview'!R23</f>
        <v>ACTIVE</v>
      </c>
      <c r="E26" s="221" t="str">
        <f ca="1">'Project Overview'!Y23</f>
        <v>yes</v>
      </c>
      <c r="F26" s="217">
        <f>IF(OR($A26="",$B26=""),1,0)</f>
        <v>0</v>
      </c>
      <c r="G26" s="217">
        <f>IF($C26="",1,0)</f>
        <v>0</v>
      </c>
      <c r="H26" s="217">
        <f>IF(AND($A26&lt;&gt;"",'Project Overview'!D23=""),1,0)</f>
        <v>0</v>
      </c>
      <c r="I26" s="217">
        <f>IF(AND($A26&lt;&gt;"",'Project Overview'!F23=""),1,0)</f>
        <v>0</v>
      </c>
      <c r="J26" s="217">
        <f>IF(AND($A26&lt;&gt;"",OR('Project Overview'!I23="ESCO",'Project Overview'!I23="EPC",'Project Overview'!I23="ESCO BUYOUT"),'Project Overview'!K23=""),1,0)</f>
        <v>0</v>
      </c>
      <c r="K26" s="217">
        <f>IF(AND($A26&lt;&gt;"",'Project Overview'!M23=""),1,0)</f>
        <v>0</v>
      </c>
      <c r="L26" s="217">
        <f>IF(AND($A26&lt;&gt;"",'Project Overview'!U23=""),1,0)</f>
        <v>0</v>
      </c>
      <c r="M26" s="217">
        <f>IF(OR($A26="",'Project Overview'!O23="",'Project Overview'!O23="?"),1,0)</f>
        <v>0</v>
      </c>
      <c r="N26" s="217">
        <f>IF(OR($A26="",'Project Overview'!P23="", 'Project Overview'!P23="?"),1,0)</f>
        <v>0</v>
      </c>
      <c r="O26" s="217">
        <f t="shared" si="3"/>
        <v>0</v>
      </c>
      <c r="P26" s="217" t="str">
        <f t="shared" si="0"/>
        <v>OK</v>
      </c>
    </row>
    <row r="27" spans="1:16" ht="28.8" hidden="1" x14ac:dyDescent="0.3">
      <c r="A27" s="217" t="str">
        <f>""&amp;'Project Overview'!A24</f>
        <v>22</v>
      </c>
      <c r="B27" s="218" t="str">
        <f>'Project Overview'!B24</f>
        <v>Mindtrooper</v>
      </c>
      <c r="C27" s="218" t="str">
        <f>'Project Overview'!C24</f>
        <v>Mindtrooper, Unipessoal, Limitada</v>
      </c>
      <c r="D27" s="221" t="str">
        <f>'Project Overview'!R24</f>
        <v>ACTIVE</v>
      </c>
      <c r="E27" s="221" t="str">
        <f ca="1">'Project Overview'!Y24</f>
        <v>no</v>
      </c>
      <c r="F27" s="217">
        <f t="shared" si="4"/>
        <v>0</v>
      </c>
      <c r="G27" s="217">
        <f t="shared" si="5"/>
        <v>0</v>
      </c>
      <c r="H27" s="217">
        <f>IF(AND($A27&lt;&gt;"",'Project Overview'!D24=""),1,0)</f>
        <v>0</v>
      </c>
      <c r="I27" s="217">
        <f>IF(AND($A27&lt;&gt;"",'Project Overview'!F24=""),1,0)</f>
        <v>0</v>
      </c>
      <c r="J27" s="217">
        <f>IF(AND($A27&lt;&gt;"",OR('Project Overview'!I24="ESCO",'Project Overview'!I24="EPC",'Project Overview'!I24="ESCO BUYOUT"),'Project Overview'!K24=""),1,0)</f>
        <v>0</v>
      </c>
      <c r="K27" s="217">
        <f>IF(AND($A27&lt;&gt;"",'Project Overview'!M24=""),1,0)</f>
        <v>0</v>
      </c>
      <c r="L27" s="217">
        <f>IF(AND($A27&lt;&gt;"",'Project Overview'!U24=""),1,0)</f>
        <v>1</v>
      </c>
      <c r="M27" s="217">
        <f>IF(OR($A27="",'Project Overview'!O24="",'Project Overview'!O24="?"),1,0)</f>
        <v>1</v>
      </c>
      <c r="N27" s="217">
        <f>IF(OR($A27="",'Project Overview'!P24="", 'Project Overview'!P24="?"),1,0)</f>
        <v>1</v>
      </c>
      <c r="O27" s="217">
        <f t="shared" si="3"/>
        <v>3</v>
      </c>
      <c r="P27" s="217" t="str">
        <f t="shared" si="0"/>
        <v>REVER</v>
      </c>
    </row>
    <row r="28" spans="1:16" hidden="1" x14ac:dyDescent="0.3">
      <c r="A28" s="217" t="str">
        <f>""&amp;'Project Overview'!A25</f>
        <v>23</v>
      </c>
      <c r="B28" s="218" t="str">
        <f>'Project Overview'!B25</f>
        <v>Heden</v>
      </c>
      <c r="C28" s="218" t="str">
        <f>'Project Overview'!C25</f>
        <v>Liveworks, Lda</v>
      </c>
      <c r="D28" s="221" t="str">
        <f>'Project Overview'!R25</f>
        <v>ACTIVE</v>
      </c>
      <c r="E28" s="221" t="str">
        <f ca="1">'Project Overview'!Y25</f>
        <v>no</v>
      </c>
      <c r="F28" s="217">
        <f t="shared" si="4"/>
        <v>0</v>
      </c>
      <c r="G28" s="217">
        <f t="shared" si="5"/>
        <v>0</v>
      </c>
      <c r="H28" s="217">
        <f>IF(AND($A28&lt;&gt;"",'Project Overview'!D25=""),1,0)</f>
        <v>0</v>
      </c>
      <c r="I28" s="217">
        <f>IF(AND($A28&lt;&gt;"",'Project Overview'!F25=""),1,0)</f>
        <v>0</v>
      </c>
      <c r="J28" s="217">
        <f>IF(AND($A28&lt;&gt;"",OR('Project Overview'!I25="ESCO",'Project Overview'!I25="EPC",'Project Overview'!I25="ESCO BUYOUT"),'Project Overview'!K25=""),1,0)</f>
        <v>0</v>
      </c>
      <c r="K28" s="217">
        <f>IF(AND($A28&lt;&gt;"",'Project Overview'!M25=""),1,0)</f>
        <v>0</v>
      </c>
      <c r="L28" s="217">
        <f>IF(AND($A28&lt;&gt;"",'Project Overview'!U25=""),1,0)</f>
        <v>0</v>
      </c>
      <c r="M28" s="217">
        <f>IF(OR($A28="",'Project Overview'!O25="",'Project Overview'!O25="?"),1,0)</f>
        <v>0</v>
      </c>
      <c r="N28" s="217">
        <f>IF(OR($A28="",'Project Overview'!P25="", 'Project Overview'!P25="?"),1,0)</f>
        <v>0</v>
      </c>
      <c r="O28" s="217">
        <f t="shared" si="3"/>
        <v>0</v>
      </c>
      <c r="P28" s="217" t="str">
        <f t="shared" si="0"/>
        <v>OK</v>
      </c>
    </row>
    <row r="29" spans="1:16" hidden="1" x14ac:dyDescent="0.3">
      <c r="A29" s="217" t="str">
        <f>""&amp;'Project Overview'!A26</f>
        <v>24</v>
      </c>
      <c r="B29" s="218" t="str">
        <f>'Project Overview'!B26</f>
        <v>O Bolo do Caco</v>
      </c>
      <c r="C29" s="218" t="str">
        <f>'Project Overview'!C26</f>
        <v>Horizontes Renovados Lda</v>
      </c>
      <c r="D29" s="221" t="str">
        <f>'Project Overview'!R26</f>
        <v>CANCELLED</v>
      </c>
      <c r="E29" s="221" t="str">
        <f ca="1">'Project Overview'!Y26</f>
        <v>no</v>
      </c>
      <c r="F29" s="217">
        <f t="shared" si="4"/>
        <v>0</v>
      </c>
      <c r="G29" s="217">
        <f t="shared" si="5"/>
        <v>0</v>
      </c>
      <c r="H29" s="217">
        <f>IF(AND($A29&lt;&gt;"",'Project Overview'!D26=""),1,0)</f>
        <v>0</v>
      </c>
      <c r="I29" s="217">
        <f>IF(AND($A29&lt;&gt;"",'Project Overview'!F26=""),1,0)</f>
        <v>0</v>
      </c>
      <c r="J29" s="217">
        <f>IF(AND($A29&lt;&gt;"",OR('Project Overview'!I26="ESCO",'Project Overview'!I26="EPC",'Project Overview'!I26="ESCO BUYOUT"),'Project Overview'!K26=""),1,0)</f>
        <v>0</v>
      </c>
      <c r="K29" s="217">
        <f>IF(AND($A29&lt;&gt;"",'Project Overview'!M26=""),1,0)</f>
        <v>0</v>
      </c>
      <c r="L29" s="217">
        <f>IF(AND($A29&lt;&gt;"",'Project Overview'!U26=""),1,0)</f>
        <v>1</v>
      </c>
      <c r="M29" s="217">
        <f>IF(OR($A29="",'Project Overview'!O26="",'Project Overview'!O26="?"),1,0)</f>
        <v>1</v>
      </c>
      <c r="N29" s="217">
        <f>IF(OR($A29="",'Project Overview'!P26="", 'Project Overview'!P26="?"),1,0)</f>
        <v>1</v>
      </c>
      <c r="O29" s="217">
        <f t="shared" si="3"/>
        <v>3</v>
      </c>
      <c r="P29" s="217" t="str">
        <f t="shared" si="0"/>
        <v>REVER</v>
      </c>
    </row>
    <row r="30" spans="1:16" ht="28.8" hidden="1" x14ac:dyDescent="0.3">
      <c r="A30" s="217" t="str">
        <f>""&amp;'Project Overview'!A27</f>
        <v>25</v>
      </c>
      <c r="B30" s="218" t="str">
        <f>'Project Overview'!B27</f>
        <v>Betafiel</v>
      </c>
      <c r="C30" s="218" t="str">
        <f>'Project Overview'!C27</f>
        <v>Betafiel-Artefactos de Betão de Penafiel S.A</v>
      </c>
      <c r="D30" s="221" t="str">
        <f>'Project Overview'!R27</f>
        <v>CANCELLED</v>
      </c>
      <c r="E30" s="221" t="str">
        <f ca="1">'Project Overview'!Y27</f>
        <v>no</v>
      </c>
      <c r="F30" s="217">
        <f t="shared" si="4"/>
        <v>0</v>
      </c>
      <c r="G30" s="217">
        <f t="shared" si="5"/>
        <v>0</v>
      </c>
      <c r="H30" s="217">
        <f>IF(AND($A30&lt;&gt;"",'Project Overview'!D27=""),1,0)</f>
        <v>0</v>
      </c>
      <c r="I30" s="217">
        <f>IF(AND($A30&lt;&gt;"",'Project Overview'!F27=""),1,0)</f>
        <v>1</v>
      </c>
      <c r="J30" s="217">
        <f>IF(AND($A30&lt;&gt;"",OR('Project Overview'!I27="ESCO",'Project Overview'!I27="EPC",'Project Overview'!I27="ESCO BUYOUT"),'Project Overview'!K27=""),1,0)</f>
        <v>0</v>
      </c>
      <c r="K30" s="217">
        <f>IF(AND($A30&lt;&gt;"",'Project Overview'!M27=""),1,0)</f>
        <v>1</v>
      </c>
      <c r="L30" s="217">
        <f>IF(AND($A30&lt;&gt;"",'Project Overview'!U27=""),1,0)</f>
        <v>0</v>
      </c>
      <c r="M30" s="217">
        <f>IF(OR($A30="",'Project Overview'!O27="",'Project Overview'!O27="?"),1,0)</f>
        <v>1</v>
      </c>
      <c r="N30" s="217">
        <f>IF(OR($A30="",'Project Overview'!P27="", 'Project Overview'!P27="?"),1,0)</f>
        <v>1</v>
      </c>
      <c r="O30" s="217">
        <f t="shared" si="3"/>
        <v>4</v>
      </c>
      <c r="P30" s="217" t="str">
        <f t="shared" si="0"/>
        <v>REVER</v>
      </c>
    </row>
    <row r="31" spans="1:16" ht="28.8" hidden="1" x14ac:dyDescent="0.3">
      <c r="A31" s="217" t="str">
        <f>""&amp;'Project Overview'!A28</f>
        <v>26</v>
      </c>
      <c r="B31" s="218" t="str">
        <f>'Project Overview'!B28</f>
        <v>Multiaves</v>
      </c>
      <c r="C31" s="218" t="str">
        <f>'Project Overview'!C28</f>
        <v>Multiaves-Avicola Internacional Lda</v>
      </c>
      <c r="D31" s="221" t="str">
        <f>'Project Overview'!R28</f>
        <v>ACTIVE</v>
      </c>
      <c r="E31" s="221" t="str">
        <f ca="1">'Project Overview'!Y28</f>
        <v>yes</v>
      </c>
      <c r="F31" s="217">
        <f t="shared" ref="F31:F34" si="10">IF(OR($A31="",$B31=""),1,0)</f>
        <v>0</v>
      </c>
      <c r="G31" s="217">
        <f t="shared" ref="G31:G34" si="11">IF($C31="",1,0)</f>
        <v>0</v>
      </c>
      <c r="H31" s="217">
        <f>IF(AND($A31&lt;&gt;"",'Project Overview'!D28=""),1,0)</f>
        <v>0</v>
      </c>
      <c r="I31" s="217">
        <f>IF(AND($A31&lt;&gt;"",'Project Overview'!F28=""),1,0)</f>
        <v>0</v>
      </c>
      <c r="J31" s="217">
        <f>IF(AND($A31&lt;&gt;"",OR('Project Overview'!I28="ESCO",'Project Overview'!I28="EPC",'Project Overview'!I28="ESCO BUYOUT"),'Project Overview'!K28=""),1,0)</f>
        <v>0</v>
      </c>
      <c r="K31" s="217">
        <f>IF(AND($A31&lt;&gt;"",'Project Overview'!M28=""),1,0)</f>
        <v>0</v>
      </c>
      <c r="L31" s="217">
        <f>IF(AND($A31&lt;&gt;"",'Project Overview'!U28=""),1,0)</f>
        <v>0</v>
      </c>
      <c r="M31" s="217">
        <f>IF(OR($A31="",'Project Overview'!O28="",'Project Overview'!O28="?"),1,0)</f>
        <v>0</v>
      </c>
      <c r="N31" s="217">
        <f>IF(OR($A31="",'Project Overview'!P28="", 'Project Overview'!P28="?"),1,0)</f>
        <v>0</v>
      </c>
      <c r="O31" s="217">
        <f t="shared" si="3"/>
        <v>0</v>
      </c>
      <c r="P31" s="217" t="str">
        <f t="shared" si="0"/>
        <v>OK</v>
      </c>
    </row>
    <row r="32" spans="1:16" ht="28.8" hidden="1" x14ac:dyDescent="0.3">
      <c r="A32" s="217" t="str">
        <f>""&amp;'Project Overview'!A29</f>
        <v>27</v>
      </c>
      <c r="B32" s="218" t="str">
        <f>'Project Overview'!B29</f>
        <v>ITM Moita</v>
      </c>
      <c r="C32" s="218" t="str">
        <f>'Project Overview'!C29</f>
        <v>Intervedros - Supermercados, Lda</v>
      </c>
      <c r="D32" s="221" t="str">
        <f>'Project Overview'!R29</f>
        <v>ACTIVE</v>
      </c>
      <c r="E32" s="221" t="str">
        <f ca="1">'Project Overview'!Y29</f>
        <v>yes</v>
      </c>
      <c r="F32" s="217">
        <f t="shared" si="10"/>
        <v>0</v>
      </c>
      <c r="G32" s="217">
        <f t="shared" si="11"/>
        <v>0</v>
      </c>
      <c r="H32" s="217">
        <f>IF(AND($A32&lt;&gt;"",'Project Overview'!D29=""),1,0)</f>
        <v>0</v>
      </c>
      <c r="I32" s="217">
        <f>IF(AND($A32&lt;&gt;"",'Project Overview'!F29=""),1,0)</f>
        <v>0</v>
      </c>
      <c r="J32" s="217">
        <f>IF(AND($A32&lt;&gt;"",OR('Project Overview'!I29="ESCO",'Project Overview'!I29="EPC",'Project Overview'!I29="ESCO BUYOUT"),'Project Overview'!K29=""),1,0)</f>
        <v>0</v>
      </c>
      <c r="K32" s="217">
        <f>IF(AND($A32&lt;&gt;"",'Project Overview'!M29=""),1,0)</f>
        <v>0</v>
      </c>
      <c r="L32" s="217">
        <f>IF(AND($A32&lt;&gt;"",'Project Overview'!U29=""),1,0)</f>
        <v>0</v>
      </c>
      <c r="M32" s="217">
        <f>IF(OR($A32="",'Project Overview'!O29="",'Project Overview'!O29="?"),1,0)</f>
        <v>0</v>
      </c>
      <c r="N32" s="217">
        <f>IF(OR($A32="",'Project Overview'!P29="", 'Project Overview'!P29="?"),1,0)</f>
        <v>0</v>
      </c>
      <c r="O32" s="217">
        <f t="shared" si="3"/>
        <v>0</v>
      </c>
      <c r="P32" s="217" t="str">
        <f t="shared" si="0"/>
        <v>OK</v>
      </c>
    </row>
    <row r="33" spans="1:16" hidden="1" x14ac:dyDescent="0.3">
      <c r="A33" s="217" t="str">
        <f>""&amp;'Project Overview'!A30</f>
        <v>28</v>
      </c>
      <c r="B33" s="218" t="str">
        <f>'Project Overview'!B30</f>
        <v>Serralharia Vieira</v>
      </c>
      <c r="C33" s="218" t="str">
        <f>'Project Overview'!C30</f>
        <v>Serralharia Vieira Lda</v>
      </c>
      <c r="D33" s="221" t="str">
        <f>'Project Overview'!R30</f>
        <v>ACTIVE</v>
      </c>
      <c r="E33" s="221" t="str">
        <f ca="1">'Project Overview'!Y30</f>
        <v>yes</v>
      </c>
      <c r="F33" s="217">
        <f t="shared" si="10"/>
        <v>0</v>
      </c>
      <c r="G33" s="217">
        <f t="shared" si="11"/>
        <v>0</v>
      </c>
      <c r="H33" s="217">
        <f>IF(AND($A33&lt;&gt;"",'Project Overview'!D30=""),1,0)</f>
        <v>0</v>
      </c>
      <c r="I33" s="217">
        <f>IF(AND($A33&lt;&gt;"",'Project Overview'!F30=""),1,0)</f>
        <v>0</v>
      </c>
      <c r="J33" s="217">
        <f>IF(AND($A33&lt;&gt;"",OR('Project Overview'!I30="ESCO",'Project Overview'!I30="EPC",'Project Overview'!I30="ESCO BUYOUT"),'Project Overview'!K30=""),1,0)</f>
        <v>0</v>
      </c>
      <c r="K33" s="217">
        <f>IF(AND($A33&lt;&gt;"",'Project Overview'!M30=""),1,0)</f>
        <v>0</v>
      </c>
      <c r="L33" s="217">
        <f>IF(AND($A33&lt;&gt;"",'Project Overview'!U30=""),1,0)</f>
        <v>0</v>
      </c>
      <c r="M33" s="217">
        <f>IF(OR($A33="",'Project Overview'!O30="",'Project Overview'!O30="?"),1,0)</f>
        <v>0</v>
      </c>
      <c r="N33" s="217">
        <f>IF(OR($A33="",'Project Overview'!P30="", 'Project Overview'!P30="?"),1,0)</f>
        <v>0</v>
      </c>
      <c r="O33" s="217">
        <f t="shared" si="3"/>
        <v>0</v>
      </c>
      <c r="P33" s="217" t="str">
        <f t="shared" si="0"/>
        <v>OK</v>
      </c>
    </row>
    <row r="34" spans="1:16" ht="43.2" hidden="1" x14ac:dyDescent="0.3">
      <c r="A34" s="217" t="str">
        <f>""&amp;'Project Overview'!A31</f>
        <v>29</v>
      </c>
      <c r="B34" s="218" t="str">
        <f>'Project Overview'!B31</f>
        <v>Colégio Nossa Senhora da Apresentação</v>
      </c>
      <c r="C34" s="218" t="str">
        <f>'Project Overview'!C31</f>
        <v>Colégio Diocesano de Nossa Senhora da Apresentação</v>
      </c>
      <c r="D34" s="221" t="str">
        <f>'Project Overview'!R31</f>
        <v>ACTIVE</v>
      </c>
      <c r="E34" s="221" t="str">
        <f ca="1">'Project Overview'!Y31</f>
        <v>yes</v>
      </c>
      <c r="F34" s="217">
        <f t="shared" si="10"/>
        <v>0</v>
      </c>
      <c r="G34" s="217">
        <f t="shared" si="11"/>
        <v>0</v>
      </c>
      <c r="H34" s="217">
        <f>IF(AND($A34&lt;&gt;"",'Project Overview'!D31=""),1,0)</f>
        <v>0</v>
      </c>
      <c r="I34" s="217">
        <f>IF(AND($A34&lt;&gt;"",'Project Overview'!F31=""),1,0)</f>
        <v>0</v>
      </c>
      <c r="J34" s="217">
        <f>IF(AND($A34&lt;&gt;"",OR('Project Overview'!I31="ESCO",'Project Overview'!I31="EPC",'Project Overview'!I31="ESCO BUYOUT"),'Project Overview'!K31=""),1,0)</f>
        <v>0</v>
      </c>
      <c r="K34" s="217">
        <f>IF(AND($A34&lt;&gt;"",'Project Overview'!M31=""),1,0)</f>
        <v>0</v>
      </c>
      <c r="L34" s="217">
        <f>IF(AND($A34&lt;&gt;"",'Project Overview'!U31=""),1,0)</f>
        <v>0</v>
      </c>
      <c r="M34" s="217">
        <f>IF(OR($A34="",'Project Overview'!O31="",'Project Overview'!O31="?"),1,0)</f>
        <v>0</v>
      </c>
      <c r="N34" s="217">
        <f>IF(OR($A34="",'Project Overview'!P31="", 'Project Overview'!P31="?"),1,0)</f>
        <v>0</v>
      </c>
      <c r="O34" s="217">
        <f t="shared" si="3"/>
        <v>0</v>
      </c>
      <c r="P34" s="217" t="str">
        <f t="shared" si="0"/>
        <v>OK</v>
      </c>
    </row>
    <row r="35" spans="1:16" hidden="1" x14ac:dyDescent="0.3">
      <c r="A35" s="217" t="str">
        <f>""&amp;'Project Overview'!A32</f>
        <v>30</v>
      </c>
      <c r="B35" s="218" t="str">
        <f>'Project Overview'!B32</f>
        <v>Absorvalor</v>
      </c>
      <c r="C35" s="218" t="str">
        <f>'Project Overview'!C32</f>
        <v>Absorvalor Lda</v>
      </c>
      <c r="D35" s="221" t="str">
        <f>'Project Overview'!R32</f>
        <v>ACTIVE</v>
      </c>
      <c r="E35" s="221" t="str">
        <f ca="1">'Project Overview'!Y32</f>
        <v>no</v>
      </c>
      <c r="F35" s="217">
        <f t="shared" si="4"/>
        <v>0</v>
      </c>
      <c r="G35" s="217">
        <f t="shared" si="5"/>
        <v>0</v>
      </c>
      <c r="H35" s="217">
        <f>IF(AND($A35&lt;&gt;"",'Project Overview'!D32=""),1,0)</f>
        <v>0</v>
      </c>
      <c r="I35" s="217">
        <f>IF(AND($A35&lt;&gt;"",'Project Overview'!F32=""),1,0)</f>
        <v>0</v>
      </c>
      <c r="J35" s="217">
        <f>IF(AND($A35&lt;&gt;"",OR('Project Overview'!I32="ESCO",'Project Overview'!I32="EPC",'Project Overview'!I32="ESCO BUYOUT"),'Project Overview'!K32=""),1,0)</f>
        <v>0</v>
      </c>
      <c r="K35" s="217">
        <f>IF(AND($A35&lt;&gt;"",'Project Overview'!M32=""),1,0)</f>
        <v>0</v>
      </c>
      <c r="L35" s="217">
        <f>IF(AND($A35&lt;&gt;"",'Project Overview'!U32=""),1,0)</f>
        <v>1</v>
      </c>
      <c r="M35" s="217">
        <f>IF(OR($A35="",'Project Overview'!O32="",'Project Overview'!O32="?"),1,0)</f>
        <v>0</v>
      </c>
      <c r="N35" s="217">
        <f>IF(OR($A35="",'Project Overview'!P32="", 'Project Overview'!P32="?"),1,0)</f>
        <v>0</v>
      </c>
      <c r="O35" s="217">
        <f t="shared" si="3"/>
        <v>1</v>
      </c>
      <c r="P35" s="217" t="str">
        <f t="shared" si="0"/>
        <v>REVER</v>
      </c>
    </row>
    <row r="36" spans="1:16" hidden="1" x14ac:dyDescent="0.3">
      <c r="A36" s="217" t="str">
        <f>""&amp;'Project Overview'!A33</f>
        <v>31</v>
      </c>
      <c r="B36" s="218" t="str">
        <f>'Project Overview'!B33</f>
        <v>MC Rios</v>
      </c>
      <c r="C36" s="218" t="str">
        <f>'Project Overview'!C33</f>
        <v>M.C. Rios, S.A</v>
      </c>
      <c r="D36" s="221" t="str">
        <f>'Project Overview'!R33</f>
        <v>CANCELLED</v>
      </c>
      <c r="E36" s="221" t="str">
        <f ca="1">'Project Overview'!Y33</f>
        <v>no</v>
      </c>
      <c r="F36" s="217">
        <f t="shared" si="4"/>
        <v>0</v>
      </c>
      <c r="G36" s="217">
        <f t="shared" si="5"/>
        <v>0</v>
      </c>
      <c r="H36" s="217">
        <f>IF(AND($A36&lt;&gt;"",'Project Overview'!D33=""),1,0)</f>
        <v>0</v>
      </c>
      <c r="I36" s="217">
        <f>IF(AND($A36&lt;&gt;"",'Project Overview'!F33=""),1,0)</f>
        <v>1</v>
      </c>
      <c r="J36" s="217">
        <f>IF(AND($A36&lt;&gt;"",OR('Project Overview'!I33="ESCO",'Project Overview'!I33="EPC",'Project Overview'!I33="ESCO BUYOUT"),'Project Overview'!K33=""),1,0)</f>
        <v>0</v>
      </c>
      <c r="K36" s="217">
        <f>IF(AND($A36&lt;&gt;"",'Project Overview'!M33=""),1,0)</f>
        <v>1</v>
      </c>
      <c r="L36" s="217">
        <f>IF(AND($A36&lt;&gt;"",'Project Overview'!U33=""),1,0)</f>
        <v>1</v>
      </c>
      <c r="M36" s="217">
        <f>IF(OR($A36="",'Project Overview'!O33="",'Project Overview'!O33="?"),1,0)</f>
        <v>1</v>
      </c>
      <c r="N36" s="217">
        <f>IF(OR($A36="",'Project Overview'!P33="", 'Project Overview'!P33="?"),1,0)</f>
        <v>1</v>
      </c>
      <c r="O36" s="217">
        <f t="shared" si="3"/>
        <v>5</v>
      </c>
      <c r="P36" s="217" t="str">
        <f t="shared" si="0"/>
        <v>REVER</v>
      </c>
    </row>
    <row r="37" spans="1:16" ht="28.8" hidden="1" x14ac:dyDescent="0.3">
      <c r="A37" s="217" t="str">
        <f>""&amp;'Project Overview'!A34</f>
        <v>32</v>
      </c>
      <c r="B37" s="218" t="str">
        <f>'Project Overview'!B34</f>
        <v>VCP</v>
      </c>
      <c r="C37" s="218" t="str">
        <f>'Project Overview'!C34</f>
        <v>Vidraria Central do Porto, S.A</v>
      </c>
      <c r="D37" s="221" t="str">
        <f>'Project Overview'!R34</f>
        <v>ACTIVE</v>
      </c>
      <c r="E37" s="221" t="str">
        <f ca="1">'Project Overview'!Y34</f>
        <v>no</v>
      </c>
      <c r="F37" s="217">
        <f t="shared" si="4"/>
        <v>0</v>
      </c>
      <c r="G37" s="217">
        <f t="shared" si="5"/>
        <v>0</v>
      </c>
      <c r="H37" s="217">
        <f>IF(AND($A37&lt;&gt;"",'Project Overview'!D34=""),1,0)</f>
        <v>0</v>
      </c>
      <c r="I37" s="217">
        <f>IF(AND($A37&lt;&gt;"",'Project Overview'!F34=""),1,0)</f>
        <v>0</v>
      </c>
      <c r="J37" s="217">
        <f>IF(AND($A37&lt;&gt;"",OR('Project Overview'!I34="ESCO",'Project Overview'!I34="EPC",'Project Overview'!I34="ESCO BUYOUT"),'Project Overview'!K34=""),1,0)</f>
        <v>0</v>
      </c>
      <c r="K37" s="217">
        <f>IF(AND($A37&lt;&gt;"",'Project Overview'!M34=""),1,0)</f>
        <v>0</v>
      </c>
      <c r="L37" s="217">
        <f>IF(AND($A37&lt;&gt;"",'Project Overview'!U34=""),1,0)</f>
        <v>1</v>
      </c>
      <c r="M37" s="217">
        <f>IF(OR($A37="",'Project Overview'!O34="",'Project Overview'!O34="?"),1,0)</f>
        <v>0</v>
      </c>
      <c r="N37" s="217">
        <f>IF(OR($A37="",'Project Overview'!P34="", 'Project Overview'!P34="?"),1,0)</f>
        <v>0</v>
      </c>
      <c r="O37" s="217">
        <f t="shared" si="3"/>
        <v>1</v>
      </c>
      <c r="P37" s="217" t="str">
        <f t="shared" si="0"/>
        <v>REVER</v>
      </c>
    </row>
    <row r="38" spans="1:16" ht="28.8" hidden="1" x14ac:dyDescent="0.3">
      <c r="A38" s="217" t="str">
        <f>""&amp;'Project Overview'!A35</f>
        <v>33</v>
      </c>
      <c r="B38" s="218" t="str">
        <f>'Project Overview'!B35</f>
        <v>Sicobrita</v>
      </c>
      <c r="C38" s="218" t="str">
        <f>'Project Overview'!C35</f>
        <v>Sicobrita - Extracção e Britagem de Pedra S.A</v>
      </c>
      <c r="D38" s="221" t="str">
        <f>'Project Overview'!R35</f>
        <v>ACTIVE</v>
      </c>
      <c r="E38" s="221" t="str">
        <f ca="1">'Project Overview'!Y35</f>
        <v>yes</v>
      </c>
      <c r="F38" s="217">
        <f t="shared" ref="F38:F39" si="12">IF(OR($A38="",$B38=""),1,0)</f>
        <v>0</v>
      </c>
      <c r="G38" s="217">
        <f t="shared" ref="G38:G39" si="13">IF($C38="",1,0)</f>
        <v>0</v>
      </c>
      <c r="H38" s="217">
        <f>IF(AND($A38&lt;&gt;"",'Project Overview'!D35=""),1,0)</f>
        <v>0</v>
      </c>
      <c r="I38" s="217">
        <f>IF(AND($A38&lt;&gt;"",'Project Overview'!F35=""),1,0)</f>
        <v>0</v>
      </c>
      <c r="J38" s="217">
        <f>IF(AND($A38&lt;&gt;"",OR('Project Overview'!I35="ESCO",'Project Overview'!I35="EPC",'Project Overview'!I35="ESCO BUYOUT"),'Project Overview'!K35=""),1,0)</f>
        <v>0</v>
      </c>
      <c r="K38" s="217">
        <f>IF(AND($A38&lt;&gt;"",'Project Overview'!M35=""),1,0)</f>
        <v>0</v>
      </c>
      <c r="L38" s="217">
        <f>IF(AND($A38&lt;&gt;"",'Project Overview'!U35=""),1,0)</f>
        <v>0</v>
      </c>
      <c r="M38" s="217">
        <f>IF(OR($A38="",'Project Overview'!O35="",'Project Overview'!O35="?"),1,0)</f>
        <v>0</v>
      </c>
      <c r="N38" s="217">
        <f>IF(OR($A38="",'Project Overview'!P35="", 'Project Overview'!P35="?"),1,0)</f>
        <v>0</v>
      </c>
      <c r="O38" s="217">
        <f t="shared" si="3"/>
        <v>0</v>
      </c>
      <c r="P38" s="217" t="str">
        <f t="shared" si="0"/>
        <v>OK</v>
      </c>
    </row>
    <row r="39" spans="1:16" ht="28.8" hidden="1" x14ac:dyDescent="0.3">
      <c r="A39" s="217" t="str">
        <f>""&amp;'Project Overview'!A36</f>
        <v>34</v>
      </c>
      <c r="B39" s="218" t="str">
        <f>'Project Overview'!B36</f>
        <v>Mirandesa</v>
      </c>
      <c r="C39" s="218" t="str">
        <f>'Project Overview'!C36</f>
        <v>Cooperativa Agro-Pecuária Mirandesa Crl</v>
      </c>
      <c r="D39" s="221" t="str">
        <f>'Project Overview'!R36</f>
        <v>ACTIVE</v>
      </c>
      <c r="E39" s="221" t="str">
        <f ca="1">'Project Overview'!Y36</f>
        <v>yes</v>
      </c>
      <c r="F39" s="217">
        <f t="shared" si="12"/>
        <v>0</v>
      </c>
      <c r="G39" s="217">
        <f t="shared" si="13"/>
        <v>0</v>
      </c>
      <c r="H39" s="217">
        <f>IF(AND($A39&lt;&gt;"",'Project Overview'!D36=""),1,0)</f>
        <v>0</v>
      </c>
      <c r="I39" s="217">
        <f>IF(AND($A39&lt;&gt;"",'Project Overview'!F36=""),1,0)</f>
        <v>0</v>
      </c>
      <c r="J39" s="217">
        <f>IF(AND($A39&lt;&gt;"",OR('Project Overview'!I36="ESCO",'Project Overview'!I36="EPC",'Project Overview'!I36="ESCO BUYOUT"),'Project Overview'!K36=""),1,0)</f>
        <v>0</v>
      </c>
      <c r="K39" s="217">
        <f>IF(AND($A39&lt;&gt;"",'Project Overview'!M36=""),1,0)</f>
        <v>0</v>
      </c>
      <c r="L39" s="217">
        <f>IF(AND($A39&lt;&gt;"",'Project Overview'!U36=""),1,0)</f>
        <v>0</v>
      </c>
      <c r="M39" s="217">
        <f>IF(OR($A39="",'Project Overview'!O36="",'Project Overview'!O36="?"),1,0)</f>
        <v>0</v>
      </c>
      <c r="N39" s="217">
        <f>IF(OR($A39="",'Project Overview'!P36="", 'Project Overview'!P36="?"),1,0)</f>
        <v>0</v>
      </c>
      <c r="O39" s="217">
        <f t="shared" si="3"/>
        <v>0</v>
      </c>
      <c r="P39" s="217" t="str">
        <f t="shared" si="0"/>
        <v>OK</v>
      </c>
    </row>
    <row r="40" spans="1:16" ht="28.8" hidden="1" x14ac:dyDescent="0.3">
      <c r="A40" s="217" t="str">
        <f>""&amp;'Project Overview'!A37</f>
        <v>35</v>
      </c>
      <c r="B40" s="218" t="str">
        <f>'Project Overview'!B37</f>
        <v>Jovi-Sola</v>
      </c>
      <c r="C40" s="218" t="str">
        <f>'Project Overview'!C37</f>
        <v>Jovi-Sola – Pré fabricados para calçado, Lda</v>
      </c>
      <c r="D40" s="221" t="str">
        <f>'Project Overview'!R37</f>
        <v>CANCELLED</v>
      </c>
      <c r="E40" s="221" t="str">
        <f ca="1">'Project Overview'!Y37</f>
        <v>no</v>
      </c>
      <c r="F40" s="217">
        <f t="shared" si="4"/>
        <v>0</v>
      </c>
      <c r="G40" s="217">
        <f t="shared" si="5"/>
        <v>0</v>
      </c>
      <c r="H40" s="217">
        <f>IF(AND($A40&lt;&gt;"",'Project Overview'!D37=""),1,0)</f>
        <v>0</v>
      </c>
      <c r="I40" s="217">
        <f>IF(AND($A40&lt;&gt;"",'Project Overview'!F37=""),1,0)</f>
        <v>1</v>
      </c>
      <c r="J40" s="217">
        <f>IF(AND($A40&lt;&gt;"",OR('Project Overview'!I37="ESCO",'Project Overview'!I37="EPC",'Project Overview'!I37="ESCO BUYOUT"),'Project Overview'!K37=""),1,0)</f>
        <v>0</v>
      </c>
      <c r="K40" s="217">
        <f>IF(AND($A40&lt;&gt;"",'Project Overview'!M37=""),1,0)</f>
        <v>1</v>
      </c>
      <c r="L40" s="217">
        <f>IF(AND($A40&lt;&gt;"",'Project Overview'!U37=""),1,0)</f>
        <v>0</v>
      </c>
      <c r="M40" s="217">
        <f>IF(OR($A40="",'Project Overview'!O37="",'Project Overview'!O37="?"),1,0)</f>
        <v>1</v>
      </c>
      <c r="N40" s="217">
        <f>IF(OR($A40="",'Project Overview'!P37="", 'Project Overview'!P37="?"),1,0)</f>
        <v>1</v>
      </c>
      <c r="O40" s="217">
        <f t="shared" si="3"/>
        <v>4</v>
      </c>
      <c r="P40" s="217" t="str">
        <f t="shared" si="0"/>
        <v>REVER</v>
      </c>
    </row>
    <row r="41" spans="1:16" ht="28.8" hidden="1" x14ac:dyDescent="0.3">
      <c r="A41" s="217" t="str">
        <f>""&amp;'Project Overview'!A38</f>
        <v>36</v>
      </c>
      <c r="B41" s="218" t="str">
        <f>'Project Overview'!B38</f>
        <v>Joaquim Pinheiro Santos</v>
      </c>
      <c r="C41" s="218" t="str">
        <f>'Project Overview'!C38</f>
        <v>JOAQUIM PINHEIRO SANTOS,SUCESSORES LDA</v>
      </c>
      <c r="D41" s="221" t="str">
        <f>'Project Overview'!R38</f>
        <v>ACTIVE</v>
      </c>
      <c r="E41" s="221" t="str">
        <f ca="1">'Project Overview'!Y38</f>
        <v>no</v>
      </c>
      <c r="F41" s="217">
        <f t="shared" si="4"/>
        <v>0</v>
      </c>
      <c r="G41" s="217">
        <f t="shared" si="5"/>
        <v>0</v>
      </c>
      <c r="H41" s="217">
        <f>IF(AND($A41&lt;&gt;"",'Project Overview'!D38=""),1,0)</f>
        <v>0</v>
      </c>
      <c r="I41" s="217">
        <f>IF(AND($A41&lt;&gt;"",'Project Overview'!F38=""),1,0)</f>
        <v>0</v>
      </c>
      <c r="J41" s="217">
        <f>IF(AND($A41&lt;&gt;"",OR('Project Overview'!I38="ESCO",'Project Overview'!I38="EPC",'Project Overview'!I38="ESCO BUYOUT"),'Project Overview'!K38=""),1,0)</f>
        <v>0</v>
      </c>
      <c r="K41" s="217">
        <f>IF(AND($A41&lt;&gt;"",'Project Overview'!M38=""),1,0)</f>
        <v>0</v>
      </c>
      <c r="L41" s="217">
        <f>IF(AND($A41&lt;&gt;"",'Project Overview'!U38=""),1,0)</f>
        <v>0</v>
      </c>
      <c r="M41" s="217">
        <f>IF(OR($A41="",'Project Overview'!O38="",'Project Overview'!O38="?"),1,0)</f>
        <v>0</v>
      </c>
      <c r="N41" s="217">
        <f>IF(OR($A41="",'Project Overview'!P38="", 'Project Overview'!P38="?"),1,0)</f>
        <v>0</v>
      </c>
      <c r="O41" s="217">
        <f t="shared" si="3"/>
        <v>0</v>
      </c>
      <c r="P41" s="217" t="str">
        <f t="shared" si="0"/>
        <v>OK</v>
      </c>
    </row>
    <row r="42" spans="1:16" hidden="1" x14ac:dyDescent="0.3">
      <c r="A42" s="217" t="str">
        <f>""&amp;'Project Overview'!A39</f>
        <v>37</v>
      </c>
      <c r="B42" s="218" t="str">
        <f>'Project Overview'!B39</f>
        <v>Ferraz &amp; Ferreira</v>
      </c>
      <c r="C42" s="218" t="str">
        <f>'Project Overview'!C39</f>
        <v>Ferraz &amp; Ferreira, Lda.</v>
      </c>
      <c r="D42" s="221" t="str">
        <f>'Project Overview'!R39</f>
        <v>ACTIVE</v>
      </c>
      <c r="E42" s="221" t="str">
        <f ca="1">'Project Overview'!Y39</f>
        <v>yes</v>
      </c>
      <c r="F42" s="217">
        <f>IF(OR($A42="",$B42=""),1,0)</f>
        <v>0</v>
      </c>
      <c r="G42" s="217">
        <f>IF($C42="",1,0)</f>
        <v>0</v>
      </c>
      <c r="H42" s="217">
        <f>IF(AND($A42&lt;&gt;"",'Project Overview'!D39=""),1,0)</f>
        <v>0</v>
      </c>
      <c r="I42" s="217">
        <f>IF(AND($A42&lt;&gt;"",'Project Overview'!F39=""),1,0)</f>
        <v>0</v>
      </c>
      <c r="J42" s="217">
        <f>IF(AND($A42&lt;&gt;"",OR('Project Overview'!I39="ESCO",'Project Overview'!I39="EPC",'Project Overview'!I39="ESCO BUYOUT"),'Project Overview'!K39=""),1,0)</f>
        <v>0</v>
      </c>
      <c r="K42" s="217">
        <f>IF(AND($A42&lt;&gt;"",'Project Overview'!M39=""),1,0)</f>
        <v>0</v>
      </c>
      <c r="L42" s="217">
        <f>IF(AND($A42&lt;&gt;"",'Project Overview'!U39=""),1,0)</f>
        <v>0</v>
      </c>
      <c r="M42" s="217">
        <f>IF(OR($A42="",'Project Overview'!O39="",'Project Overview'!O39="?"),1,0)</f>
        <v>0</v>
      </c>
      <c r="N42" s="217">
        <f>IF(OR($A42="",'Project Overview'!P39="", 'Project Overview'!P39="?"),1,0)</f>
        <v>0</v>
      </c>
      <c r="O42" s="217">
        <f t="shared" si="3"/>
        <v>0</v>
      </c>
      <c r="P42" s="217" t="str">
        <f t="shared" si="0"/>
        <v>OK</v>
      </c>
    </row>
    <row r="43" spans="1:16" hidden="1" x14ac:dyDescent="0.3">
      <c r="A43" s="217" t="str">
        <f>""&amp;'Project Overview'!A40</f>
        <v>38</v>
      </c>
      <c r="B43" s="218" t="str">
        <f>'Project Overview'!B40</f>
        <v xml:space="preserve">LIDL </v>
      </c>
      <c r="C43" s="218" t="str">
        <f>'Project Overview'!C40</f>
        <v>Lidl &amp; Companhia</v>
      </c>
      <c r="D43" s="221" t="str">
        <f>'Project Overview'!R40</f>
        <v>ACTIVE</v>
      </c>
      <c r="E43" s="221" t="str">
        <f ca="1">'Project Overview'!Y40</f>
        <v>no</v>
      </c>
      <c r="F43" s="217">
        <f t="shared" si="4"/>
        <v>0</v>
      </c>
      <c r="G43" s="217">
        <f t="shared" si="5"/>
        <v>0</v>
      </c>
      <c r="H43" s="217">
        <f>IF(AND($A43&lt;&gt;"",'Project Overview'!D40=""),1,0)</f>
        <v>0</v>
      </c>
      <c r="I43" s="217">
        <f>IF(AND($A43&lt;&gt;"",'Project Overview'!F40=""),1,0)</f>
        <v>1</v>
      </c>
      <c r="J43" s="217">
        <f>IF(AND($A43&lt;&gt;"",OR('Project Overview'!I40="ESCO",'Project Overview'!I40="EPC",'Project Overview'!I40="ESCO BUYOUT"),'Project Overview'!K40=""),1,0)</f>
        <v>0</v>
      </c>
      <c r="K43" s="217">
        <f>IF(AND($A43&lt;&gt;"",'Project Overview'!M40=""),1,0)</f>
        <v>0</v>
      </c>
      <c r="L43" s="217">
        <f>IF(AND($A43&lt;&gt;"",'Project Overview'!U40=""),1,0)</f>
        <v>1</v>
      </c>
      <c r="M43" s="217">
        <f>IF(OR($A43="",'Project Overview'!O40="",'Project Overview'!O40="?"),1,0)</f>
        <v>0</v>
      </c>
      <c r="N43" s="217">
        <f>IF(OR($A43="",'Project Overview'!P40="", 'Project Overview'!P40="?"),1,0)</f>
        <v>0</v>
      </c>
      <c r="O43" s="217">
        <f t="shared" si="3"/>
        <v>2</v>
      </c>
      <c r="P43" s="217" t="str">
        <f t="shared" si="0"/>
        <v>REVER</v>
      </c>
    </row>
    <row r="44" spans="1:16" hidden="1" x14ac:dyDescent="0.3">
      <c r="A44" s="217" t="str">
        <f>""&amp;'Project Overview'!A41</f>
        <v>39</v>
      </c>
      <c r="B44" s="218" t="str">
        <f>'Project Overview'!B41</f>
        <v>ELS Sede</v>
      </c>
      <c r="C44" s="218" t="str">
        <f>'Project Overview'!C41</f>
        <v>Estevão Luis Salvador Lda</v>
      </c>
      <c r="D44" s="221" t="str">
        <f>'Project Overview'!R41</f>
        <v>ACTIVE</v>
      </c>
      <c r="E44" s="221" t="str">
        <f ca="1">'Project Overview'!Y41</f>
        <v>no</v>
      </c>
      <c r="F44" s="217">
        <f t="shared" si="4"/>
        <v>0</v>
      </c>
      <c r="G44" s="217">
        <f t="shared" si="5"/>
        <v>0</v>
      </c>
      <c r="H44" s="217">
        <f>IF(AND($A44&lt;&gt;"",'Project Overview'!D41=""),1,0)</f>
        <v>0</v>
      </c>
      <c r="I44" s="217">
        <f>IF(AND($A44&lt;&gt;"",'Project Overview'!F41=""),1,0)</f>
        <v>0</v>
      </c>
      <c r="J44" s="217">
        <f>IF(AND($A44&lt;&gt;"",OR('Project Overview'!I41="ESCO",'Project Overview'!I41="EPC",'Project Overview'!I41="ESCO BUYOUT"),'Project Overview'!K41=""),1,0)</f>
        <v>0</v>
      </c>
      <c r="K44" s="217">
        <f>IF(AND($A44&lt;&gt;"",'Project Overview'!M41=""),1,0)</f>
        <v>0</v>
      </c>
      <c r="L44" s="217">
        <f>IF(AND($A44&lt;&gt;"",'Project Overview'!U41=""),1,0)</f>
        <v>0</v>
      </c>
      <c r="M44" s="217">
        <f>IF(OR($A44="",'Project Overview'!O41="",'Project Overview'!O41="?"),1,0)</f>
        <v>0</v>
      </c>
      <c r="N44" s="217">
        <f>IF(OR($A44="",'Project Overview'!P41="", 'Project Overview'!P41="?"),1,0)</f>
        <v>0</v>
      </c>
      <c r="O44" s="217">
        <f t="shared" si="3"/>
        <v>0</v>
      </c>
      <c r="P44" s="217" t="str">
        <f t="shared" si="0"/>
        <v>OK</v>
      </c>
    </row>
    <row r="45" spans="1:16" hidden="1" x14ac:dyDescent="0.3">
      <c r="A45" s="217" t="str">
        <f>""&amp;'Project Overview'!A42</f>
        <v>40</v>
      </c>
      <c r="B45" s="218" t="str">
        <f>'Project Overview'!B42</f>
        <v>ELS Bolo do Caco</v>
      </c>
      <c r="C45" s="218" t="str">
        <f>'Project Overview'!C42</f>
        <v>Estevão Luis Salvador Lda</v>
      </c>
      <c r="D45" s="221" t="str">
        <f>'Project Overview'!R42</f>
        <v>ACTIVE</v>
      </c>
      <c r="E45" s="221" t="str">
        <f ca="1">'Project Overview'!Y42</f>
        <v>no</v>
      </c>
      <c r="F45" s="217">
        <f t="shared" si="4"/>
        <v>0</v>
      </c>
      <c r="G45" s="217">
        <f t="shared" si="5"/>
        <v>0</v>
      </c>
      <c r="H45" s="217">
        <f>IF(AND($A45&lt;&gt;"",'Project Overview'!D42=""),1,0)</f>
        <v>0</v>
      </c>
      <c r="I45" s="217">
        <f>IF(AND($A45&lt;&gt;"",'Project Overview'!F42=""),1,0)</f>
        <v>0</v>
      </c>
      <c r="J45" s="217">
        <f>IF(AND($A45&lt;&gt;"",OR('Project Overview'!I42="ESCO",'Project Overview'!I42="EPC",'Project Overview'!I42="ESCO BUYOUT"),'Project Overview'!K42=""),1,0)</f>
        <v>0</v>
      </c>
      <c r="K45" s="217">
        <f>IF(AND($A45&lt;&gt;"",'Project Overview'!M42=""),1,0)</f>
        <v>0</v>
      </c>
      <c r="L45" s="217">
        <f>IF(AND($A45&lt;&gt;"",'Project Overview'!U42=""),1,0)</f>
        <v>0</v>
      </c>
      <c r="M45" s="217">
        <f>IF(OR($A45="",'Project Overview'!O42="",'Project Overview'!O42="?"),1,0)</f>
        <v>0</v>
      </c>
      <c r="N45" s="217">
        <f>IF(OR($A45="",'Project Overview'!P42="", 'Project Overview'!P42="?"),1,0)</f>
        <v>0</v>
      </c>
      <c r="O45" s="217">
        <f t="shared" si="3"/>
        <v>0</v>
      </c>
      <c r="P45" s="217" t="str">
        <f t="shared" si="0"/>
        <v>OK</v>
      </c>
    </row>
    <row r="46" spans="1:16" ht="28.8" hidden="1" x14ac:dyDescent="0.3">
      <c r="A46" s="217" t="str">
        <f>""&amp;'Project Overview'!A43</f>
        <v>41</v>
      </c>
      <c r="B46" s="218" t="str">
        <f>'Project Overview'!B43</f>
        <v>Mármores Galrão</v>
      </c>
      <c r="C46" s="218" t="str">
        <f>'Project Overview'!C43</f>
        <v>Marmores Galrão-Eduardo Galrão Jorge &amp; Filhos S.A.</v>
      </c>
      <c r="D46" s="221" t="str">
        <f>'Project Overview'!R43</f>
        <v>ACTIVE</v>
      </c>
      <c r="E46" s="221" t="str">
        <f ca="1">'Project Overview'!Y43</f>
        <v>yes</v>
      </c>
      <c r="F46" s="217">
        <f t="shared" ref="F46:F48" si="14">IF(OR($A46="",$B46=""),1,0)</f>
        <v>0</v>
      </c>
      <c r="G46" s="217">
        <f t="shared" ref="G46:G48" si="15">IF($C46="",1,0)</f>
        <v>0</v>
      </c>
      <c r="H46" s="217">
        <f>IF(AND($A46&lt;&gt;"",'Project Overview'!D43=""),1,0)</f>
        <v>0</v>
      </c>
      <c r="I46" s="217">
        <f>IF(AND($A46&lt;&gt;"",'Project Overview'!F43=""),1,0)</f>
        <v>0</v>
      </c>
      <c r="J46" s="217">
        <f>IF(AND($A46&lt;&gt;"",OR('Project Overview'!I43="ESCO",'Project Overview'!I43="EPC",'Project Overview'!I43="ESCO BUYOUT"),'Project Overview'!K43=""),1,0)</f>
        <v>0</v>
      </c>
      <c r="K46" s="217">
        <f>IF(AND($A46&lt;&gt;"",'Project Overview'!M43=""),1,0)</f>
        <v>0</v>
      </c>
      <c r="L46" s="217">
        <f>IF(AND($A46&lt;&gt;"",'Project Overview'!U43=""),1,0)</f>
        <v>0</v>
      </c>
      <c r="M46" s="217">
        <f>IF(OR($A46="",'Project Overview'!O43="",'Project Overview'!O43="?"),1,0)</f>
        <v>0</v>
      </c>
      <c r="N46" s="217">
        <f>IF(OR($A46="",'Project Overview'!P43="", 'Project Overview'!P43="?"),1,0)</f>
        <v>0</v>
      </c>
      <c r="O46" s="217">
        <f t="shared" si="3"/>
        <v>0</v>
      </c>
      <c r="P46" s="217" t="str">
        <f t="shared" si="0"/>
        <v>OK</v>
      </c>
    </row>
    <row r="47" spans="1:16" ht="28.8" hidden="1" x14ac:dyDescent="0.3">
      <c r="A47" s="217" t="str">
        <f>""&amp;'Project Overview'!A44</f>
        <v>42</v>
      </c>
      <c r="B47" s="218" t="str">
        <f>'Project Overview'!B44</f>
        <v>Granitos Galrão do Norte</v>
      </c>
      <c r="C47" s="218" t="str">
        <f>'Project Overview'!C44</f>
        <v>Granitos Galrão, Norte, Limitada</v>
      </c>
      <c r="D47" s="221" t="str">
        <f>'Project Overview'!R44</f>
        <v>ACTIVE</v>
      </c>
      <c r="E47" s="221" t="str">
        <f ca="1">'Project Overview'!Y44</f>
        <v>yes</v>
      </c>
      <c r="F47" s="217">
        <f t="shared" si="14"/>
        <v>0</v>
      </c>
      <c r="G47" s="217">
        <f t="shared" si="15"/>
        <v>0</v>
      </c>
      <c r="H47" s="217">
        <f>IF(AND($A47&lt;&gt;"",'Project Overview'!D44=""),1,0)</f>
        <v>0</v>
      </c>
      <c r="I47" s="217">
        <f>IF(AND($A47&lt;&gt;"",'Project Overview'!F44=""),1,0)</f>
        <v>0</v>
      </c>
      <c r="J47" s="217">
        <f>IF(AND($A47&lt;&gt;"",OR('Project Overview'!I44="ESCO",'Project Overview'!I44="EPC",'Project Overview'!I44="ESCO BUYOUT"),'Project Overview'!K44=""),1,0)</f>
        <v>0</v>
      </c>
      <c r="K47" s="217">
        <f>IF(AND($A47&lt;&gt;"",'Project Overview'!M44=""),1,0)</f>
        <v>0</v>
      </c>
      <c r="L47" s="217">
        <f>IF(AND($A47&lt;&gt;"",'Project Overview'!U44=""),1,0)</f>
        <v>0</v>
      </c>
      <c r="M47" s="217">
        <f>IF(OR($A47="",'Project Overview'!O44="",'Project Overview'!O44="?"),1,0)</f>
        <v>0</v>
      </c>
      <c r="N47" s="217">
        <f>IF(OR($A47="",'Project Overview'!P44="", 'Project Overview'!P44="?"),1,0)</f>
        <v>0</v>
      </c>
      <c r="O47" s="217">
        <f t="shared" si="3"/>
        <v>0</v>
      </c>
      <c r="P47" s="217" t="str">
        <f t="shared" si="0"/>
        <v>OK</v>
      </c>
    </row>
    <row r="48" spans="1:16" ht="43.2" hidden="1" x14ac:dyDescent="0.3">
      <c r="A48" s="217" t="str">
        <f>""&amp;'Project Overview'!A45</f>
        <v>43</v>
      </c>
      <c r="B48" s="218" t="str">
        <f>'Project Overview'!B45</f>
        <v>Ardavi</v>
      </c>
      <c r="C48" s="218" t="str">
        <f>'Project Overview'!C45</f>
        <v>Ardavi-Maquinação E Comercialização De Artefactos Metal...</v>
      </c>
      <c r="D48" s="221" t="str">
        <f>'Project Overview'!R45</f>
        <v>ACTIVE</v>
      </c>
      <c r="E48" s="221" t="str">
        <f ca="1">'Project Overview'!Y45</f>
        <v>yes</v>
      </c>
      <c r="F48" s="217">
        <f t="shared" si="14"/>
        <v>0</v>
      </c>
      <c r="G48" s="217">
        <f t="shared" si="15"/>
        <v>0</v>
      </c>
      <c r="H48" s="217">
        <f>IF(AND($A48&lt;&gt;"",'Project Overview'!D45=""),1,0)</f>
        <v>0</v>
      </c>
      <c r="I48" s="217">
        <f>IF(AND($A48&lt;&gt;"",'Project Overview'!F45=""),1,0)</f>
        <v>0</v>
      </c>
      <c r="J48" s="217">
        <f>IF(AND($A48&lt;&gt;"",OR('Project Overview'!I45="ESCO",'Project Overview'!I45="EPC",'Project Overview'!I45="ESCO BUYOUT"),'Project Overview'!K45=""),1,0)</f>
        <v>0</v>
      </c>
      <c r="K48" s="217">
        <f>IF(AND($A48&lt;&gt;"",'Project Overview'!M45=""),1,0)</f>
        <v>0</v>
      </c>
      <c r="L48" s="217">
        <f>IF(AND($A48&lt;&gt;"",'Project Overview'!U45=""),1,0)</f>
        <v>0</v>
      </c>
      <c r="M48" s="217">
        <f>IF(OR($A48="",'Project Overview'!O45="",'Project Overview'!O45="?"),1,0)</f>
        <v>0</v>
      </c>
      <c r="N48" s="217">
        <f>IF(OR($A48="",'Project Overview'!P45="", 'Project Overview'!P45="?"),1,0)</f>
        <v>0</v>
      </c>
      <c r="O48" s="217">
        <f t="shared" si="3"/>
        <v>0</v>
      </c>
      <c r="P48" s="217" t="str">
        <f t="shared" si="0"/>
        <v>OK</v>
      </c>
    </row>
    <row r="49" spans="1:16" hidden="1" x14ac:dyDescent="0.3">
      <c r="A49" s="217" t="str">
        <f>""&amp;'Project Overview'!A46</f>
        <v>44</v>
      </c>
      <c r="B49" s="218" t="str">
        <f>'Project Overview'!B46</f>
        <v>Textil do Marco</v>
      </c>
      <c r="C49" s="218" t="str">
        <f>'Project Overview'!C46</f>
        <v>Textil Do Marco S.A.</v>
      </c>
      <c r="D49" s="221" t="str">
        <f>'Project Overview'!R46</f>
        <v>ACTIVE</v>
      </c>
      <c r="E49" s="221" t="str">
        <f ca="1">'Project Overview'!Y46</f>
        <v>no</v>
      </c>
      <c r="F49" s="217">
        <f t="shared" si="4"/>
        <v>0</v>
      </c>
      <c r="G49" s="217">
        <f t="shared" si="5"/>
        <v>0</v>
      </c>
      <c r="H49" s="217">
        <f>IF(AND($A49&lt;&gt;"",'Project Overview'!D46=""),1,0)</f>
        <v>0</v>
      </c>
      <c r="I49" s="217">
        <f>IF(AND($A49&lt;&gt;"",'Project Overview'!F46=""),1,0)</f>
        <v>0</v>
      </c>
      <c r="J49" s="217">
        <f>IF(AND($A49&lt;&gt;"",OR('Project Overview'!I46="ESCO",'Project Overview'!I46="EPC",'Project Overview'!I46="ESCO BUYOUT"),'Project Overview'!K46=""),1,0)</f>
        <v>0</v>
      </c>
      <c r="K49" s="217">
        <f>IF(AND($A49&lt;&gt;"",'Project Overview'!M46=""),1,0)</f>
        <v>0</v>
      </c>
      <c r="L49" s="217">
        <f>IF(AND($A49&lt;&gt;"",'Project Overview'!U46=""),1,0)</f>
        <v>1</v>
      </c>
      <c r="M49" s="217">
        <f>IF(OR($A49="",'Project Overview'!O46="",'Project Overview'!O46="?"),1,0)</f>
        <v>0</v>
      </c>
      <c r="N49" s="217">
        <f>IF(OR($A49="",'Project Overview'!P46="", 'Project Overview'!P46="?"),1,0)</f>
        <v>0</v>
      </c>
      <c r="O49" s="217">
        <f t="shared" si="3"/>
        <v>1</v>
      </c>
      <c r="P49" s="217" t="str">
        <f t="shared" si="0"/>
        <v>REVER</v>
      </c>
    </row>
    <row r="50" spans="1:16" ht="28.8" hidden="1" x14ac:dyDescent="0.3">
      <c r="A50" s="217" t="str">
        <f>""&amp;'Project Overview'!A47</f>
        <v>45</v>
      </c>
      <c r="B50" s="218" t="str">
        <f>'Project Overview'!B47</f>
        <v>Diaco Fábrica 1</v>
      </c>
      <c r="C50" s="218" t="str">
        <f>'Project Overview'!C47</f>
        <v>Diamantino Coelho &amp; Filho S.A.</v>
      </c>
      <c r="D50" s="221" t="str">
        <f>'Project Overview'!R47</f>
        <v>ACTIVE</v>
      </c>
      <c r="E50" s="221" t="str">
        <f ca="1">'Project Overview'!Y47</f>
        <v>yes</v>
      </c>
      <c r="F50" s="217">
        <f>IF(OR($A50="",$B50=""),1,0)</f>
        <v>0</v>
      </c>
      <c r="G50" s="217">
        <f>IF($C50="",1,0)</f>
        <v>0</v>
      </c>
      <c r="H50" s="217">
        <f>IF(AND($A50&lt;&gt;"",'Project Overview'!D47=""),1,0)</f>
        <v>0</v>
      </c>
      <c r="I50" s="217">
        <f>IF(AND($A50&lt;&gt;"",'Project Overview'!F47=""),1,0)</f>
        <v>0</v>
      </c>
      <c r="J50" s="217">
        <f>IF(AND($A50&lt;&gt;"",OR('Project Overview'!I47="ESCO",'Project Overview'!I47="EPC",'Project Overview'!I47="ESCO BUYOUT"),'Project Overview'!K47=""),1,0)</f>
        <v>0</v>
      </c>
      <c r="K50" s="217">
        <f>IF(AND($A50&lt;&gt;"",'Project Overview'!M47=""),1,0)</f>
        <v>0</v>
      </c>
      <c r="L50" s="217">
        <f>IF(AND($A50&lt;&gt;"",'Project Overview'!U47=""),1,0)</f>
        <v>0</v>
      </c>
      <c r="M50" s="217">
        <f>IF(OR($A50="",'Project Overview'!O47="",'Project Overview'!O47="?"),1,0)</f>
        <v>0</v>
      </c>
      <c r="N50" s="217">
        <f>IF(OR($A50="",'Project Overview'!P47="", 'Project Overview'!P47="?"),1,0)</f>
        <v>0</v>
      </c>
      <c r="O50" s="217">
        <f t="shared" si="3"/>
        <v>0</v>
      </c>
      <c r="P50" s="217" t="str">
        <f t="shared" si="0"/>
        <v>OK</v>
      </c>
    </row>
    <row r="51" spans="1:16" ht="28.8" hidden="1" x14ac:dyDescent="0.3">
      <c r="A51" s="217" t="str">
        <f>""&amp;'Project Overview'!A48</f>
        <v>45</v>
      </c>
      <c r="B51" s="218" t="str">
        <f>'Project Overview'!B48</f>
        <v>Diaco - Agriloja Tomar</v>
      </c>
      <c r="C51" s="218" t="str">
        <f>'Project Overview'!C48</f>
        <v>Diamantino Coelho &amp; Filho S.A.</v>
      </c>
      <c r="D51" s="221" t="str">
        <f>'Project Overview'!R48</f>
        <v>ACTIVE</v>
      </c>
      <c r="E51" s="221" t="str">
        <f ca="1">'Project Overview'!Y48</f>
        <v>no</v>
      </c>
      <c r="F51" s="217">
        <f t="shared" si="4"/>
        <v>0</v>
      </c>
      <c r="G51" s="217">
        <f t="shared" si="5"/>
        <v>0</v>
      </c>
      <c r="H51" s="217">
        <f>IF(AND($A51&lt;&gt;"",'Project Overview'!D48=""),1,0)</f>
        <v>0</v>
      </c>
      <c r="I51" s="217">
        <f>IF(AND($A51&lt;&gt;"",'Project Overview'!F48=""),1,0)</f>
        <v>0</v>
      </c>
      <c r="J51" s="217">
        <f>IF(AND($A51&lt;&gt;"",OR('Project Overview'!I48="ESCO",'Project Overview'!I48="EPC",'Project Overview'!I48="ESCO BUYOUT"),'Project Overview'!K48=""),1,0)</f>
        <v>0</v>
      </c>
      <c r="K51" s="217">
        <f>IF(AND($A51&lt;&gt;"",'Project Overview'!M48=""),1,0)</f>
        <v>0</v>
      </c>
      <c r="L51" s="217">
        <f>IF(AND($A51&lt;&gt;"",'Project Overview'!U48=""),1,0)</f>
        <v>0</v>
      </c>
      <c r="M51" s="217">
        <f>IF(OR($A51="",'Project Overview'!O48="",'Project Overview'!O48="?"),1,0)</f>
        <v>0</v>
      </c>
      <c r="N51" s="217">
        <f>IF(OR($A51="",'Project Overview'!P48="", 'Project Overview'!P48="?"),1,0)</f>
        <v>0</v>
      </c>
      <c r="O51" s="217">
        <f t="shared" si="3"/>
        <v>0</v>
      </c>
      <c r="P51" s="217" t="str">
        <f t="shared" si="0"/>
        <v>OK</v>
      </c>
    </row>
    <row r="52" spans="1:16" ht="28.8" hidden="1" x14ac:dyDescent="0.3">
      <c r="A52" s="217" t="str">
        <f>""&amp;'Project Overview'!A49</f>
        <v>45</v>
      </c>
      <c r="B52" s="218" t="str">
        <f>'Project Overview'!B49</f>
        <v>Diaco - Casa</v>
      </c>
      <c r="C52" s="218" t="str">
        <f>'Project Overview'!C49</f>
        <v>Diamantino Coelho &amp; Filho S.A.</v>
      </c>
      <c r="D52" s="221" t="str">
        <f>'Project Overview'!R49</f>
        <v>ACTIVE</v>
      </c>
      <c r="E52" s="221" t="str">
        <f ca="1">'Project Overview'!Y49</f>
        <v>no</v>
      </c>
      <c r="F52" s="217">
        <f t="shared" si="4"/>
        <v>0</v>
      </c>
      <c r="G52" s="217">
        <f t="shared" si="5"/>
        <v>0</v>
      </c>
      <c r="H52" s="217">
        <f>IF(AND($A52&lt;&gt;"",'Project Overview'!D49=""),1,0)</f>
        <v>0</v>
      </c>
      <c r="I52" s="217">
        <f>IF(AND($A52&lt;&gt;"",'Project Overview'!F49=""),1,0)</f>
        <v>0</v>
      </c>
      <c r="J52" s="217">
        <f>IF(AND($A52&lt;&gt;"",OR('Project Overview'!I49="ESCO",'Project Overview'!I49="EPC",'Project Overview'!I49="ESCO BUYOUT"),'Project Overview'!K49=""),1,0)</f>
        <v>0</v>
      </c>
      <c r="K52" s="217">
        <f>IF(AND($A52&lt;&gt;"",'Project Overview'!M49=""),1,0)</f>
        <v>0</v>
      </c>
      <c r="L52" s="217">
        <f>IF(AND($A52&lt;&gt;"",'Project Overview'!U49=""),1,0)</f>
        <v>0</v>
      </c>
      <c r="M52" s="217">
        <f>IF(OR($A52="",'Project Overview'!O49="",'Project Overview'!O49="?"),1,0)</f>
        <v>0</v>
      </c>
      <c r="N52" s="217">
        <f>IF(OR($A52="",'Project Overview'!P49="", 'Project Overview'!P49="?"),1,0)</f>
        <v>0</v>
      </c>
      <c r="O52" s="217">
        <f t="shared" si="3"/>
        <v>0</v>
      </c>
      <c r="P52" s="217" t="str">
        <f t="shared" si="0"/>
        <v>OK</v>
      </c>
    </row>
    <row r="53" spans="1:16" hidden="1" x14ac:dyDescent="0.3">
      <c r="A53" s="217" t="str">
        <f>""&amp;'Project Overview'!A50</f>
        <v>46</v>
      </c>
      <c r="B53" s="218" t="str">
        <f>'Project Overview'!B50</f>
        <v>Pinhão &amp; Irmão</v>
      </c>
      <c r="C53" s="218" t="str">
        <f>'Project Overview'!C50</f>
        <v>Pinhão &amp; Irmão Lda</v>
      </c>
      <c r="D53" s="221" t="str">
        <f>'Project Overview'!R50</f>
        <v>ACTIVE</v>
      </c>
      <c r="E53" s="221" t="str">
        <f ca="1">'Project Overview'!Y50</f>
        <v>yes</v>
      </c>
      <c r="F53" s="217">
        <f t="shared" si="4"/>
        <v>0</v>
      </c>
      <c r="G53" s="217">
        <f t="shared" si="5"/>
        <v>0</v>
      </c>
      <c r="H53" s="217">
        <f>IF(AND($A53&lt;&gt;"",'Project Overview'!D50=""),1,0)</f>
        <v>0</v>
      </c>
      <c r="I53" s="217">
        <f>IF(AND($A53&lt;&gt;"",'Project Overview'!F50=""),1,0)</f>
        <v>0</v>
      </c>
      <c r="J53" s="217">
        <f>IF(AND($A53&lt;&gt;"",OR('Project Overview'!I50="ESCO",'Project Overview'!I50="EPC",'Project Overview'!I50="ESCO BUYOUT"),'Project Overview'!K50=""),1,0)</f>
        <v>0</v>
      </c>
      <c r="K53" s="217">
        <f>IF(AND($A53&lt;&gt;"",'Project Overview'!M50=""),1,0)</f>
        <v>0</v>
      </c>
      <c r="L53" s="217">
        <f>IF(AND($A53&lt;&gt;"",'Project Overview'!U50=""),1,0)</f>
        <v>0</v>
      </c>
      <c r="M53" s="217">
        <f>IF(OR($A53="",'Project Overview'!O50="",'Project Overview'!O50="?"),1,0)</f>
        <v>0</v>
      </c>
      <c r="N53" s="217">
        <f>IF(OR($A53="",'Project Overview'!P50="", 'Project Overview'!P50="?"),1,0)</f>
        <v>0</v>
      </c>
      <c r="O53" s="217">
        <f t="shared" si="3"/>
        <v>0</v>
      </c>
      <c r="P53" s="217" t="str">
        <f t="shared" si="0"/>
        <v>OK</v>
      </c>
    </row>
    <row r="54" spans="1:16" ht="28.8" hidden="1" x14ac:dyDescent="0.3">
      <c r="A54" s="217" t="str">
        <f>""&amp;'Project Overview'!A51</f>
        <v>47</v>
      </c>
      <c r="B54" s="218" t="str">
        <f>'Project Overview'!B51</f>
        <v>Jetesetecar</v>
      </c>
      <c r="C54" s="218" t="str">
        <f>'Project Overview'!C51</f>
        <v>Jetesetecar - Equipamentos Auto Lda</v>
      </c>
      <c r="D54" s="221" t="str">
        <f>'Project Overview'!R51</f>
        <v>ACTIVE</v>
      </c>
      <c r="E54" s="221" t="str">
        <f ca="1">'Project Overview'!Y51</f>
        <v>yes</v>
      </c>
      <c r="F54" s="217">
        <f>IF(OR($A54="",$B54=""),1,0)</f>
        <v>0</v>
      </c>
      <c r="G54" s="217">
        <f>IF($C54="",1,0)</f>
        <v>0</v>
      </c>
      <c r="H54" s="217">
        <f>IF(AND($A54&lt;&gt;"",'Project Overview'!D51=""),1,0)</f>
        <v>0</v>
      </c>
      <c r="I54" s="217">
        <f>IF(AND($A54&lt;&gt;"",'Project Overview'!F51=""),1,0)</f>
        <v>0</v>
      </c>
      <c r="J54" s="217">
        <f>IF(AND($A54&lt;&gt;"",OR('Project Overview'!I51="ESCO",'Project Overview'!I51="EPC",'Project Overview'!I51="ESCO BUYOUT"),'Project Overview'!K51=""),1,0)</f>
        <v>0</v>
      </c>
      <c r="K54" s="217">
        <f>IF(AND($A54&lt;&gt;"",'Project Overview'!M51=""),1,0)</f>
        <v>0</v>
      </c>
      <c r="L54" s="217">
        <f>IF(AND($A54&lt;&gt;"",'Project Overview'!U51=""),1,0)</f>
        <v>0</v>
      </c>
      <c r="M54" s="217">
        <f>IF(OR($A54="",'Project Overview'!O51="",'Project Overview'!O51="?"),1,0)</f>
        <v>0</v>
      </c>
      <c r="N54" s="217">
        <f>IF(OR($A54="",'Project Overview'!P51="", 'Project Overview'!P51="?"),1,0)</f>
        <v>0</v>
      </c>
      <c r="O54" s="217">
        <f t="shared" si="3"/>
        <v>0</v>
      </c>
      <c r="P54" s="217" t="str">
        <f t="shared" si="0"/>
        <v>OK</v>
      </c>
    </row>
    <row r="55" spans="1:16" hidden="1" x14ac:dyDescent="0.3">
      <c r="A55" s="217" t="str">
        <f>""&amp;'Project Overview'!A52</f>
        <v>48</v>
      </c>
      <c r="B55" s="218" t="str">
        <f>'Project Overview'!B52</f>
        <v>ELS Laundos</v>
      </c>
      <c r="C55" s="218" t="str">
        <f>'Project Overview'!C52</f>
        <v>Estevão Luis Salvador Lda</v>
      </c>
      <c r="D55" s="221" t="str">
        <f>'Project Overview'!R52</f>
        <v>ACTIVE</v>
      </c>
      <c r="E55" s="221" t="str">
        <f ca="1">'Project Overview'!Y52</f>
        <v>no</v>
      </c>
      <c r="F55" s="217">
        <f t="shared" si="4"/>
        <v>0</v>
      </c>
      <c r="G55" s="217">
        <f t="shared" si="5"/>
        <v>0</v>
      </c>
      <c r="H55" s="217">
        <f>IF(AND($A55&lt;&gt;"",'Project Overview'!D52=""),1,0)</f>
        <v>0</v>
      </c>
      <c r="I55" s="217">
        <f>IF(AND($A55&lt;&gt;"",'Project Overview'!F52=""),1,0)</f>
        <v>0</v>
      </c>
      <c r="J55" s="217">
        <f>IF(AND($A55&lt;&gt;"",OR('Project Overview'!I52="ESCO",'Project Overview'!I52="EPC",'Project Overview'!I52="ESCO BUYOUT"),'Project Overview'!K52=""),1,0)</f>
        <v>0</v>
      </c>
      <c r="K55" s="217">
        <f>IF(AND($A55&lt;&gt;"",'Project Overview'!M52=""),1,0)</f>
        <v>0</v>
      </c>
      <c r="L55" s="217">
        <f>IF(AND($A55&lt;&gt;"",'Project Overview'!U52=""),1,0)</f>
        <v>0</v>
      </c>
      <c r="M55" s="217">
        <f>IF(OR($A55="",'Project Overview'!O52="",'Project Overview'!O52="?"),1,0)</f>
        <v>0</v>
      </c>
      <c r="N55" s="217">
        <f>IF(OR($A55="",'Project Overview'!P52="", 'Project Overview'!P52="?"),1,0)</f>
        <v>0</v>
      </c>
      <c r="O55" s="217">
        <f t="shared" si="3"/>
        <v>0</v>
      </c>
      <c r="P55" s="217" t="str">
        <f t="shared" si="0"/>
        <v>OK</v>
      </c>
    </row>
    <row r="56" spans="1:16" ht="28.8" hidden="1" x14ac:dyDescent="0.3">
      <c r="A56" s="217" t="str">
        <f>""&amp;'Project Overview'!A53</f>
        <v>49</v>
      </c>
      <c r="B56" s="218" t="str">
        <f>'Project Overview'!B53</f>
        <v>Vatel</v>
      </c>
      <c r="C56" s="218" t="str">
        <f>'Project Overview'!C53</f>
        <v>Vatel-Companhia De Produtos Alimentares S.A.</v>
      </c>
      <c r="D56" s="221" t="str">
        <f>'Project Overview'!R53</f>
        <v>ACTIVE</v>
      </c>
      <c r="E56" s="221" t="str">
        <f ca="1">'Project Overview'!Y53</f>
        <v>no</v>
      </c>
      <c r="F56" s="217">
        <f t="shared" si="4"/>
        <v>0</v>
      </c>
      <c r="G56" s="217">
        <f t="shared" si="5"/>
        <v>0</v>
      </c>
      <c r="H56" s="217">
        <f>IF(AND($A56&lt;&gt;"",'Project Overview'!D53=""),1,0)</f>
        <v>0</v>
      </c>
      <c r="I56" s="217">
        <f>IF(AND($A56&lt;&gt;"",'Project Overview'!F53=""),1,0)</f>
        <v>0</v>
      </c>
      <c r="J56" s="217">
        <f>IF(AND($A56&lt;&gt;"",OR('Project Overview'!I53="ESCO",'Project Overview'!I53="EPC",'Project Overview'!I53="ESCO BUYOUT"),'Project Overview'!K53=""),1,0)</f>
        <v>0</v>
      </c>
      <c r="K56" s="217">
        <f>IF(AND($A56&lt;&gt;"",'Project Overview'!M53=""),1,0)</f>
        <v>0</v>
      </c>
      <c r="L56" s="217">
        <f>IF(AND($A56&lt;&gt;"",'Project Overview'!U53=""),1,0)</f>
        <v>0</v>
      </c>
      <c r="M56" s="217">
        <f>IF(OR($A56="",'Project Overview'!O53="",'Project Overview'!O53="?"),1,0)</f>
        <v>0</v>
      </c>
      <c r="N56" s="217">
        <f>IF(OR($A56="",'Project Overview'!P53="", 'Project Overview'!P53="?"),1,0)</f>
        <v>0</v>
      </c>
      <c r="O56" s="217">
        <f t="shared" si="3"/>
        <v>0</v>
      </c>
      <c r="P56" s="217" t="str">
        <f t="shared" si="0"/>
        <v>OK</v>
      </c>
    </row>
    <row r="57" spans="1:16" ht="28.8" hidden="1" x14ac:dyDescent="0.3">
      <c r="A57" s="217" t="str">
        <f>""&amp;'Project Overview'!A54</f>
        <v>50</v>
      </c>
      <c r="B57" s="218" t="str">
        <f>'Project Overview'!B54</f>
        <v>Tecnisata</v>
      </c>
      <c r="C57" s="218" t="str">
        <f>'Project Overview'!C54</f>
        <v>Tecnisata - Indústria Metalomecânica S.A.</v>
      </c>
      <c r="D57" s="221" t="str">
        <f>'Project Overview'!R54</f>
        <v>ACTIVE</v>
      </c>
      <c r="E57" s="221" t="str">
        <f ca="1">'Project Overview'!Y54</f>
        <v>yes</v>
      </c>
      <c r="F57" s="217">
        <f>IF(OR($A57="",$B57=""),1,0)</f>
        <v>0</v>
      </c>
      <c r="G57" s="217">
        <f>IF($C57="",1,0)</f>
        <v>0</v>
      </c>
      <c r="H57" s="217">
        <f>IF(AND($A57&lt;&gt;"",'Project Overview'!D54=""),1,0)</f>
        <v>0</v>
      </c>
      <c r="I57" s="217">
        <f>IF(AND($A57&lt;&gt;"",'Project Overview'!F54=""),1,0)</f>
        <v>0</v>
      </c>
      <c r="J57" s="217">
        <f>IF(AND($A57&lt;&gt;"",OR('Project Overview'!I54="ESCO",'Project Overview'!I54="EPC",'Project Overview'!I54="ESCO BUYOUT"),'Project Overview'!K54=""),1,0)</f>
        <v>0</v>
      </c>
      <c r="K57" s="217">
        <f>IF(AND($A57&lt;&gt;"",'Project Overview'!M54=""),1,0)</f>
        <v>0</v>
      </c>
      <c r="L57" s="217">
        <f>IF(AND($A57&lt;&gt;"",'Project Overview'!U54=""),1,0)</f>
        <v>0</v>
      </c>
      <c r="M57" s="217">
        <f>IF(OR($A57="",'Project Overview'!O54="",'Project Overview'!O54="?"),1,0)</f>
        <v>0</v>
      </c>
      <c r="N57" s="217">
        <f>IF(OR($A57="",'Project Overview'!P54="", 'Project Overview'!P54="?"),1,0)</f>
        <v>0</v>
      </c>
      <c r="O57" s="217">
        <f t="shared" si="3"/>
        <v>0</v>
      </c>
      <c r="P57" s="217" t="str">
        <f t="shared" si="0"/>
        <v>OK</v>
      </c>
    </row>
    <row r="58" spans="1:16" ht="43.2" hidden="1" x14ac:dyDescent="0.3">
      <c r="A58" s="217" t="str">
        <f>""&amp;'Project Overview'!A55</f>
        <v>51</v>
      </c>
      <c r="B58" s="218" t="str">
        <f>'Project Overview'!B55</f>
        <v>Moviportas 1 - Sede</v>
      </c>
      <c r="C58" s="218" t="str">
        <f>'Project Overview'!C55</f>
        <v>Moviportas-Fábrica De Móveis E Portas De Rio De Couros Lda</v>
      </c>
      <c r="D58" s="221" t="str">
        <f>'Project Overview'!R55</f>
        <v>ACTIVE</v>
      </c>
      <c r="E58" s="221" t="str">
        <f ca="1">'Project Overview'!Y55</f>
        <v>no</v>
      </c>
      <c r="F58" s="217">
        <f t="shared" si="4"/>
        <v>0</v>
      </c>
      <c r="G58" s="217">
        <f t="shared" si="5"/>
        <v>0</v>
      </c>
      <c r="H58" s="217">
        <f>IF(AND($A58&lt;&gt;"",'Project Overview'!D55=""),1,0)</f>
        <v>0</v>
      </c>
      <c r="I58" s="217">
        <f>IF(AND($A58&lt;&gt;"",'Project Overview'!F55=""),1,0)</f>
        <v>0</v>
      </c>
      <c r="J58" s="217">
        <f>IF(AND($A58&lt;&gt;"",OR('Project Overview'!I55="ESCO",'Project Overview'!I55="EPC",'Project Overview'!I55="ESCO BUYOUT"),'Project Overview'!K55=""),1,0)</f>
        <v>0</v>
      </c>
      <c r="K58" s="217">
        <f>IF(AND($A58&lt;&gt;"",'Project Overview'!M55=""),1,0)</f>
        <v>0</v>
      </c>
      <c r="L58" s="217">
        <f>IF(AND($A58&lt;&gt;"",'Project Overview'!U55=""),1,0)</f>
        <v>0</v>
      </c>
      <c r="M58" s="217">
        <f>IF(OR($A58="",'Project Overview'!O55="",'Project Overview'!O55="?"),1,0)</f>
        <v>0</v>
      </c>
      <c r="N58" s="217">
        <f>IF(OR($A58="",'Project Overview'!P55="", 'Project Overview'!P55="?"),1,0)</f>
        <v>0</v>
      </c>
      <c r="O58" s="217">
        <f t="shared" si="3"/>
        <v>0</v>
      </c>
      <c r="P58" s="217" t="str">
        <f t="shared" si="0"/>
        <v>OK</v>
      </c>
    </row>
    <row r="59" spans="1:16" ht="43.2" hidden="1" x14ac:dyDescent="0.3">
      <c r="A59" s="217" t="str">
        <f>""&amp;'Project Overview'!A56</f>
        <v>52</v>
      </c>
      <c r="B59" s="218" t="str">
        <f>'Project Overview'!B56</f>
        <v>Moviportas 2</v>
      </c>
      <c r="C59" s="218" t="str">
        <f>'Project Overview'!C56</f>
        <v>Moviportas-Fábrica De Móveis E Portas De Rio De Couros Lda</v>
      </c>
      <c r="D59" s="221" t="str">
        <f>'Project Overview'!R56</f>
        <v>ACTIVE</v>
      </c>
      <c r="E59" s="221" t="str">
        <f ca="1">'Project Overview'!Y56</f>
        <v>no</v>
      </c>
      <c r="F59" s="217">
        <f t="shared" si="4"/>
        <v>0</v>
      </c>
      <c r="G59" s="217">
        <f t="shared" si="5"/>
        <v>0</v>
      </c>
      <c r="H59" s="217">
        <f>IF(AND($A59&lt;&gt;"",'Project Overview'!D56=""),1,0)</f>
        <v>0</v>
      </c>
      <c r="I59" s="217">
        <f>IF(AND($A59&lt;&gt;"",'Project Overview'!F56=""),1,0)</f>
        <v>0</v>
      </c>
      <c r="J59" s="217">
        <f>IF(AND($A59&lt;&gt;"",OR('Project Overview'!I56="ESCO",'Project Overview'!I56="EPC",'Project Overview'!I56="ESCO BUYOUT"),'Project Overview'!K56=""),1,0)</f>
        <v>0</v>
      </c>
      <c r="K59" s="217">
        <f>IF(AND($A59&lt;&gt;"",'Project Overview'!M56=""),1,0)</f>
        <v>0</v>
      </c>
      <c r="L59" s="217">
        <f>IF(AND($A59&lt;&gt;"",'Project Overview'!U56=""),1,0)</f>
        <v>0</v>
      </c>
      <c r="M59" s="217">
        <f>IF(OR($A59="",'Project Overview'!O56="",'Project Overview'!O56="?"),1,0)</f>
        <v>0</v>
      </c>
      <c r="N59" s="217">
        <f>IF(OR($A59="",'Project Overview'!P56="", 'Project Overview'!P56="?"),1,0)</f>
        <v>0</v>
      </c>
      <c r="O59" s="217">
        <f t="shared" si="3"/>
        <v>0</v>
      </c>
      <c r="P59" s="217" t="str">
        <f t="shared" si="0"/>
        <v>OK</v>
      </c>
    </row>
    <row r="60" spans="1:16" ht="43.2" hidden="1" x14ac:dyDescent="0.3">
      <c r="A60" s="217" t="str">
        <f>""&amp;'Project Overview'!A57</f>
        <v>53</v>
      </c>
      <c r="B60" s="218" t="str">
        <f>'Project Overview'!B57</f>
        <v>Moviportas 3 - casa</v>
      </c>
      <c r="C60" s="218" t="str">
        <f>'Project Overview'!C57</f>
        <v>Moviportas-Fábrica De Móveis E Portas De Rio De Couros Lda</v>
      </c>
      <c r="D60" s="221" t="str">
        <f>'Project Overview'!R57</f>
        <v>ACTIVE</v>
      </c>
      <c r="E60" s="221" t="str">
        <f ca="1">'Project Overview'!Y57</f>
        <v>no</v>
      </c>
      <c r="F60" s="217">
        <f t="shared" si="4"/>
        <v>0</v>
      </c>
      <c r="G60" s="217">
        <f t="shared" si="5"/>
        <v>0</v>
      </c>
      <c r="H60" s="217">
        <f>IF(AND($A60&lt;&gt;"",'Project Overview'!D57=""),1,0)</f>
        <v>0</v>
      </c>
      <c r="I60" s="217">
        <f>IF(AND($A60&lt;&gt;"",'Project Overview'!F57=""),1,0)</f>
        <v>0</v>
      </c>
      <c r="J60" s="217">
        <f>IF(AND($A60&lt;&gt;"",OR('Project Overview'!I57="ESCO",'Project Overview'!I57="EPC",'Project Overview'!I57="ESCO BUYOUT"),'Project Overview'!K57=""),1,0)</f>
        <v>0</v>
      </c>
      <c r="K60" s="217">
        <f>IF(AND($A60&lt;&gt;"",'Project Overview'!M57=""),1,0)</f>
        <v>0</v>
      </c>
      <c r="L60" s="217">
        <f>IF(AND($A60&lt;&gt;"",'Project Overview'!U57=""),1,0)</f>
        <v>0</v>
      </c>
      <c r="M60" s="217">
        <f>IF(OR($A60="",'Project Overview'!O57="",'Project Overview'!O57="?"),1,0)</f>
        <v>0</v>
      </c>
      <c r="N60" s="217">
        <f>IF(OR($A60="",'Project Overview'!P57="", 'Project Overview'!P57="?"),1,0)</f>
        <v>0</v>
      </c>
      <c r="O60" s="217">
        <f t="shared" si="3"/>
        <v>0</v>
      </c>
      <c r="P60" s="217" t="str">
        <f t="shared" si="0"/>
        <v>OK</v>
      </c>
    </row>
    <row r="61" spans="1:16" hidden="1" x14ac:dyDescent="0.3">
      <c r="A61" s="217" t="str">
        <f>""&amp;'Project Overview'!A58</f>
        <v>54</v>
      </c>
      <c r="B61" s="218" t="str">
        <f>'Project Overview'!B58</f>
        <v>Homeupdate</v>
      </c>
      <c r="C61" s="218" t="str">
        <f>'Project Overview'!C58</f>
        <v>Homeupdate, Lda</v>
      </c>
      <c r="D61" s="221" t="str">
        <f>'Project Overview'!R58</f>
        <v>ACTIVE</v>
      </c>
      <c r="E61" s="221" t="str">
        <f ca="1">'Project Overview'!Y58</f>
        <v>yes</v>
      </c>
      <c r="F61" s="217">
        <f>IF(OR($A61="",$B61=""),1,0)</f>
        <v>0</v>
      </c>
      <c r="G61" s="217">
        <f>IF($C61="",1,0)</f>
        <v>0</v>
      </c>
      <c r="H61" s="217">
        <f>IF(AND($A61&lt;&gt;"",'Project Overview'!D58=""),1,0)</f>
        <v>0</v>
      </c>
      <c r="I61" s="217">
        <f>IF(AND($A61&lt;&gt;"",'Project Overview'!F58=""),1,0)</f>
        <v>0</v>
      </c>
      <c r="J61" s="217">
        <f>IF(AND($A61&lt;&gt;"",OR('Project Overview'!I58="ESCO",'Project Overview'!I58="EPC",'Project Overview'!I58="ESCO BUYOUT"),'Project Overview'!K58=""),1,0)</f>
        <v>0</v>
      </c>
      <c r="K61" s="217">
        <f>IF(AND($A61&lt;&gt;"",'Project Overview'!M58=""),1,0)</f>
        <v>0</v>
      </c>
      <c r="L61" s="217">
        <f>IF(AND($A61&lt;&gt;"",'Project Overview'!U58=""),1,0)</f>
        <v>0</v>
      </c>
      <c r="M61" s="217">
        <f>IF(OR($A61="",'Project Overview'!O58="",'Project Overview'!O58="?"),1,0)</f>
        <v>0</v>
      </c>
      <c r="N61" s="217">
        <f>IF(OR($A61="",'Project Overview'!P58="", 'Project Overview'!P58="?"),1,0)</f>
        <v>0</v>
      </c>
      <c r="O61" s="217">
        <f t="shared" si="3"/>
        <v>0</v>
      </c>
      <c r="P61" s="217" t="str">
        <f t="shared" si="0"/>
        <v>OK</v>
      </c>
    </row>
    <row r="62" spans="1:16" hidden="1" x14ac:dyDescent="0.3">
      <c r="A62" s="217" t="str">
        <f>""&amp;'Project Overview'!A59</f>
        <v>55</v>
      </c>
      <c r="B62" s="218" t="str">
        <f>'Project Overview'!B59</f>
        <v>ELS Guia</v>
      </c>
      <c r="C62" s="218" t="str">
        <f>'Project Overview'!C59</f>
        <v>Estevão Luis Salvador Lda</v>
      </c>
      <c r="D62" s="221" t="str">
        <f>'Project Overview'!R59</f>
        <v>ACTIVE</v>
      </c>
      <c r="E62" s="221" t="str">
        <f ca="1">'Project Overview'!Y59</f>
        <v>no</v>
      </c>
      <c r="F62" s="217">
        <f t="shared" si="4"/>
        <v>0</v>
      </c>
      <c r="G62" s="217">
        <f t="shared" si="5"/>
        <v>0</v>
      </c>
      <c r="H62" s="217">
        <f>IF(AND($A62&lt;&gt;"",'Project Overview'!D59=""),1,0)</f>
        <v>0</v>
      </c>
      <c r="I62" s="217">
        <f>IF(AND($A62&lt;&gt;"",'Project Overview'!F59=""),1,0)</f>
        <v>0</v>
      </c>
      <c r="J62" s="217">
        <f>IF(AND($A62&lt;&gt;"",OR('Project Overview'!I59="ESCO",'Project Overview'!I59="EPC",'Project Overview'!I59="ESCO BUYOUT"),'Project Overview'!K59=""),1,0)</f>
        <v>0</v>
      </c>
      <c r="K62" s="217">
        <f>IF(AND($A62&lt;&gt;"",'Project Overview'!M59=""),1,0)</f>
        <v>0</v>
      </c>
      <c r="L62" s="217">
        <f>IF(AND($A62&lt;&gt;"",'Project Overview'!U59=""),1,0)</f>
        <v>0</v>
      </c>
      <c r="M62" s="217">
        <f>IF(OR($A62="",'Project Overview'!O59="",'Project Overview'!O59="?"),1,0)</f>
        <v>0</v>
      </c>
      <c r="N62" s="217">
        <f>IF(OR($A62="",'Project Overview'!P59="", 'Project Overview'!P59="?"),1,0)</f>
        <v>0</v>
      </c>
      <c r="O62" s="217">
        <f t="shared" si="3"/>
        <v>0</v>
      </c>
      <c r="P62" s="217" t="str">
        <f t="shared" si="0"/>
        <v>OK</v>
      </c>
    </row>
    <row r="63" spans="1:16" ht="28.8" hidden="1" x14ac:dyDescent="0.3">
      <c r="A63" s="217" t="str">
        <f>""&amp;'Project Overview'!A60</f>
        <v>56</v>
      </c>
      <c r="B63" s="218" t="str">
        <f>'Project Overview'!B60</f>
        <v>Dayton Progress</v>
      </c>
      <c r="C63" s="218" t="str">
        <f>'Project Overview'!C60</f>
        <v>Dayton Progress - Perfuradores, Lda</v>
      </c>
      <c r="D63" s="221" t="str">
        <f>'Project Overview'!R60</f>
        <v>ACTIVE</v>
      </c>
      <c r="E63" s="221" t="str">
        <f ca="1">'Project Overview'!Y60</f>
        <v>yes</v>
      </c>
      <c r="F63" s="217">
        <f t="shared" ref="F63:F64" si="16">IF(OR($A63="",$B63=""),1,0)</f>
        <v>0</v>
      </c>
      <c r="G63" s="217">
        <f t="shared" ref="G63:G64" si="17">IF($C63="",1,0)</f>
        <v>0</v>
      </c>
      <c r="H63" s="217">
        <f>IF(AND($A63&lt;&gt;"",'Project Overview'!D60=""),1,0)</f>
        <v>0</v>
      </c>
      <c r="I63" s="217">
        <f>IF(AND($A63&lt;&gt;"",'Project Overview'!F60=""),1,0)</f>
        <v>0</v>
      </c>
      <c r="J63" s="217">
        <f>IF(AND($A63&lt;&gt;"",OR('Project Overview'!I60="ESCO",'Project Overview'!I60="EPC",'Project Overview'!I60="ESCO BUYOUT"),'Project Overview'!K60=""),1,0)</f>
        <v>0</v>
      </c>
      <c r="K63" s="217">
        <f>IF(AND($A63&lt;&gt;"",'Project Overview'!M60=""),1,0)</f>
        <v>0</v>
      </c>
      <c r="L63" s="217">
        <f>IF(AND($A63&lt;&gt;"",'Project Overview'!U60=""),1,0)</f>
        <v>0</v>
      </c>
      <c r="M63" s="217">
        <f>IF(OR($A63="",'Project Overview'!O60="",'Project Overview'!O60="?"),1,0)</f>
        <v>0</v>
      </c>
      <c r="N63" s="217">
        <f>IF(OR($A63="",'Project Overview'!P60="", 'Project Overview'!P60="?"),1,0)</f>
        <v>0</v>
      </c>
      <c r="O63" s="217">
        <f t="shared" si="3"/>
        <v>0</v>
      </c>
      <c r="P63" s="217" t="str">
        <f t="shared" si="0"/>
        <v>OK</v>
      </c>
    </row>
    <row r="64" spans="1:16" hidden="1" x14ac:dyDescent="0.3">
      <c r="A64" s="217" t="str">
        <f>""&amp;'Project Overview'!A61</f>
        <v>57</v>
      </c>
      <c r="B64" s="218" t="str">
        <f>'Project Overview'!B61</f>
        <v>RAP Industrial</v>
      </c>
      <c r="C64" s="218" t="str">
        <f>'Project Overview'!C61</f>
        <v>Rap - Industrial Lda</v>
      </c>
      <c r="D64" s="221" t="str">
        <f>'Project Overview'!R61</f>
        <v>ACTIVE</v>
      </c>
      <c r="E64" s="221" t="str">
        <f ca="1">'Project Overview'!Y61</f>
        <v>yes</v>
      </c>
      <c r="F64" s="217">
        <f t="shared" si="16"/>
        <v>0</v>
      </c>
      <c r="G64" s="217">
        <f t="shared" si="17"/>
        <v>0</v>
      </c>
      <c r="H64" s="217">
        <f>IF(AND($A64&lt;&gt;"",'Project Overview'!D61=""),1,0)</f>
        <v>0</v>
      </c>
      <c r="I64" s="217">
        <f>IF(AND($A64&lt;&gt;"",'Project Overview'!F61=""),1,0)</f>
        <v>0</v>
      </c>
      <c r="J64" s="217">
        <f>IF(AND($A64&lt;&gt;"",OR('Project Overview'!I61="ESCO",'Project Overview'!I61="EPC",'Project Overview'!I61="ESCO BUYOUT"),'Project Overview'!K61=""),1,0)</f>
        <v>0</v>
      </c>
      <c r="K64" s="217">
        <f>IF(AND($A64&lt;&gt;"",'Project Overview'!M61=""),1,0)</f>
        <v>0</v>
      </c>
      <c r="L64" s="217">
        <f>IF(AND($A64&lt;&gt;"",'Project Overview'!U61=""),1,0)</f>
        <v>0</v>
      </c>
      <c r="M64" s="217">
        <f>IF(OR($A64="",'Project Overview'!O61="",'Project Overview'!O61="?"),1,0)</f>
        <v>0</v>
      </c>
      <c r="N64" s="217">
        <f>IF(OR($A64="",'Project Overview'!P61="", 'Project Overview'!P61="?"),1,0)</f>
        <v>0</v>
      </c>
      <c r="O64" s="217">
        <f t="shared" si="3"/>
        <v>0</v>
      </c>
      <c r="P64" s="217" t="str">
        <f t="shared" si="0"/>
        <v>OK</v>
      </c>
    </row>
    <row r="65" spans="1:16" hidden="1" x14ac:dyDescent="0.3">
      <c r="A65" s="217" t="str">
        <f>""&amp;'Project Overview'!A62</f>
        <v>58</v>
      </c>
      <c r="B65" s="218" t="str">
        <f>'Project Overview'!B62</f>
        <v>DRA Detergentes</v>
      </c>
      <c r="C65" s="218">
        <f>'Project Overview'!C62</f>
        <v>0</v>
      </c>
      <c r="D65" s="221" t="str">
        <f>'Project Overview'!R62</f>
        <v>CANCELLED</v>
      </c>
      <c r="E65" s="221" t="str">
        <f ca="1">'Project Overview'!Y62</f>
        <v>no</v>
      </c>
      <c r="F65" s="217">
        <f t="shared" si="4"/>
        <v>0</v>
      </c>
      <c r="G65" s="217">
        <f t="shared" si="5"/>
        <v>0</v>
      </c>
      <c r="H65" s="217">
        <f>IF(AND($A65&lt;&gt;"",'Project Overview'!D62=""),1,0)</f>
        <v>1</v>
      </c>
      <c r="I65" s="217">
        <f>IF(AND($A65&lt;&gt;"",'Project Overview'!F62=""),1,0)</f>
        <v>1</v>
      </c>
      <c r="J65" s="217">
        <f>IF(AND($A65&lt;&gt;"",OR('Project Overview'!I62="ESCO",'Project Overview'!I62="EPC",'Project Overview'!I62="ESCO BUYOUT"),'Project Overview'!K62=""),1,0)</f>
        <v>1</v>
      </c>
      <c r="K65" s="217">
        <f>IF(AND($A65&lt;&gt;"",'Project Overview'!M62=""),1,0)</f>
        <v>1</v>
      </c>
      <c r="L65" s="217">
        <f>IF(AND($A65&lt;&gt;"",'Project Overview'!U62=""),1,0)</f>
        <v>1</v>
      </c>
      <c r="M65" s="217">
        <f>IF(OR($A65="",'Project Overview'!O62="",'Project Overview'!O62="?"),1,0)</f>
        <v>1</v>
      </c>
      <c r="N65" s="217">
        <f>IF(OR($A65="",'Project Overview'!P62="", 'Project Overview'!P62="?"),1,0)</f>
        <v>1</v>
      </c>
      <c r="O65" s="217">
        <f t="shared" si="3"/>
        <v>7</v>
      </c>
      <c r="P65" s="217" t="str">
        <f t="shared" si="0"/>
        <v>REVER</v>
      </c>
    </row>
    <row r="66" spans="1:16" ht="57.6" hidden="1" x14ac:dyDescent="0.3">
      <c r="A66" s="217" t="str">
        <f>""&amp;'Project Overview'!A63</f>
        <v>59</v>
      </c>
      <c r="B66" s="218" t="str">
        <f>'Project Overview'!B63</f>
        <v>Corkplas Armazém 21</v>
      </c>
      <c r="C66" s="218" t="str">
        <f>'Project Overview'!C63</f>
        <v>Corkplas - Indústria De Transformação E Comércio De Plásticos E Derivados De Cortiça Lda</v>
      </c>
      <c r="D66" s="221" t="str">
        <f>'Project Overview'!R63</f>
        <v>ACTIVE</v>
      </c>
      <c r="E66" s="221" t="str">
        <f ca="1">'Project Overview'!Y63</f>
        <v>no</v>
      </c>
      <c r="F66" s="217">
        <f t="shared" si="4"/>
        <v>0</v>
      </c>
      <c r="G66" s="217">
        <f t="shared" si="5"/>
        <v>0</v>
      </c>
      <c r="H66" s="217">
        <f>IF(AND($A66&lt;&gt;"",'Project Overview'!D63=""),1,0)</f>
        <v>0</v>
      </c>
      <c r="I66" s="217">
        <f>IF(AND($A66&lt;&gt;"",'Project Overview'!F63=""),1,0)</f>
        <v>0</v>
      </c>
      <c r="J66" s="217">
        <f>IF(AND($A66&lt;&gt;"",OR('Project Overview'!I63="ESCO",'Project Overview'!I63="EPC",'Project Overview'!I63="ESCO BUYOUT"),'Project Overview'!K63=""),1,0)</f>
        <v>0</v>
      </c>
      <c r="K66" s="217">
        <f>IF(AND($A66&lt;&gt;"",'Project Overview'!M63=""),1,0)</f>
        <v>0</v>
      </c>
      <c r="L66" s="217">
        <f>IF(AND($A66&lt;&gt;"",'Project Overview'!U63=""),1,0)</f>
        <v>1</v>
      </c>
      <c r="M66" s="217">
        <f>IF(OR($A66="",'Project Overview'!O63="",'Project Overview'!O63="?"),1,0)</f>
        <v>0</v>
      </c>
      <c r="N66" s="217">
        <f>IF(OR($A66="",'Project Overview'!P63="", 'Project Overview'!P63="?"),1,0)</f>
        <v>0</v>
      </c>
      <c r="O66" s="217">
        <f t="shared" si="3"/>
        <v>1</v>
      </c>
      <c r="P66" s="217" t="str">
        <f t="shared" si="0"/>
        <v>REVER</v>
      </c>
    </row>
    <row r="67" spans="1:16" ht="57.6" hidden="1" x14ac:dyDescent="0.3">
      <c r="A67" s="217" t="str">
        <f>""&amp;'Project Overview'!A64</f>
        <v>60</v>
      </c>
      <c r="B67" s="218" t="str">
        <f>'Project Overview'!B64</f>
        <v>Corkplas Armazém 13</v>
      </c>
      <c r="C67" s="218" t="str">
        <f>'Project Overview'!C64</f>
        <v>Corkplas - Indústria De Transformação E Comércio De Plásticos E Derivados De Cortiça Lda</v>
      </c>
      <c r="D67" s="221" t="str">
        <f>'Project Overview'!R64</f>
        <v>ACTIVE</v>
      </c>
      <c r="E67" s="221" t="str">
        <f ca="1">'Project Overview'!Y64</f>
        <v>no</v>
      </c>
      <c r="F67" s="217">
        <f t="shared" si="4"/>
        <v>0</v>
      </c>
      <c r="G67" s="217">
        <f t="shared" si="5"/>
        <v>0</v>
      </c>
      <c r="H67" s="217">
        <f>IF(AND($A67&lt;&gt;"",'Project Overview'!D64=""),1,0)</f>
        <v>0</v>
      </c>
      <c r="I67" s="217">
        <f>IF(AND($A67&lt;&gt;"",'Project Overview'!F64=""),1,0)</f>
        <v>0</v>
      </c>
      <c r="J67" s="217">
        <f>IF(AND($A67&lt;&gt;"",OR('Project Overview'!I64="ESCO",'Project Overview'!I64="EPC",'Project Overview'!I64="ESCO BUYOUT"),'Project Overview'!K64=""),1,0)</f>
        <v>0</v>
      </c>
      <c r="K67" s="217">
        <f>IF(AND($A67&lt;&gt;"",'Project Overview'!M64=""),1,0)</f>
        <v>0</v>
      </c>
      <c r="L67" s="217">
        <f>IF(AND($A67&lt;&gt;"",'Project Overview'!U64=""),1,0)</f>
        <v>1</v>
      </c>
      <c r="M67" s="217">
        <f>IF(OR($A67="",'Project Overview'!O64="",'Project Overview'!O64="?"),1,0)</f>
        <v>0</v>
      </c>
      <c r="N67" s="217">
        <f>IF(OR($A67="",'Project Overview'!P64="", 'Project Overview'!P64="?"),1,0)</f>
        <v>0</v>
      </c>
      <c r="O67" s="217">
        <f t="shared" si="3"/>
        <v>1</v>
      </c>
      <c r="P67" s="217" t="str">
        <f t="shared" si="0"/>
        <v>REVER</v>
      </c>
    </row>
    <row r="68" spans="1:16" hidden="1" x14ac:dyDescent="0.3">
      <c r="A68" s="217" t="str">
        <f>""&amp;'Project Overview'!A65</f>
        <v>61</v>
      </c>
      <c r="B68" s="218" t="str">
        <f>'Project Overview'!B65</f>
        <v>Jeteprodesing</v>
      </c>
      <c r="C68" s="218" t="str">
        <f>'Project Overview'!C65</f>
        <v>Jeteprodesign, Lda</v>
      </c>
      <c r="D68" s="221" t="str">
        <f>'Project Overview'!R65</f>
        <v>ON HOLD</v>
      </c>
      <c r="E68" s="221" t="str">
        <f ca="1">'Project Overview'!Y65</f>
        <v>no</v>
      </c>
      <c r="F68" s="217">
        <f t="shared" si="4"/>
        <v>0</v>
      </c>
      <c r="G68" s="217">
        <f t="shared" si="5"/>
        <v>0</v>
      </c>
      <c r="H68" s="217">
        <f>IF(AND($A68&lt;&gt;"",'Project Overview'!D65=""),1,0)</f>
        <v>0</v>
      </c>
      <c r="I68" s="217">
        <f>IF(AND($A68&lt;&gt;"",'Project Overview'!F65=""),1,0)</f>
        <v>1</v>
      </c>
      <c r="J68" s="217">
        <f>IF(AND($A68&lt;&gt;"",OR('Project Overview'!I65="ESCO",'Project Overview'!I65="EPC",'Project Overview'!I65="ESCO BUYOUT"),'Project Overview'!K65=""),1,0)</f>
        <v>0</v>
      </c>
      <c r="K68" s="217">
        <f>IF(AND($A68&lt;&gt;"",'Project Overview'!M65=""),1,0)</f>
        <v>1</v>
      </c>
      <c r="L68" s="217">
        <f>IF(AND($A68&lt;&gt;"",'Project Overview'!U65=""),1,0)</f>
        <v>0</v>
      </c>
      <c r="M68" s="217">
        <f>IF(OR($A68="",'Project Overview'!O65="",'Project Overview'!O65="?"),1,0)</f>
        <v>1</v>
      </c>
      <c r="N68" s="217">
        <f>IF(OR($A68="",'Project Overview'!P65="", 'Project Overview'!P65="?"),1,0)</f>
        <v>1</v>
      </c>
      <c r="O68" s="217">
        <f t="shared" si="3"/>
        <v>4</v>
      </c>
      <c r="P68" s="217" t="str">
        <f t="shared" si="0"/>
        <v>REVER</v>
      </c>
    </row>
    <row r="69" spans="1:16" ht="43.2" hidden="1" x14ac:dyDescent="0.3">
      <c r="A69" s="217" t="str">
        <f>""&amp;'Project Overview'!A66</f>
        <v>62</v>
      </c>
      <c r="B69" s="218" t="str">
        <f>'Project Overview'!B66</f>
        <v>BV Arruda dos Vinhos</v>
      </c>
      <c r="C69" s="218" t="str">
        <f>'Project Overview'!C66</f>
        <v>Associação Dos Bombeiros Voluntarios De Arruda Dos Vinhos</v>
      </c>
      <c r="D69" s="221" t="str">
        <f>'Project Overview'!R66</f>
        <v>ACTIVE</v>
      </c>
      <c r="E69" s="221" t="str">
        <f ca="1">'Project Overview'!Y66</f>
        <v>yes</v>
      </c>
      <c r="F69" s="217">
        <f t="shared" ref="F69:F72" si="18">IF(OR($A69="",$B69=""),1,0)</f>
        <v>0</v>
      </c>
      <c r="G69" s="217">
        <f t="shared" ref="G69:G72" si="19">IF($C69="",1,0)</f>
        <v>0</v>
      </c>
      <c r="H69" s="217">
        <f>IF(AND($A69&lt;&gt;"",'Project Overview'!D66=""),1,0)</f>
        <v>0</v>
      </c>
      <c r="I69" s="217">
        <f>IF(AND($A69&lt;&gt;"",'Project Overview'!F66=""),1,0)</f>
        <v>0</v>
      </c>
      <c r="J69" s="217">
        <f>IF(AND($A69&lt;&gt;"",OR('Project Overview'!I66="ESCO",'Project Overview'!I66="EPC",'Project Overview'!I66="ESCO BUYOUT"),'Project Overview'!K66=""),1,0)</f>
        <v>0</v>
      </c>
      <c r="K69" s="217">
        <f>IF(AND($A69&lt;&gt;"",'Project Overview'!M66=""),1,0)</f>
        <v>0</v>
      </c>
      <c r="L69" s="217">
        <f>IF(AND($A69&lt;&gt;"",'Project Overview'!U66=""),1,0)</f>
        <v>0</v>
      </c>
      <c r="M69" s="217">
        <f>IF(OR($A69="",'Project Overview'!O66="",'Project Overview'!O66="?"),1,0)</f>
        <v>0</v>
      </c>
      <c r="N69" s="217">
        <f>IF(OR($A69="",'Project Overview'!P66="", 'Project Overview'!P66="?"),1,0)</f>
        <v>0</v>
      </c>
      <c r="O69" s="217">
        <f t="shared" si="3"/>
        <v>0</v>
      </c>
      <c r="P69" s="217" t="str">
        <f t="shared" ref="P69:P132" si="20">IF($A69="","",IF($O69=0,"OK","REVER"))</f>
        <v>OK</v>
      </c>
    </row>
    <row r="70" spans="1:16" ht="28.8" hidden="1" x14ac:dyDescent="0.3">
      <c r="A70" s="217" t="str">
        <f>""&amp;'Project Overview'!A67</f>
        <v>63</v>
      </c>
      <c r="B70" s="218" t="str">
        <f>'Project Overview'!B67</f>
        <v>Encontrus</v>
      </c>
      <c r="C70" s="218" t="str">
        <f>'Project Overview'!C67</f>
        <v>Encontrus-Sociedade Hoteleira Lda</v>
      </c>
      <c r="D70" s="221" t="str">
        <f>'Project Overview'!R67</f>
        <v>ACTIVE</v>
      </c>
      <c r="E70" s="221" t="str">
        <f ca="1">'Project Overview'!Y67</f>
        <v>yes</v>
      </c>
      <c r="F70" s="217">
        <f t="shared" si="18"/>
        <v>0</v>
      </c>
      <c r="G70" s="217">
        <f t="shared" si="19"/>
        <v>0</v>
      </c>
      <c r="H70" s="217">
        <f>IF(AND($A70&lt;&gt;"",'Project Overview'!D67=""),1,0)</f>
        <v>0</v>
      </c>
      <c r="I70" s="217">
        <f>IF(AND($A70&lt;&gt;"",'Project Overview'!F67=""),1,0)</f>
        <v>0</v>
      </c>
      <c r="J70" s="217">
        <f>IF(AND($A70&lt;&gt;"",OR('Project Overview'!I67="ESCO",'Project Overview'!I67="EPC",'Project Overview'!I67="ESCO BUYOUT"),'Project Overview'!K67=""),1,0)</f>
        <v>0</v>
      </c>
      <c r="K70" s="217">
        <f>IF(AND($A70&lt;&gt;"",'Project Overview'!M67=""),1,0)</f>
        <v>0</v>
      </c>
      <c r="L70" s="217">
        <f>IF(AND($A70&lt;&gt;"",'Project Overview'!U67=""),1,0)</f>
        <v>0</v>
      </c>
      <c r="M70" s="217">
        <f>IF(OR($A70="",'Project Overview'!O67="",'Project Overview'!O67="?"),1,0)</f>
        <v>0</v>
      </c>
      <c r="N70" s="217">
        <f>IF(OR($A70="",'Project Overview'!P67="", 'Project Overview'!P67="?"),1,0)</f>
        <v>0</v>
      </c>
      <c r="O70" s="217">
        <f t="shared" ref="O70:O133" si="21">SUM(F70:N70)</f>
        <v>0</v>
      </c>
      <c r="P70" s="217" t="str">
        <f t="shared" si="20"/>
        <v>OK</v>
      </c>
    </row>
    <row r="71" spans="1:16" hidden="1" x14ac:dyDescent="0.3">
      <c r="A71" s="217" t="str">
        <f>""&amp;'Project Overview'!A68</f>
        <v>64</v>
      </c>
      <c r="B71" s="218" t="str">
        <f>'Project Overview'!B68</f>
        <v>Licofrutos</v>
      </c>
      <c r="C71" s="218" t="str">
        <f>'Project Overview'!C68</f>
        <v>Licofrutos, Unipessoal Lda</v>
      </c>
      <c r="D71" s="221" t="str">
        <f>'Project Overview'!R68</f>
        <v>ACTIVE</v>
      </c>
      <c r="E71" s="221" t="str">
        <f ca="1">'Project Overview'!Y68</f>
        <v>yes</v>
      </c>
      <c r="F71" s="217">
        <f t="shared" si="18"/>
        <v>0</v>
      </c>
      <c r="G71" s="217">
        <f t="shared" si="19"/>
        <v>0</v>
      </c>
      <c r="H71" s="217">
        <f>IF(AND($A71&lt;&gt;"",'Project Overview'!D68=""),1,0)</f>
        <v>0</v>
      </c>
      <c r="I71" s="217">
        <f>IF(AND($A71&lt;&gt;"",'Project Overview'!F68=""),1,0)</f>
        <v>0</v>
      </c>
      <c r="J71" s="217">
        <f>IF(AND($A71&lt;&gt;"",OR('Project Overview'!I68="ESCO",'Project Overview'!I68="EPC",'Project Overview'!I68="ESCO BUYOUT"),'Project Overview'!K68=""),1,0)</f>
        <v>0</v>
      </c>
      <c r="K71" s="217">
        <f>IF(AND($A71&lt;&gt;"",'Project Overview'!M68=""),1,0)</f>
        <v>0</v>
      </c>
      <c r="L71" s="217">
        <f>IF(AND($A71&lt;&gt;"",'Project Overview'!U68=""),1,0)</f>
        <v>0</v>
      </c>
      <c r="M71" s="217">
        <f>IF(OR($A71="",'Project Overview'!O68="",'Project Overview'!O68="?"),1,0)</f>
        <v>0</v>
      </c>
      <c r="N71" s="217">
        <f>IF(OR($A71="",'Project Overview'!P68="", 'Project Overview'!P68="?"),1,0)</f>
        <v>0</v>
      </c>
      <c r="O71" s="217">
        <f t="shared" si="21"/>
        <v>0</v>
      </c>
      <c r="P71" s="217" t="str">
        <f t="shared" si="20"/>
        <v>OK</v>
      </c>
    </row>
    <row r="72" spans="1:16" ht="28.8" hidden="1" x14ac:dyDescent="0.3">
      <c r="A72" s="217" t="str">
        <f>""&amp;'Project Overview'!A69</f>
        <v>65</v>
      </c>
      <c r="B72" s="218" t="str">
        <f>'Project Overview'!B69</f>
        <v>Pancrisp</v>
      </c>
      <c r="C72" s="218" t="str">
        <f>'Project Overview'!C69</f>
        <v>Pancrisp-Industria De Panificação Lda</v>
      </c>
      <c r="D72" s="221" t="str">
        <f>'Project Overview'!R69</f>
        <v>ACTIVE</v>
      </c>
      <c r="E72" s="221" t="str">
        <f ca="1">'Project Overview'!Y69</f>
        <v>yes</v>
      </c>
      <c r="F72" s="217">
        <f t="shared" si="18"/>
        <v>0</v>
      </c>
      <c r="G72" s="217">
        <f t="shared" si="19"/>
        <v>0</v>
      </c>
      <c r="H72" s="217">
        <f>IF(AND($A72&lt;&gt;"",'Project Overview'!D69=""),1,0)</f>
        <v>0</v>
      </c>
      <c r="I72" s="217">
        <f>IF(AND($A72&lt;&gt;"",'Project Overview'!F69=""),1,0)</f>
        <v>0</v>
      </c>
      <c r="J72" s="217">
        <f>IF(AND($A72&lt;&gt;"",OR('Project Overview'!I69="ESCO",'Project Overview'!I69="EPC",'Project Overview'!I69="ESCO BUYOUT"),'Project Overview'!K69=""),1,0)</f>
        <v>0</v>
      </c>
      <c r="K72" s="217">
        <f>IF(AND($A72&lt;&gt;"",'Project Overview'!M69=""),1,0)</f>
        <v>0</v>
      </c>
      <c r="L72" s="217">
        <f>IF(AND($A72&lt;&gt;"",'Project Overview'!U69=""),1,0)</f>
        <v>0</v>
      </c>
      <c r="M72" s="217">
        <f>IF(OR($A72="",'Project Overview'!O69="",'Project Overview'!O69="?"),1,0)</f>
        <v>0</v>
      </c>
      <c r="N72" s="217">
        <f>IF(OR($A72="",'Project Overview'!P69="", 'Project Overview'!P69="?"),1,0)</f>
        <v>0</v>
      </c>
      <c r="O72" s="217">
        <f t="shared" si="21"/>
        <v>0</v>
      </c>
      <c r="P72" s="217" t="str">
        <f t="shared" si="20"/>
        <v>OK</v>
      </c>
    </row>
    <row r="73" spans="1:16" ht="28.8" hidden="1" x14ac:dyDescent="0.3">
      <c r="A73" s="217" t="str">
        <f>""&amp;'Project Overview'!A70</f>
        <v>66</v>
      </c>
      <c r="B73" s="218" t="str">
        <f>'Project Overview'!B70</f>
        <v>Barbotina</v>
      </c>
      <c r="C73" s="218" t="str">
        <f>'Project Overview'!C70</f>
        <v>Barbotina-Fábrica de Artigos Cerâmicos S.A</v>
      </c>
      <c r="D73" s="221" t="str">
        <f>'Project Overview'!R70</f>
        <v>CANCELLED</v>
      </c>
      <c r="E73" s="221" t="str">
        <f ca="1">'Project Overview'!Y70</f>
        <v>no</v>
      </c>
      <c r="F73" s="217">
        <f t="shared" ref="F73:F132" si="22">IF(AND($A73&lt;&gt;"",$B73=""),1,0)</f>
        <v>0</v>
      </c>
      <c r="G73" s="217">
        <f t="shared" ref="G73:G132" si="23">IF(AND($A73&lt;&gt;"",$C73=""),1,0)</f>
        <v>0</v>
      </c>
      <c r="H73" s="217">
        <f>IF(AND($A73&lt;&gt;"",'Project Overview'!D70=""),1,0)</f>
        <v>0</v>
      </c>
      <c r="I73" s="217">
        <f>IF(AND($A73&lt;&gt;"",'Project Overview'!F70=""),1,0)</f>
        <v>1</v>
      </c>
      <c r="J73" s="217">
        <f>IF(AND($A73&lt;&gt;"",OR('Project Overview'!I70="ESCO",'Project Overview'!I70="EPC",'Project Overview'!I70="ESCO BUYOUT"),'Project Overview'!K70=""),1,0)</f>
        <v>0</v>
      </c>
      <c r="K73" s="217">
        <f>IF(AND($A73&lt;&gt;"",'Project Overview'!M70=""),1,0)</f>
        <v>1</v>
      </c>
      <c r="L73" s="217">
        <f>IF(AND($A73&lt;&gt;"",'Project Overview'!U70=""),1,0)</f>
        <v>0</v>
      </c>
      <c r="M73" s="217">
        <f>IF(OR($A73="",'Project Overview'!O70="",'Project Overview'!O70="?"),1,0)</f>
        <v>1</v>
      </c>
      <c r="N73" s="217">
        <f>IF(OR($A73="",'Project Overview'!P70="", 'Project Overview'!P70="?"),1,0)</f>
        <v>1</v>
      </c>
      <c r="O73" s="217">
        <f t="shared" si="21"/>
        <v>4</v>
      </c>
      <c r="P73" s="217" t="str">
        <f t="shared" si="20"/>
        <v>REVER</v>
      </c>
    </row>
    <row r="74" spans="1:16" ht="28.8" hidden="1" x14ac:dyDescent="0.3">
      <c r="A74" s="217" t="str">
        <f>""&amp;'Project Overview'!A71</f>
        <v>67</v>
      </c>
      <c r="B74" s="218" t="str">
        <f>'Project Overview'!B71</f>
        <v>ITECMO</v>
      </c>
      <c r="C74" s="218" t="str">
        <f>'Project Overview'!C71</f>
        <v>Itecmo - Indústria De Fabricação De Moldes Lda</v>
      </c>
      <c r="D74" s="221" t="str">
        <f>'Project Overview'!R71</f>
        <v>ACTIVE</v>
      </c>
      <c r="E74" s="221" t="str">
        <f ca="1">'Project Overview'!Y71</f>
        <v>yes</v>
      </c>
      <c r="F74" s="217">
        <f t="shared" ref="F74:F75" si="24">IF(OR($A74="",$B74=""),1,0)</f>
        <v>0</v>
      </c>
      <c r="G74" s="217">
        <f t="shared" ref="G74:G75" si="25">IF($C74="",1,0)</f>
        <v>0</v>
      </c>
      <c r="H74" s="217">
        <f>IF(AND($A74&lt;&gt;"",'Project Overview'!D71=""),1,0)</f>
        <v>0</v>
      </c>
      <c r="I74" s="217">
        <f>IF(AND($A74&lt;&gt;"",'Project Overview'!F71=""),1,0)</f>
        <v>0</v>
      </c>
      <c r="J74" s="217">
        <f>IF(AND($A74&lt;&gt;"",OR('Project Overview'!I71="ESCO",'Project Overview'!I71="EPC",'Project Overview'!I71="ESCO BUYOUT"),'Project Overview'!K71=""),1,0)</f>
        <v>0</v>
      </c>
      <c r="K74" s="217">
        <f>IF(AND($A74&lt;&gt;"",'Project Overview'!M71=""),1,0)</f>
        <v>0</v>
      </c>
      <c r="L74" s="217">
        <f>IF(AND($A74&lt;&gt;"",'Project Overview'!U71=""),1,0)</f>
        <v>0</v>
      </c>
      <c r="M74" s="217">
        <f>IF(OR($A74="",'Project Overview'!O71="",'Project Overview'!O71="?"),1,0)</f>
        <v>0</v>
      </c>
      <c r="N74" s="217">
        <f>IF(OR($A74="",'Project Overview'!P71="", 'Project Overview'!P71="?"),1,0)</f>
        <v>0</v>
      </c>
      <c r="O74" s="217">
        <f t="shared" si="21"/>
        <v>0</v>
      </c>
      <c r="P74" s="217" t="str">
        <f t="shared" si="20"/>
        <v>OK</v>
      </c>
    </row>
    <row r="75" spans="1:16" hidden="1" x14ac:dyDescent="0.3">
      <c r="A75" s="217" t="str">
        <f>""&amp;'Project Overview'!A72</f>
        <v>68</v>
      </c>
      <c r="B75" s="218" t="str">
        <f>'Project Overview'!B72</f>
        <v>Real Sport Clube</v>
      </c>
      <c r="C75" s="218" t="str">
        <f>'Project Overview'!C72</f>
        <v>Real Sport Clube</v>
      </c>
      <c r="D75" s="221" t="str">
        <f>'Project Overview'!R72</f>
        <v>ACTIVE</v>
      </c>
      <c r="E75" s="221" t="str">
        <f ca="1">'Project Overview'!Y72</f>
        <v>yes</v>
      </c>
      <c r="F75" s="217">
        <f t="shared" si="24"/>
        <v>0</v>
      </c>
      <c r="G75" s="217">
        <f t="shared" si="25"/>
        <v>0</v>
      </c>
      <c r="H75" s="217">
        <f>IF(AND($A75&lt;&gt;"",'Project Overview'!D72=""),1,0)</f>
        <v>0</v>
      </c>
      <c r="I75" s="217">
        <f>IF(AND($A75&lt;&gt;"",'Project Overview'!F72=""),1,0)</f>
        <v>0</v>
      </c>
      <c r="J75" s="217">
        <f>IF(AND($A75&lt;&gt;"",OR('Project Overview'!I72="ESCO",'Project Overview'!I72="EPC",'Project Overview'!I72="ESCO BUYOUT"),'Project Overview'!K72=""),1,0)</f>
        <v>0</v>
      </c>
      <c r="K75" s="217">
        <f>IF(AND($A75&lt;&gt;"",'Project Overview'!M72=""),1,0)</f>
        <v>0</v>
      </c>
      <c r="L75" s="217">
        <f>IF(AND($A75&lt;&gt;"",'Project Overview'!U72=""),1,0)</f>
        <v>0</v>
      </c>
      <c r="M75" s="217">
        <f>IF(OR($A75="",'Project Overview'!O72="",'Project Overview'!O72="?"),1,0)</f>
        <v>0</v>
      </c>
      <c r="N75" s="217">
        <f>IF(OR($A75="",'Project Overview'!P72="", 'Project Overview'!P72="?"),1,0)</f>
        <v>0</v>
      </c>
      <c r="O75" s="217">
        <f t="shared" si="21"/>
        <v>0</v>
      </c>
      <c r="P75" s="217" t="str">
        <f t="shared" si="20"/>
        <v>OK</v>
      </c>
    </row>
    <row r="76" spans="1:16" ht="43.2" hidden="1" x14ac:dyDescent="0.3">
      <c r="A76" s="217" t="str">
        <f>""&amp;'Project Overview'!A73</f>
        <v>69</v>
      </c>
      <c r="B76" s="218" t="str">
        <f>'Project Overview'!B73</f>
        <v>Agrovácuo</v>
      </c>
      <c r="C76" s="218" t="str">
        <f>'Project Overview'!C73</f>
        <v>Agrovácuo Preparação E Embalagem De Produtos Horticolas Lda</v>
      </c>
      <c r="D76" s="221" t="str">
        <f>'Project Overview'!R73</f>
        <v>ACTIVE</v>
      </c>
      <c r="E76" s="221" t="str">
        <f ca="1">'Project Overview'!Y73</f>
        <v>no</v>
      </c>
      <c r="F76" s="217">
        <f t="shared" si="22"/>
        <v>0</v>
      </c>
      <c r="G76" s="217">
        <f t="shared" si="23"/>
        <v>0</v>
      </c>
      <c r="H76" s="217">
        <f>IF(AND($A76&lt;&gt;"",'Project Overview'!D73=""),1,0)</f>
        <v>0</v>
      </c>
      <c r="I76" s="217">
        <f>IF(AND($A76&lt;&gt;"",'Project Overview'!F73=""),1,0)</f>
        <v>0</v>
      </c>
      <c r="J76" s="217">
        <f>IF(AND($A76&lt;&gt;"",OR('Project Overview'!I73="ESCO",'Project Overview'!I73="EPC",'Project Overview'!I73="ESCO BUYOUT"),'Project Overview'!K73=""),1,0)</f>
        <v>1</v>
      </c>
      <c r="K76" s="217">
        <f>IF(AND($A76&lt;&gt;"",'Project Overview'!M73=""),1,0)</f>
        <v>0</v>
      </c>
      <c r="L76" s="217">
        <f>IF(AND($A76&lt;&gt;"",'Project Overview'!U73=""),1,0)</f>
        <v>1</v>
      </c>
      <c r="M76" s="217">
        <f>IF(OR($A76="",'Project Overview'!O73="",'Project Overview'!O73="?"),1,0)</f>
        <v>0</v>
      </c>
      <c r="N76" s="217">
        <f>IF(OR($A76="",'Project Overview'!P73="", 'Project Overview'!P73="?"),1,0)</f>
        <v>0</v>
      </c>
      <c r="O76" s="217">
        <f t="shared" si="21"/>
        <v>2</v>
      </c>
      <c r="P76" s="217" t="str">
        <f t="shared" si="20"/>
        <v>REVER</v>
      </c>
    </row>
    <row r="77" spans="1:16" ht="28.8" hidden="1" x14ac:dyDescent="0.3">
      <c r="A77" s="217" t="str">
        <f>""&amp;'Project Overview'!A74</f>
        <v>70</v>
      </c>
      <c r="B77" s="218" t="str">
        <f>'Project Overview'!B74</f>
        <v xml:space="preserve">Maryasa </v>
      </c>
      <c r="C77" s="218" t="str">
        <f>'Project Overview'!C74</f>
        <v>Maryasa - Importação E Exportação, Unipessoal Lda</v>
      </c>
      <c r="D77" s="221" t="str">
        <f>'Project Overview'!R74</f>
        <v>ACTIVE</v>
      </c>
      <c r="E77" s="221" t="str">
        <f ca="1">'Project Overview'!Y74</f>
        <v>yes</v>
      </c>
      <c r="F77" s="217">
        <f>IF(OR($A77="",$B77=""),1,0)</f>
        <v>0</v>
      </c>
      <c r="G77" s="217">
        <f>IF($C77="",1,0)</f>
        <v>0</v>
      </c>
      <c r="H77" s="217">
        <f>IF(AND($A77&lt;&gt;"",'Project Overview'!D74=""),1,0)</f>
        <v>0</v>
      </c>
      <c r="I77" s="217">
        <f>IF(AND($A77&lt;&gt;"",'Project Overview'!F74=""),1,0)</f>
        <v>0</v>
      </c>
      <c r="J77" s="217">
        <f>IF(AND($A77&lt;&gt;"",OR('Project Overview'!I74="ESCO",'Project Overview'!I74="EPC",'Project Overview'!I74="ESCO BUYOUT"),'Project Overview'!K74=""),1,0)</f>
        <v>0</v>
      </c>
      <c r="K77" s="217">
        <f>IF(AND($A77&lt;&gt;"",'Project Overview'!M74=""),1,0)</f>
        <v>0</v>
      </c>
      <c r="L77" s="217">
        <f>IF(AND($A77&lt;&gt;"",'Project Overview'!U74=""),1,0)</f>
        <v>0</v>
      </c>
      <c r="M77" s="217">
        <f>IF(OR($A77="",'Project Overview'!O74="",'Project Overview'!O74="?"),1,0)</f>
        <v>0</v>
      </c>
      <c r="N77" s="217">
        <f>IF(OR($A77="",'Project Overview'!P74="", 'Project Overview'!P74="?"),1,0)</f>
        <v>0</v>
      </c>
      <c r="O77" s="217">
        <f t="shared" si="21"/>
        <v>0</v>
      </c>
      <c r="P77" s="217" t="str">
        <f t="shared" si="20"/>
        <v>OK</v>
      </c>
    </row>
    <row r="78" spans="1:16" ht="28.8" hidden="1" x14ac:dyDescent="0.3">
      <c r="A78" s="217" t="str">
        <f>""&amp;'Project Overview'!A75</f>
        <v>71</v>
      </c>
      <c r="B78" s="218" t="str">
        <f>'Project Overview'!B75</f>
        <v>Diaco Agriloja Expanção</v>
      </c>
      <c r="C78" s="218" t="str">
        <f>'Project Overview'!C75</f>
        <v>Diamantino Coelho &amp; Filho S.A.</v>
      </c>
      <c r="D78" s="221" t="str">
        <f>'Project Overview'!R75</f>
        <v>ACTIVE</v>
      </c>
      <c r="E78" s="221" t="str">
        <f ca="1">'Project Overview'!Y75</f>
        <v>no</v>
      </c>
      <c r="F78" s="217">
        <f t="shared" si="22"/>
        <v>0</v>
      </c>
      <c r="G78" s="217">
        <f t="shared" si="23"/>
        <v>0</v>
      </c>
      <c r="H78" s="217">
        <f>IF(AND($A78&lt;&gt;"",'Project Overview'!D75=""),1,0)</f>
        <v>0</v>
      </c>
      <c r="I78" s="217">
        <f>IF(AND($A78&lt;&gt;"",'Project Overview'!F75=""),1,0)</f>
        <v>0</v>
      </c>
      <c r="J78" s="217">
        <f>IF(AND($A78&lt;&gt;"",OR('Project Overview'!I75="ESCO",'Project Overview'!I75="EPC",'Project Overview'!I75="ESCO BUYOUT"),'Project Overview'!K75=""),1,0)</f>
        <v>0</v>
      </c>
      <c r="K78" s="217">
        <f>IF(AND($A78&lt;&gt;"",'Project Overview'!M75=""),1,0)</f>
        <v>0</v>
      </c>
      <c r="L78" s="217">
        <f>IF(AND($A78&lt;&gt;"",'Project Overview'!U75=""),1,0)</f>
        <v>1</v>
      </c>
      <c r="M78" s="217">
        <f>IF(OR($A78="",'Project Overview'!O75="",'Project Overview'!O75="?"),1,0)</f>
        <v>0</v>
      </c>
      <c r="N78" s="217">
        <f>IF(OR($A78="",'Project Overview'!P75="", 'Project Overview'!P75="?"),1,0)</f>
        <v>0</v>
      </c>
      <c r="O78" s="217">
        <f t="shared" si="21"/>
        <v>1</v>
      </c>
      <c r="P78" s="217" t="str">
        <f t="shared" si="20"/>
        <v>REVER</v>
      </c>
    </row>
    <row r="79" spans="1:16" ht="28.8" hidden="1" x14ac:dyDescent="0.3">
      <c r="A79" s="217" t="str">
        <f>""&amp;'Project Overview'!A76</f>
        <v>71</v>
      </c>
      <c r="B79" s="218" t="str">
        <f>'Project Overview'!B76</f>
        <v>Diaco Expansão</v>
      </c>
      <c r="C79" s="218" t="str">
        <f>'Project Overview'!C76</f>
        <v>Diamantino Coelho &amp; Filho S.A.</v>
      </c>
      <c r="D79" s="221" t="str">
        <f>'Project Overview'!R76</f>
        <v>ACTIVE</v>
      </c>
      <c r="E79" s="221" t="str">
        <f ca="1">'Project Overview'!Y76</f>
        <v>no</v>
      </c>
      <c r="F79" s="217">
        <f t="shared" si="22"/>
        <v>0</v>
      </c>
      <c r="G79" s="217">
        <f t="shared" si="23"/>
        <v>0</v>
      </c>
      <c r="H79" s="217">
        <f>IF(AND($A79&lt;&gt;"",'Project Overview'!D76=""),1,0)</f>
        <v>0</v>
      </c>
      <c r="I79" s="217">
        <f>IF(AND($A79&lt;&gt;"",'Project Overview'!F76=""),1,0)</f>
        <v>0</v>
      </c>
      <c r="J79" s="217">
        <f>IF(AND($A79&lt;&gt;"",OR('Project Overview'!I76="ESCO",'Project Overview'!I76="EPC",'Project Overview'!I76="ESCO BUYOUT"),'Project Overview'!K76=""),1,0)</f>
        <v>0</v>
      </c>
      <c r="K79" s="217">
        <f>IF(AND($A79&lt;&gt;"",'Project Overview'!M76=""),1,0)</f>
        <v>0</v>
      </c>
      <c r="L79" s="217">
        <f>IF(AND($A79&lt;&gt;"",'Project Overview'!U76=""),1,0)</f>
        <v>1</v>
      </c>
      <c r="M79" s="217">
        <f>IF(OR($A79="",'Project Overview'!O76="",'Project Overview'!O76="?"),1,0)</f>
        <v>0</v>
      </c>
      <c r="N79" s="217">
        <f>IF(OR($A79="",'Project Overview'!P76="", 'Project Overview'!P76="?"),1,0)</f>
        <v>0</v>
      </c>
      <c r="O79" s="217">
        <f t="shared" si="21"/>
        <v>1</v>
      </c>
      <c r="P79" s="217" t="str">
        <f t="shared" si="20"/>
        <v>REVER</v>
      </c>
    </row>
    <row r="80" spans="1:16" ht="28.8" hidden="1" x14ac:dyDescent="0.3">
      <c r="A80" s="217" t="str">
        <f>""&amp;'Project Overview'!A77</f>
        <v>71</v>
      </c>
      <c r="B80" s="218" t="str">
        <f>'Project Overview'!B77</f>
        <v>Diaco Fabrica 2</v>
      </c>
      <c r="C80" s="218" t="str">
        <f>'Project Overview'!C77</f>
        <v>Diamantino Coelho &amp; Filho S.A.</v>
      </c>
      <c r="D80" s="221" t="str">
        <f>'Project Overview'!R77</f>
        <v>ACTIVE</v>
      </c>
      <c r="E80" s="221" t="str">
        <f ca="1">'Project Overview'!Y77</f>
        <v>no</v>
      </c>
      <c r="F80" s="217">
        <f t="shared" si="22"/>
        <v>0</v>
      </c>
      <c r="G80" s="217">
        <f t="shared" si="23"/>
        <v>0</v>
      </c>
      <c r="H80" s="217">
        <f>IF(AND($A80&lt;&gt;"",'Project Overview'!D77=""),1,0)</f>
        <v>0</v>
      </c>
      <c r="I80" s="217">
        <f>IF(AND($A80&lt;&gt;"",'Project Overview'!F77=""),1,0)</f>
        <v>0</v>
      </c>
      <c r="J80" s="217">
        <f>IF(AND($A80&lt;&gt;"",OR('Project Overview'!I77="ESCO",'Project Overview'!I77="EPC",'Project Overview'!I77="ESCO BUYOUT"),'Project Overview'!K77=""),1,0)</f>
        <v>0</v>
      </c>
      <c r="K80" s="217">
        <f>IF(AND($A80&lt;&gt;"",'Project Overview'!M77=""),1,0)</f>
        <v>0</v>
      </c>
      <c r="L80" s="217">
        <f>IF(AND($A80&lt;&gt;"",'Project Overview'!U77=""),1,0)</f>
        <v>1</v>
      </c>
      <c r="M80" s="217">
        <f>IF(OR($A80="",'Project Overview'!O77="",'Project Overview'!O77="?"),1,0)</f>
        <v>0</v>
      </c>
      <c r="N80" s="217">
        <f>IF(OR($A80="",'Project Overview'!P77="", 'Project Overview'!P77="?"),1,0)</f>
        <v>0</v>
      </c>
      <c r="O80" s="217">
        <f t="shared" si="21"/>
        <v>1</v>
      </c>
      <c r="P80" s="217" t="str">
        <f t="shared" si="20"/>
        <v>REVER</v>
      </c>
    </row>
    <row r="81" spans="1:16" ht="57.6" hidden="1" x14ac:dyDescent="0.3">
      <c r="A81" s="217" t="str">
        <f>""&amp;'Project Overview'!A78</f>
        <v>72</v>
      </c>
      <c r="B81" s="218" t="str">
        <f>'Project Overview'!B78</f>
        <v>Casa da Divina Providência e Maria Auxiliadora</v>
      </c>
      <c r="C81" s="218" t="str">
        <f>'Project Overview'!C78</f>
        <v>Casa Da Divina Providencia E De Maria Auxiliadora(Centro Paroquial De Safara)</v>
      </c>
      <c r="D81" s="221" t="str">
        <f>'Project Overview'!R78</f>
        <v>ACTIVE</v>
      </c>
      <c r="E81" s="221" t="str">
        <f ca="1">'Project Overview'!Y78</f>
        <v>yes</v>
      </c>
      <c r="F81" s="217">
        <f t="shared" ref="F81:F83" si="26">IF(OR($A81="",$B81=""),1,0)</f>
        <v>0</v>
      </c>
      <c r="G81" s="217">
        <f t="shared" ref="G81:G83" si="27">IF($C81="",1,0)</f>
        <v>0</v>
      </c>
      <c r="H81" s="217">
        <f>IF(AND($A81&lt;&gt;"",'Project Overview'!D78=""),1,0)</f>
        <v>0</v>
      </c>
      <c r="I81" s="217">
        <f>IF(AND($A81&lt;&gt;"",'Project Overview'!F78=""),1,0)</f>
        <v>0</v>
      </c>
      <c r="J81" s="217">
        <f>IF(AND($A81&lt;&gt;"",OR('Project Overview'!I78="ESCO",'Project Overview'!I78="EPC",'Project Overview'!I78="ESCO BUYOUT"),'Project Overview'!K78=""),1,0)</f>
        <v>0</v>
      </c>
      <c r="K81" s="217">
        <f>IF(AND($A81&lt;&gt;"",'Project Overview'!M78=""),1,0)</f>
        <v>0</v>
      </c>
      <c r="L81" s="217">
        <f>IF(AND($A81&lt;&gt;"",'Project Overview'!U78=""),1,0)</f>
        <v>0</v>
      </c>
      <c r="M81" s="217">
        <f>IF(OR($A81="",'Project Overview'!O78="",'Project Overview'!O78="?"),1,0)</f>
        <v>0</v>
      </c>
      <c r="N81" s="217">
        <f>IF(OR($A81="",'Project Overview'!P78="", 'Project Overview'!P78="?"),1,0)</f>
        <v>0</v>
      </c>
      <c r="O81" s="217">
        <f t="shared" si="21"/>
        <v>0</v>
      </c>
      <c r="P81" s="217" t="str">
        <f t="shared" si="20"/>
        <v>OK</v>
      </c>
    </row>
    <row r="82" spans="1:16" ht="43.2" hidden="1" x14ac:dyDescent="0.3">
      <c r="A82" s="217" t="str">
        <f>""&amp;'Project Overview'!A79</f>
        <v>73</v>
      </c>
      <c r="B82" s="218" t="str">
        <f>'Project Overview'!B79</f>
        <v>S.C.M. Alpedrinha</v>
      </c>
      <c r="C82" s="218" t="str">
        <f>'Project Overview'!C79</f>
        <v>Santa Casa Da Misericordia De Alpedrinha</v>
      </c>
      <c r="D82" s="221" t="str">
        <f>'Project Overview'!R79</f>
        <v>ACTIVE</v>
      </c>
      <c r="E82" s="221" t="str">
        <f ca="1">'Project Overview'!Y79</f>
        <v>yes</v>
      </c>
      <c r="F82" s="217">
        <f t="shared" si="26"/>
        <v>0</v>
      </c>
      <c r="G82" s="217">
        <f t="shared" si="27"/>
        <v>0</v>
      </c>
      <c r="H82" s="217">
        <f>IF(AND($A82&lt;&gt;"",'Project Overview'!D79=""),1,0)</f>
        <v>0</v>
      </c>
      <c r="I82" s="217">
        <f>IF(AND($A82&lt;&gt;"",'Project Overview'!F79=""),1,0)</f>
        <v>0</v>
      </c>
      <c r="J82" s="217">
        <f>IF(AND($A82&lt;&gt;"",OR('Project Overview'!I79="ESCO",'Project Overview'!I79="EPC",'Project Overview'!I79="ESCO BUYOUT"),'Project Overview'!K79=""),1,0)</f>
        <v>0</v>
      </c>
      <c r="K82" s="217">
        <f>IF(AND($A82&lt;&gt;"",'Project Overview'!M79=""),1,0)</f>
        <v>0</v>
      </c>
      <c r="L82" s="217">
        <f>IF(AND($A82&lt;&gt;"",'Project Overview'!U79=""),1,0)</f>
        <v>0</v>
      </c>
      <c r="M82" s="217">
        <f>IF(OR($A82="",'Project Overview'!O79="",'Project Overview'!O79="?"),1,0)</f>
        <v>0</v>
      </c>
      <c r="N82" s="217">
        <f>IF(OR($A82="",'Project Overview'!P79="", 'Project Overview'!P79="?"),1,0)</f>
        <v>0</v>
      </c>
      <c r="O82" s="217">
        <f t="shared" si="21"/>
        <v>0</v>
      </c>
      <c r="P82" s="217" t="str">
        <f t="shared" si="20"/>
        <v>OK</v>
      </c>
    </row>
    <row r="83" spans="1:16" ht="43.2" hidden="1" x14ac:dyDescent="0.3">
      <c r="A83" s="217" t="str">
        <f>""&amp;'Project Overview'!A80</f>
        <v>74</v>
      </c>
      <c r="B83" s="218" t="str">
        <f>'Project Overview'!B80</f>
        <v>ASCRECC - Lar da Cumieira</v>
      </c>
      <c r="C83" s="218" t="str">
        <f>'Project Overview'!C80</f>
        <v>Associação Sócio-Cultural Recreativa Educativa Da Cumieira E Circunvizinhas</v>
      </c>
      <c r="D83" s="221" t="str">
        <f>'Project Overview'!R80</f>
        <v>ACTIVE</v>
      </c>
      <c r="E83" s="221" t="str">
        <f ca="1">'Project Overview'!Y80</f>
        <v>no</v>
      </c>
      <c r="F83" s="217">
        <f t="shared" si="26"/>
        <v>0</v>
      </c>
      <c r="G83" s="217">
        <f t="shared" si="27"/>
        <v>0</v>
      </c>
      <c r="H83" s="217">
        <f>IF(AND($A83&lt;&gt;"",'Project Overview'!D80=""),1,0)</f>
        <v>0</v>
      </c>
      <c r="I83" s="217">
        <f>IF(AND($A83&lt;&gt;"",'Project Overview'!F80=""),1,0)</f>
        <v>0</v>
      </c>
      <c r="J83" s="217">
        <f>IF(AND($A83&lt;&gt;"",OR('Project Overview'!I80="ESCO",'Project Overview'!I80="EPC",'Project Overview'!I80="ESCO BUYOUT"),'Project Overview'!K80=""),1,0)</f>
        <v>0</v>
      </c>
      <c r="K83" s="217">
        <f>IF(AND($A83&lt;&gt;"",'Project Overview'!M80=""),1,0)</f>
        <v>0</v>
      </c>
      <c r="L83" s="217">
        <f>IF(AND($A83&lt;&gt;"",'Project Overview'!U80=""),1,0)</f>
        <v>0</v>
      </c>
      <c r="M83" s="217">
        <f>IF(OR($A83="",'Project Overview'!O80="",'Project Overview'!O80="?"),1,0)</f>
        <v>0</v>
      </c>
      <c r="N83" s="217">
        <f>IF(OR($A83="",'Project Overview'!P80="", 'Project Overview'!P80="?"),1,0)</f>
        <v>0</v>
      </c>
      <c r="O83" s="217">
        <f t="shared" si="21"/>
        <v>0</v>
      </c>
      <c r="P83" s="217" t="str">
        <f t="shared" si="20"/>
        <v>OK</v>
      </c>
    </row>
    <row r="84" spans="1:16" ht="28.8" hidden="1" x14ac:dyDescent="0.3">
      <c r="A84" s="217" t="str">
        <f>""&amp;'Project Overview'!A81</f>
        <v>75</v>
      </c>
      <c r="B84" s="218" t="str">
        <f>'Project Overview'!B81</f>
        <v>Colégio São José de Bairros (EPC)</v>
      </c>
      <c r="C84" s="218" t="str">
        <f>'Project Overview'!C81</f>
        <v>Ângulos E Argumentos Lda</v>
      </c>
      <c r="D84" s="221" t="str">
        <f>'Project Overview'!R81</f>
        <v>ACTIVE</v>
      </c>
      <c r="E84" s="221" t="str">
        <f ca="1">'Project Overview'!Y81</f>
        <v>no</v>
      </c>
      <c r="F84" s="217">
        <f t="shared" si="22"/>
        <v>0</v>
      </c>
      <c r="G84" s="217">
        <f t="shared" si="23"/>
        <v>0</v>
      </c>
      <c r="H84" s="217">
        <f>IF(AND($A84&lt;&gt;"",'Project Overview'!D81=""),1,0)</f>
        <v>0</v>
      </c>
      <c r="I84" s="217">
        <f>IF(AND($A84&lt;&gt;"",'Project Overview'!F81=""),1,0)</f>
        <v>0</v>
      </c>
      <c r="J84" s="217">
        <f>IF(AND($A84&lt;&gt;"",OR('Project Overview'!I81="ESCO",'Project Overview'!I81="EPC",'Project Overview'!I81="ESCO BUYOUT"),'Project Overview'!K81=""),1,0)</f>
        <v>0</v>
      </c>
      <c r="K84" s="217">
        <f>IF(AND($A84&lt;&gt;"",'Project Overview'!M81=""),1,0)</f>
        <v>0</v>
      </c>
      <c r="L84" s="217">
        <f>IF(AND($A84&lt;&gt;"",'Project Overview'!U81=""),1,0)</f>
        <v>1</v>
      </c>
      <c r="M84" s="217">
        <f>IF(OR($A84="",'Project Overview'!O81="",'Project Overview'!O81="?"),1,0)</f>
        <v>0</v>
      </c>
      <c r="N84" s="217">
        <f>IF(OR($A84="",'Project Overview'!P81="", 'Project Overview'!P81="?"),1,0)</f>
        <v>0</v>
      </c>
      <c r="O84" s="217">
        <f t="shared" si="21"/>
        <v>1</v>
      </c>
      <c r="P84" s="217" t="str">
        <f t="shared" si="20"/>
        <v>REVER</v>
      </c>
    </row>
    <row r="85" spans="1:16" ht="43.2" hidden="1" x14ac:dyDescent="0.3">
      <c r="A85" s="217" t="str">
        <f>""&amp;'Project Overview'!A82</f>
        <v>76</v>
      </c>
      <c r="B85" s="218" t="str">
        <f>'Project Overview'!B82</f>
        <v>SCM Entroncamento - Hospital S. Joao Batista (EPC)</v>
      </c>
      <c r="C85" s="218" t="str">
        <f>'Project Overview'!C82</f>
        <v>Santa Casa Da Misericordia Do Entroncamento</v>
      </c>
      <c r="D85" s="221" t="str">
        <f>'Project Overview'!R82</f>
        <v>ACTIVE</v>
      </c>
      <c r="E85" s="221" t="str">
        <f ca="1">'Project Overview'!Y82</f>
        <v>no</v>
      </c>
      <c r="F85" s="217">
        <f t="shared" si="22"/>
        <v>0</v>
      </c>
      <c r="G85" s="217">
        <f t="shared" si="23"/>
        <v>0</v>
      </c>
      <c r="H85" s="217">
        <f>IF(AND($A85&lt;&gt;"",'Project Overview'!D82=""),1,0)</f>
        <v>0</v>
      </c>
      <c r="I85" s="217">
        <f>IF(AND($A85&lt;&gt;"",'Project Overview'!F82=""),1,0)</f>
        <v>0</v>
      </c>
      <c r="J85" s="217">
        <f>IF(AND($A85&lt;&gt;"",OR('Project Overview'!I82="ESCO",'Project Overview'!I82="EPC",'Project Overview'!I82="ESCO BUYOUT"),'Project Overview'!K82=""),1,0)</f>
        <v>0</v>
      </c>
      <c r="K85" s="217">
        <f>IF(AND($A85&lt;&gt;"",'Project Overview'!M82=""),1,0)</f>
        <v>0</v>
      </c>
      <c r="L85" s="217">
        <f>IF(AND($A85&lt;&gt;"",'Project Overview'!U82=""),1,0)</f>
        <v>1</v>
      </c>
      <c r="M85" s="217">
        <f>IF(OR($A85="",'Project Overview'!O82="",'Project Overview'!O82="?"),1,0)</f>
        <v>0</v>
      </c>
      <c r="N85" s="217">
        <f>IF(OR($A85="",'Project Overview'!P82="", 'Project Overview'!P82="?"),1,0)</f>
        <v>0</v>
      </c>
      <c r="O85" s="217">
        <f t="shared" si="21"/>
        <v>1</v>
      </c>
      <c r="P85" s="217" t="str">
        <f t="shared" si="20"/>
        <v>REVER</v>
      </c>
    </row>
    <row r="86" spans="1:16" ht="28.8" hidden="1" x14ac:dyDescent="0.3">
      <c r="A86" s="217" t="str">
        <f>""&amp;'Project Overview'!A83</f>
        <v>77</v>
      </c>
      <c r="B86" s="218" t="str">
        <f>'Project Overview'!B83</f>
        <v>SCM Entroncamento - Lar (EPC)</v>
      </c>
      <c r="C86" s="218" t="str">
        <f>'Project Overview'!C83</f>
        <v>Santa Casa Da Misericordia Do Entroncamento</v>
      </c>
      <c r="D86" s="221" t="str">
        <f>'Project Overview'!R83</f>
        <v>ACTIVE</v>
      </c>
      <c r="E86" s="221" t="str">
        <f ca="1">'Project Overview'!Y83</f>
        <v>no</v>
      </c>
      <c r="F86" s="217">
        <f t="shared" si="22"/>
        <v>0</v>
      </c>
      <c r="G86" s="217">
        <f t="shared" si="23"/>
        <v>0</v>
      </c>
      <c r="H86" s="217">
        <f>IF(AND($A86&lt;&gt;"",'Project Overview'!D83=""),1,0)</f>
        <v>0</v>
      </c>
      <c r="I86" s="217">
        <f>IF(AND($A86&lt;&gt;"",'Project Overview'!F83=""),1,0)</f>
        <v>0</v>
      </c>
      <c r="J86" s="217">
        <f>IF(AND($A86&lt;&gt;"",OR('Project Overview'!I83="ESCO",'Project Overview'!I83="EPC",'Project Overview'!I83="ESCO BUYOUT"),'Project Overview'!K83=""),1,0)</f>
        <v>0</v>
      </c>
      <c r="K86" s="217">
        <f>IF(AND($A86&lt;&gt;"",'Project Overview'!M83=""),1,0)</f>
        <v>0</v>
      </c>
      <c r="L86" s="217">
        <f>IF(AND($A86&lt;&gt;"",'Project Overview'!U83=""),1,0)</f>
        <v>1</v>
      </c>
      <c r="M86" s="217">
        <f>IF(OR($A86="",'Project Overview'!O83="",'Project Overview'!O83="?"),1,0)</f>
        <v>0</v>
      </c>
      <c r="N86" s="217">
        <f>IF(OR($A86="",'Project Overview'!P83="", 'Project Overview'!P83="?"),1,0)</f>
        <v>0</v>
      </c>
      <c r="O86" s="217">
        <f t="shared" si="21"/>
        <v>1</v>
      </c>
      <c r="P86" s="217" t="str">
        <f t="shared" si="20"/>
        <v>REVER</v>
      </c>
    </row>
    <row r="87" spans="1:16" ht="28.8" hidden="1" x14ac:dyDescent="0.3">
      <c r="A87" s="217" t="str">
        <f>""&amp;'Project Overview'!A84</f>
        <v>78</v>
      </c>
      <c r="B87" s="218" t="str">
        <f>'Project Overview'!B84</f>
        <v>SCM Entroncamento UCCI</v>
      </c>
      <c r="C87" s="218" t="str">
        <f>'Project Overview'!C84</f>
        <v>Santa Casa Da Misericordia Do Entroncamento</v>
      </c>
      <c r="D87" s="221" t="str">
        <f>'Project Overview'!R84</f>
        <v>ACTIVE</v>
      </c>
      <c r="E87" s="221" t="str">
        <f ca="1">'Project Overview'!Y84</f>
        <v>no</v>
      </c>
      <c r="F87" s="217">
        <f t="shared" si="22"/>
        <v>0</v>
      </c>
      <c r="G87" s="217">
        <f t="shared" si="23"/>
        <v>0</v>
      </c>
      <c r="H87" s="217">
        <f>IF(AND($A87&lt;&gt;"",'Project Overview'!D84=""),1,0)</f>
        <v>0</v>
      </c>
      <c r="I87" s="217">
        <f>IF(AND($A87&lt;&gt;"",'Project Overview'!F84=""),1,0)</f>
        <v>0</v>
      </c>
      <c r="J87" s="217">
        <f>IF(AND($A87&lt;&gt;"",OR('Project Overview'!I84="ESCO",'Project Overview'!I84="EPC",'Project Overview'!I84="ESCO BUYOUT"),'Project Overview'!K84=""),1,0)</f>
        <v>0</v>
      </c>
      <c r="K87" s="217">
        <f>IF(AND($A87&lt;&gt;"",'Project Overview'!M84=""),1,0)</f>
        <v>0</v>
      </c>
      <c r="L87" s="217">
        <f>IF(AND($A87&lt;&gt;"",'Project Overview'!U84=""),1,0)</f>
        <v>1</v>
      </c>
      <c r="M87" s="217">
        <f>IF(OR($A87="",'Project Overview'!O84="",'Project Overview'!O84="?"),1,0)</f>
        <v>0</v>
      </c>
      <c r="N87" s="217">
        <f>IF(OR($A87="",'Project Overview'!P84="", 'Project Overview'!P84="?"),1,0)</f>
        <v>0</v>
      </c>
      <c r="O87" s="217">
        <f t="shared" si="21"/>
        <v>1</v>
      </c>
      <c r="P87" s="217" t="str">
        <f t="shared" si="20"/>
        <v>REVER</v>
      </c>
    </row>
    <row r="88" spans="1:16" ht="43.2" hidden="1" x14ac:dyDescent="0.3">
      <c r="A88" s="217" t="str">
        <f>""&amp;'Project Overview'!A85</f>
        <v>79</v>
      </c>
      <c r="B88" s="218" t="str">
        <f>'Project Overview'!B85</f>
        <v>ARIPSI</v>
      </c>
      <c r="C88" s="218" t="str">
        <f>'Project Overview'!C85</f>
        <v>Aripsi-Associação De Reformados E Idosos Da Póvoa De Santa Iria</v>
      </c>
      <c r="D88" s="221" t="str">
        <f>'Project Overview'!R85</f>
        <v>ACTIVE</v>
      </c>
      <c r="E88" s="221" t="str">
        <f ca="1">'Project Overview'!Y85</f>
        <v>yes</v>
      </c>
      <c r="F88" s="217">
        <f t="shared" ref="F88:F92" si="28">IF(OR($A88="",$B88=""),1,0)</f>
        <v>0</v>
      </c>
      <c r="G88" s="217">
        <f t="shared" ref="G88:G92" si="29">IF($C88="",1,0)</f>
        <v>0</v>
      </c>
      <c r="H88" s="217">
        <f>IF(AND($A88&lt;&gt;"",'Project Overview'!D85=""),1,0)</f>
        <v>0</v>
      </c>
      <c r="I88" s="217">
        <f>IF(AND($A88&lt;&gt;"",'Project Overview'!F85=""),1,0)</f>
        <v>0</v>
      </c>
      <c r="J88" s="217">
        <f>IF(AND($A88&lt;&gt;"",OR('Project Overview'!I85="ESCO",'Project Overview'!I85="EPC",'Project Overview'!I85="ESCO BUYOUT"),'Project Overview'!K85=""),1,0)</f>
        <v>0</v>
      </c>
      <c r="K88" s="217">
        <f>IF(AND($A88&lt;&gt;"",'Project Overview'!M85=""),1,0)</f>
        <v>0</v>
      </c>
      <c r="L88" s="217">
        <f>IF(AND($A88&lt;&gt;"",'Project Overview'!U85=""),1,0)</f>
        <v>0</v>
      </c>
      <c r="M88" s="217">
        <f>IF(OR($A88="",'Project Overview'!O85="",'Project Overview'!O85="?"),1,0)</f>
        <v>0</v>
      </c>
      <c r="N88" s="217">
        <f>IF(OR($A88="",'Project Overview'!P85="", 'Project Overview'!P85="?"),1,0)</f>
        <v>0</v>
      </c>
      <c r="O88" s="217">
        <f t="shared" si="21"/>
        <v>0</v>
      </c>
      <c r="P88" s="217" t="str">
        <f t="shared" si="20"/>
        <v>OK</v>
      </c>
    </row>
    <row r="89" spans="1:16" ht="43.2" hidden="1" x14ac:dyDescent="0.3">
      <c r="A89" s="217" t="str">
        <f>""&amp;'Project Overview'!A86</f>
        <v>80</v>
      </c>
      <c r="B89" s="218" t="str">
        <f>'Project Overview'!B86</f>
        <v>Centro de dia de Alferrarede - Jardim de Infância</v>
      </c>
      <c r="C89" s="218" t="str">
        <f>'Project Overview'!C86</f>
        <v>Centro Social De Alferrarede</v>
      </c>
      <c r="D89" s="221" t="str">
        <f>'Project Overview'!R86</f>
        <v>ACTIVE</v>
      </c>
      <c r="E89" s="221" t="str">
        <f ca="1">'Project Overview'!Y86</f>
        <v>yes</v>
      </c>
      <c r="F89" s="217">
        <f t="shared" si="28"/>
        <v>0</v>
      </c>
      <c r="G89" s="217">
        <f t="shared" si="29"/>
        <v>0</v>
      </c>
      <c r="H89" s="217">
        <f>IF(AND($A89&lt;&gt;"",'Project Overview'!D86=""),1,0)</f>
        <v>0</v>
      </c>
      <c r="I89" s="217">
        <f>IF(AND($A89&lt;&gt;"",'Project Overview'!F86=""),1,0)</f>
        <v>0</v>
      </c>
      <c r="J89" s="217">
        <f>IF(AND($A89&lt;&gt;"",OR('Project Overview'!I86="ESCO",'Project Overview'!I86="EPC",'Project Overview'!I86="ESCO BUYOUT"),'Project Overview'!K86=""),1,0)</f>
        <v>0</v>
      </c>
      <c r="K89" s="217">
        <f>IF(AND($A89&lt;&gt;"",'Project Overview'!M86=""),1,0)</f>
        <v>0</v>
      </c>
      <c r="L89" s="217">
        <f>IF(AND($A89&lt;&gt;"",'Project Overview'!U86=""),1,0)</f>
        <v>0</v>
      </c>
      <c r="M89" s="217">
        <f>IF(OR($A89="",'Project Overview'!O86="",'Project Overview'!O86="?"),1,0)</f>
        <v>0</v>
      </c>
      <c r="N89" s="217">
        <f>IF(OR($A89="",'Project Overview'!P86="", 'Project Overview'!P86="?"),1,0)</f>
        <v>0</v>
      </c>
      <c r="O89" s="217">
        <f t="shared" si="21"/>
        <v>0</v>
      </c>
      <c r="P89" s="217" t="str">
        <f t="shared" si="20"/>
        <v>OK</v>
      </c>
    </row>
    <row r="90" spans="1:16" ht="28.8" hidden="1" x14ac:dyDescent="0.3">
      <c r="A90" s="217" t="str">
        <f>""&amp;'Project Overview'!A87</f>
        <v>81</v>
      </c>
      <c r="B90" s="218" t="str">
        <f>'Project Overview'!B87</f>
        <v>Centro de dia de Alferrarede - Lar</v>
      </c>
      <c r="C90" s="218" t="str">
        <f>'Project Overview'!C87</f>
        <v>Centro Social De Alferrarede</v>
      </c>
      <c r="D90" s="221" t="str">
        <f>'Project Overview'!R87</f>
        <v>ACTIVE</v>
      </c>
      <c r="E90" s="221" t="str">
        <f ca="1">'Project Overview'!Y87</f>
        <v>yes</v>
      </c>
      <c r="F90" s="217">
        <f t="shared" si="28"/>
        <v>0</v>
      </c>
      <c r="G90" s="217">
        <f t="shared" si="29"/>
        <v>0</v>
      </c>
      <c r="H90" s="217">
        <f>IF(AND($A90&lt;&gt;"",'Project Overview'!D87=""),1,0)</f>
        <v>0</v>
      </c>
      <c r="I90" s="217">
        <f>IF(AND($A90&lt;&gt;"",'Project Overview'!F87=""),1,0)</f>
        <v>0</v>
      </c>
      <c r="J90" s="217">
        <f>IF(AND($A90&lt;&gt;"",OR('Project Overview'!I87="ESCO",'Project Overview'!I87="EPC",'Project Overview'!I87="ESCO BUYOUT"),'Project Overview'!K87=""),1,0)</f>
        <v>0</v>
      </c>
      <c r="K90" s="217">
        <f>IF(AND($A90&lt;&gt;"",'Project Overview'!M87=""),1,0)</f>
        <v>0</v>
      </c>
      <c r="L90" s="217">
        <f>IF(AND($A90&lt;&gt;"",'Project Overview'!U87=""),1,0)</f>
        <v>0</v>
      </c>
      <c r="M90" s="217">
        <f>IF(OR($A90="",'Project Overview'!O87="",'Project Overview'!O87="?"),1,0)</f>
        <v>0</v>
      </c>
      <c r="N90" s="217">
        <f>IF(OR($A90="",'Project Overview'!P87="", 'Project Overview'!P87="?"),1,0)</f>
        <v>0</v>
      </c>
      <c r="O90" s="217">
        <f t="shared" si="21"/>
        <v>0</v>
      </c>
      <c r="P90" s="217" t="str">
        <f t="shared" si="20"/>
        <v>OK</v>
      </c>
    </row>
    <row r="91" spans="1:16" ht="43.2" hidden="1" x14ac:dyDescent="0.3">
      <c r="A91" s="217" t="str">
        <f>""&amp;'Project Overview'!A88</f>
        <v>82</v>
      </c>
      <c r="B91" s="218" t="str">
        <f>'Project Overview'!B88</f>
        <v>Bombeiros Rio Maior</v>
      </c>
      <c r="C91" s="218" t="str">
        <f>'Project Overview'!C88</f>
        <v>Associação Humanitária De Bombeiros Voluntários De Rio Maior</v>
      </c>
      <c r="D91" s="221" t="str">
        <f>'Project Overview'!R88</f>
        <v>ACTIVE</v>
      </c>
      <c r="E91" s="221" t="str">
        <f ca="1">'Project Overview'!Y88</f>
        <v>yes</v>
      </c>
      <c r="F91" s="217">
        <f t="shared" si="28"/>
        <v>0</v>
      </c>
      <c r="G91" s="217">
        <f t="shared" si="29"/>
        <v>0</v>
      </c>
      <c r="H91" s="217">
        <f>IF(AND($A91&lt;&gt;"",'Project Overview'!D88=""),1,0)</f>
        <v>0</v>
      </c>
      <c r="I91" s="217">
        <f>IF(AND($A91&lt;&gt;"",'Project Overview'!F88=""),1,0)</f>
        <v>0</v>
      </c>
      <c r="J91" s="217">
        <f>IF(AND($A91&lt;&gt;"",OR('Project Overview'!I88="ESCO",'Project Overview'!I88="EPC",'Project Overview'!I88="ESCO BUYOUT"),'Project Overview'!K88=""),1,0)</f>
        <v>0</v>
      </c>
      <c r="K91" s="217">
        <f>IF(AND($A91&lt;&gt;"",'Project Overview'!M88=""),1,0)</f>
        <v>0</v>
      </c>
      <c r="L91" s="217">
        <f>IF(AND($A91&lt;&gt;"",'Project Overview'!U88=""),1,0)</f>
        <v>0</v>
      </c>
      <c r="M91" s="217">
        <f>IF(OR($A91="",'Project Overview'!O88="",'Project Overview'!O88="?"),1,0)</f>
        <v>0</v>
      </c>
      <c r="N91" s="217">
        <f>IF(OR($A91="",'Project Overview'!P88="", 'Project Overview'!P88="?"),1,0)</f>
        <v>0</v>
      </c>
      <c r="O91" s="217">
        <f t="shared" si="21"/>
        <v>0</v>
      </c>
      <c r="P91" s="217" t="str">
        <f t="shared" si="20"/>
        <v>OK</v>
      </c>
    </row>
    <row r="92" spans="1:16" ht="43.2" hidden="1" x14ac:dyDescent="0.3">
      <c r="A92" s="217" t="str">
        <f>""&amp;'Project Overview'!A89</f>
        <v>83</v>
      </c>
      <c r="B92" s="218" t="str">
        <f>'Project Overview'!B89</f>
        <v>Lar ASESM</v>
      </c>
      <c r="C92" s="218" t="str">
        <f>'Project Overview'!C89</f>
        <v>Asesm - Associação De Solidariedade E Educação De Salir De Matos</v>
      </c>
      <c r="D92" s="221" t="str">
        <f>'Project Overview'!R89</f>
        <v>ACTIVE</v>
      </c>
      <c r="E92" s="221" t="str">
        <f ca="1">'Project Overview'!Y89</f>
        <v>yes</v>
      </c>
      <c r="F92" s="217">
        <f t="shared" si="28"/>
        <v>0</v>
      </c>
      <c r="G92" s="217">
        <f t="shared" si="29"/>
        <v>0</v>
      </c>
      <c r="H92" s="217">
        <f>IF(AND($A92&lt;&gt;"",'Project Overview'!D89=""),1,0)</f>
        <v>0</v>
      </c>
      <c r="I92" s="217">
        <f>IF(AND($A92&lt;&gt;"",'Project Overview'!F89=""),1,0)</f>
        <v>0</v>
      </c>
      <c r="J92" s="217">
        <f>IF(AND($A92&lt;&gt;"",OR('Project Overview'!I89="ESCO",'Project Overview'!I89="EPC",'Project Overview'!I89="ESCO BUYOUT"),'Project Overview'!K89=""),1,0)</f>
        <v>0</v>
      </c>
      <c r="K92" s="217">
        <f>IF(AND($A92&lt;&gt;"",'Project Overview'!M89=""),1,0)</f>
        <v>0</v>
      </c>
      <c r="L92" s="217">
        <f>IF(AND($A92&lt;&gt;"",'Project Overview'!U89=""),1,0)</f>
        <v>0</v>
      </c>
      <c r="M92" s="217">
        <f>IF(OR($A92="",'Project Overview'!O89="",'Project Overview'!O89="?"),1,0)</f>
        <v>0</v>
      </c>
      <c r="N92" s="217">
        <f>IF(OR($A92="",'Project Overview'!P89="", 'Project Overview'!P89="?"),1,0)</f>
        <v>0</v>
      </c>
      <c r="O92" s="217">
        <f t="shared" si="21"/>
        <v>0</v>
      </c>
      <c r="P92" s="217" t="str">
        <f t="shared" si="20"/>
        <v>OK</v>
      </c>
    </row>
    <row r="93" spans="1:16" hidden="1" x14ac:dyDescent="0.3">
      <c r="A93" s="217" t="str">
        <f>""&amp;'Project Overview'!A90</f>
        <v>84</v>
      </c>
      <c r="B93" s="218" t="str">
        <f>'Project Overview'!B90</f>
        <v>Vidigal Wines</v>
      </c>
      <c r="C93" s="218" t="str">
        <f>'Project Overview'!C90</f>
        <v>Vidigal Wines, S.A.</v>
      </c>
      <c r="D93" s="221" t="str">
        <f>'Project Overview'!R90</f>
        <v>ACTIVE</v>
      </c>
      <c r="E93" s="221" t="str">
        <f ca="1">'Project Overview'!Y90</f>
        <v>no</v>
      </c>
      <c r="F93" s="217">
        <f t="shared" si="22"/>
        <v>0</v>
      </c>
      <c r="G93" s="217">
        <f t="shared" si="23"/>
        <v>0</v>
      </c>
      <c r="H93" s="217">
        <f>IF(AND($A93&lt;&gt;"",'Project Overview'!D90=""),1,0)</f>
        <v>0</v>
      </c>
      <c r="I93" s="217">
        <f>IF(AND($A93&lt;&gt;"",'Project Overview'!F90=""),1,0)</f>
        <v>0</v>
      </c>
      <c r="J93" s="217">
        <f>IF(AND($A93&lt;&gt;"",OR('Project Overview'!I90="ESCO",'Project Overview'!I90="EPC",'Project Overview'!I90="ESCO BUYOUT"),'Project Overview'!K90=""),1,0)</f>
        <v>0</v>
      </c>
      <c r="K93" s="217">
        <f>IF(AND($A93&lt;&gt;"",'Project Overview'!M90=""),1,0)</f>
        <v>0</v>
      </c>
      <c r="L93" s="217">
        <f>IF(AND($A93&lt;&gt;"",'Project Overview'!U90=""),1,0)</f>
        <v>1</v>
      </c>
      <c r="M93" s="217">
        <f>IF(OR($A93="",'Project Overview'!O90="",'Project Overview'!O90="?"),1,0)</f>
        <v>0</v>
      </c>
      <c r="N93" s="217">
        <f>IF(OR($A93="",'Project Overview'!P90="", 'Project Overview'!P90="?"),1,0)</f>
        <v>0</v>
      </c>
      <c r="O93" s="217">
        <f t="shared" si="21"/>
        <v>1</v>
      </c>
      <c r="P93" s="217" t="str">
        <f t="shared" si="20"/>
        <v>REVER</v>
      </c>
    </row>
    <row r="94" spans="1:16" ht="28.8" hidden="1" x14ac:dyDescent="0.3">
      <c r="A94" s="217" t="str">
        <f>""&amp;'Project Overview'!A91</f>
        <v>85</v>
      </c>
      <c r="B94" s="218" t="str">
        <f>'Project Overview'!B91</f>
        <v>EBI Boa Água</v>
      </c>
      <c r="C94" s="218" t="str">
        <f>'Project Overview'!C91</f>
        <v>Agrupamento De Escolas Da Boa Água</v>
      </c>
      <c r="D94" s="221" t="str">
        <f>'Project Overview'!R91</f>
        <v>ACTIVE</v>
      </c>
      <c r="E94" s="221" t="str">
        <f ca="1">'Project Overview'!Y91</f>
        <v>yes</v>
      </c>
      <c r="F94" s="217">
        <f>IF(OR($A94="",$B94=""),1,0)</f>
        <v>0</v>
      </c>
      <c r="G94" s="217">
        <f>IF($C94="",1,0)</f>
        <v>0</v>
      </c>
      <c r="H94" s="217">
        <f>IF(AND($A94&lt;&gt;"",'Project Overview'!D91=""),1,0)</f>
        <v>0</v>
      </c>
      <c r="I94" s="217">
        <f>IF(AND($A94&lt;&gt;"",'Project Overview'!F91=""),1,0)</f>
        <v>0</v>
      </c>
      <c r="J94" s="217">
        <f>IF(AND($A94&lt;&gt;"",OR('Project Overview'!I91="ESCO",'Project Overview'!I91="EPC",'Project Overview'!I91="ESCO BUYOUT"),'Project Overview'!K91=""),1,0)</f>
        <v>0</v>
      </c>
      <c r="K94" s="217">
        <f>IF(AND($A94&lt;&gt;"",'Project Overview'!M91=""),1,0)</f>
        <v>0</v>
      </c>
      <c r="L94" s="217">
        <f>IF(AND($A94&lt;&gt;"",'Project Overview'!U91=""),1,0)</f>
        <v>0</v>
      </c>
      <c r="M94" s="217">
        <f>IF(OR($A94="",'Project Overview'!O91="",'Project Overview'!O91="?"),1,0)</f>
        <v>0</v>
      </c>
      <c r="N94" s="217">
        <f>IF(OR($A94="",'Project Overview'!P91="", 'Project Overview'!P91="?"),1,0)</f>
        <v>0</v>
      </c>
      <c r="O94" s="217">
        <f t="shared" si="21"/>
        <v>0</v>
      </c>
      <c r="P94" s="217" t="str">
        <f t="shared" si="20"/>
        <v>OK</v>
      </c>
    </row>
    <row r="95" spans="1:16" ht="28.8" hidden="1" x14ac:dyDescent="0.3">
      <c r="A95" s="217" t="str">
        <f>""&amp;'Project Overview'!A92</f>
        <v>86</v>
      </c>
      <c r="B95" s="218" t="str">
        <f>'Project Overview'!B92</f>
        <v>SCM Galizes (EPC)</v>
      </c>
      <c r="C95" s="218" t="str">
        <f>'Project Overview'!C92</f>
        <v>Santa Casa Da Misericordia De Galizes</v>
      </c>
      <c r="D95" s="221" t="str">
        <f>'Project Overview'!R92</f>
        <v>ACTIVE</v>
      </c>
      <c r="E95" s="221" t="str">
        <f ca="1">'Project Overview'!Y92</f>
        <v>no</v>
      </c>
      <c r="F95" s="217">
        <f t="shared" si="22"/>
        <v>0</v>
      </c>
      <c r="G95" s="217">
        <f t="shared" si="23"/>
        <v>0</v>
      </c>
      <c r="H95" s="217">
        <f>IF(AND($A95&lt;&gt;"",'Project Overview'!D92=""),1,0)</f>
        <v>0</v>
      </c>
      <c r="I95" s="217">
        <f>IF(AND($A95&lt;&gt;"",'Project Overview'!F92=""),1,0)</f>
        <v>0</v>
      </c>
      <c r="J95" s="217">
        <f>IF(AND($A95&lt;&gt;"",OR('Project Overview'!I92="ESCO",'Project Overview'!I92="EPC",'Project Overview'!I92="ESCO BUYOUT"),'Project Overview'!K92=""),1,0)</f>
        <v>0</v>
      </c>
      <c r="K95" s="217">
        <f>IF(AND($A95&lt;&gt;"",'Project Overview'!M92=""),1,0)</f>
        <v>0</v>
      </c>
      <c r="L95" s="217">
        <f>IF(AND($A95&lt;&gt;"",'Project Overview'!U92=""),1,0)</f>
        <v>0</v>
      </c>
      <c r="M95" s="217">
        <f>IF(OR($A95="",'Project Overview'!O92="",'Project Overview'!O92="?"),1,0)</f>
        <v>0</v>
      </c>
      <c r="N95" s="217">
        <f>IF(OR($A95="",'Project Overview'!P92="", 'Project Overview'!P92="?"),1,0)</f>
        <v>0</v>
      </c>
      <c r="O95" s="217">
        <f t="shared" si="21"/>
        <v>0</v>
      </c>
      <c r="P95" s="217" t="str">
        <f t="shared" si="20"/>
        <v>OK</v>
      </c>
    </row>
    <row r="96" spans="1:16" ht="43.2" hidden="1" x14ac:dyDescent="0.3">
      <c r="A96" s="217" t="str">
        <f>""&amp;'Project Overview'!A93</f>
        <v>87</v>
      </c>
      <c r="B96" s="218" t="str">
        <f>'Project Overview'!B93</f>
        <v>Coopérnico - SCM Benavente (EPC)</v>
      </c>
      <c r="C96" s="218" t="str">
        <f>'Project Overview'!C93</f>
        <v>Coopérnico - Cooperativa De Desenvolvimento Sustentável Crl</v>
      </c>
      <c r="D96" s="221" t="str">
        <f>'Project Overview'!R93</f>
        <v>ACTIVE</v>
      </c>
      <c r="E96" s="221" t="str">
        <f ca="1">'Project Overview'!Y93</f>
        <v>no</v>
      </c>
      <c r="F96" s="217">
        <f t="shared" si="22"/>
        <v>0</v>
      </c>
      <c r="G96" s="217">
        <f t="shared" si="23"/>
        <v>0</v>
      </c>
      <c r="H96" s="217">
        <f>IF(AND($A96&lt;&gt;"",'Project Overview'!D93=""),1,0)</f>
        <v>0</v>
      </c>
      <c r="I96" s="217">
        <f>IF(AND($A96&lt;&gt;"",'Project Overview'!F93=""),1,0)</f>
        <v>0</v>
      </c>
      <c r="J96" s="217">
        <f>IF(AND($A96&lt;&gt;"",OR('Project Overview'!I93="ESCO",'Project Overview'!I93="EPC",'Project Overview'!I93="ESCO BUYOUT"),'Project Overview'!K93=""),1,0)</f>
        <v>0</v>
      </c>
      <c r="K96" s="217">
        <f>IF(AND($A96&lt;&gt;"",'Project Overview'!M93=""),1,0)</f>
        <v>0</v>
      </c>
      <c r="L96" s="217">
        <f>IF(AND($A96&lt;&gt;"",'Project Overview'!U93=""),1,0)</f>
        <v>0</v>
      </c>
      <c r="M96" s="217">
        <f>IF(OR($A96="",'Project Overview'!O93="",'Project Overview'!O93="?"),1,0)</f>
        <v>0</v>
      </c>
      <c r="N96" s="217">
        <f>IF(OR($A96="",'Project Overview'!P93="", 'Project Overview'!P93="?"),1,0)</f>
        <v>0</v>
      </c>
      <c r="O96" s="217">
        <f t="shared" si="21"/>
        <v>0</v>
      </c>
      <c r="P96" s="217" t="str">
        <f t="shared" si="20"/>
        <v>OK</v>
      </c>
    </row>
    <row r="97" spans="1:16" ht="57.6" hidden="1" x14ac:dyDescent="0.3">
      <c r="A97" s="217" t="str">
        <f>""&amp;'Project Overview'!A94</f>
        <v>88</v>
      </c>
      <c r="B97" s="218" t="str">
        <f>'Project Overview'!B94</f>
        <v>APPACDM Lisboa - Lar das Pedralvas</v>
      </c>
      <c r="C97" s="218" t="str">
        <f>'Project Overview'!C94</f>
        <v>Appacdm De Lisboa - Associação Portuguesa De Pais E Amigos Do Cidadão Deficiente Mental</v>
      </c>
      <c r="D97" s="221" t="str">
        <f>'Project Overview'!R94</f>
        <v>ACTIVE</v>
      </c>
      <c r="E97" s="221" t="str">
        <f ca="1">'Project Overview'!Y94</f>
        <v>yes</v>
      </c>
      <c r="F97" s="217">
        <f t="shared" ref="F97:F98" si="30">IF(OR($A97="",$B97=""),1,0)</f>
        <v>0</v>
      </c>
      <c r="G97" s="217">
        <f t="shared" ref="G97:G98" si="31">IF($C97="",1,0)</f>
        <v>0</v>
      </c>
      <c r="H97" s="217">
        <f>IF(AND($A97&lt;&gt;"",'Project Overview'!D94=""),1,0)</f>
        <v>0</v>
      </c>
      <c r="I97" s="217">
        <f>IF(AND($A97&lt;&gt;"",'Project Overview'!F94=""),1,0)</f>
        <v>0</v>
      </c>
      <c r="J97" s="217">
        <f>IF(AND($A97&lt;&gt;"",OR('Project Overview'!I94="ESCO",'Project Overview'!I94="EPC",'Project Overview'!I94="ESCO BUYOUT"),'Project Overview'!K94=""),1,0)</f>
        <v>0</v>
      </c>
      <c r="K97" s="217">
        <f>IF(AND($A97&lt;&gt;"",'Project Overview'!M94=""),1,0)</f>
        <v>0</v>
      </c>
      <c r="L97" s="217">
        <f>IF(AND($A97&lt;&gt;"",'Project Overview'!U94=""),1,0)</f>
        <v>0</v>
      </c>
      <c r="M97" s="217">
        <f>IF(OR($A97="",'Project Overview'!O94="",'Project Overview'!O94="?"),1,0)</f>
        <v>0</v>
      </c>
      <c r="N97" s="217">
        <f>IF(OR($A97="",'Project Overview'!P94="", 'Project Overview'!P94="?"),1,0)</f>
        <v>0</v>
      </c>
      <c r="O97" s="217">
        <f t="shared" si="21"/>
        <v>0</v>
      </c>
      <c r="P97" s="217" t="str">
        <f t="shared" si="20"/>
        <v>OK</v>
      </c>
    </row>
    <row r="98" spans="1:16" ht="57.6" hidden="1" x14ac:dyDescent="0.3">
      <c r="A98" s="217" t="str">
        <f>""&amp;'Project Overview'!A95</f>
        <v>89</v>
      </c>
      <c r="B98" s="218" t="str">
        <f>'Project Overview'!B95</f>
        <v>APPACDM Lisboa - Centro Júlia Moreira</v>
      </c>
      <c r="C98" s="218" t="str">
        <f>'Project Overview'!C95</f>
        <v>Appacdm De Lisboa - Associação Portuguesa De Pais E Amigos Do Cidadão Deficiente Mental</v>
      </c>
      <c r="D98" s="221" t="str">
        <f>'Project Overview'!R95</f>
        <v>ACTIVE</v>
      </c>
      <c r="E98" s="221" t="str">
        <f ca="1">'Project Overview'!Y95</f>
        <v>yes</v>
      </c>
      <c r="F98" s="217">
        <f t="shared" si="30"/>
        <v>0</v>
      </c>
      <c r="G98" s="217">
        <f t="shared" si="31"/>
        <v>0</v>
      </c>
      <c r="H98" s="217">
        <f>IF(AND($A98&lt;&gt;"",'Project Overview'!D95=""),1,0)</f>
        <v>0</v>
      </c>
      <c r="I98" s="217">
        <f>IF(AND($A98&lt;&gt;"",'Project Overview'!F95=""),1,0)</f>
        <v>0</v>
      </c>
      <c r="J98" s="217">
        <f>IF(AND($A98&lt;&gt;"",OR('Project Overview'!I95="ESCO",'Project Overview'!I95="EPC",'Project Overview'!I95="ESCO BUYOUT"),'Project Overview'!K95=""),1,0)</f>
        <v>0</v>
      </c>
      <c r="K98" s="217">
        <f>IF(AND($A98&lt;&gt;"",'Project Overview'!M95=""),1,0)</f>
        <v>0</v>
      </c>
      <c r="L98" s="217">
        <f>IF(AND($A98&lt;&gt;"",'Project Overview'!U95=""),1,0)</f>
        <v>0</v>
      </c>
      <c r="M98" s="217">
        <f>IF(OR($A98="",'Project Overview'!O95="",'Project Overview'!O95="?"),1,0)</f>
        <v>0</v>
      </c>
      <c r="N98" s="217">
        <f>IF(OR($A98="",'Project Overview'!P95="", 'Project Overview'!P95="?"),1,0)</f>
        <v>0</v>
      </c>
      <c r="O98" s="217">
        <f t="shared" si="21"/>
        <v>0</v>
      </c>
      <c r="P98" s="217" t="str">
        <f t="shared" si="20"/>
        <v>OK</v>
      </c>
    </row>
    <row r="99" spans="1:16" ht="57.6" hidden="1" x14ac:dyDescent="0.3">
      <c r="A99" s="217" t="str">
        <f>""&amp;'Project Overview'!A96</f>
        <v>90</v>
      </c>
      <c r="B99" s="218" t="str">
        <f>'Project Overview'!B96</f>
        <v>APPACDM Lisboa - Flor da Quinta</v>
      </c>
      <c r="C99" s="218" t="str">
        <f>'Project Overview'!C96</f>
        <v>Appacdm De Lisboa - Associação Portuguesa De Pais E Amigos Do Cidadão Deficiente Mental</v>
      </c>
      <c r="D99" s="221" t="str">
        <f>'Project Overview'!R96</f>
        <v>ON HOLD</v>
      </c>
      <c r="E99" s="221" t="str">
        <f ca="1">'Project Overview'!Y96</f>
        <v>no</v>
      </c>
      <c r="F99" s="217">
        <f t="shared" si="22"/>
        <v>0</v>
      </c>
      <c r="G99" s="217">
        <f t="shared" si="23"/>
        <v>0</v>
      </c>
      <c r="H99" s="217">
        <f>IF(AND($A99&lt;&gt;"",'Project Overview'!D96=""),1,0)</f>
        <v>0</v>
      </c>
      <c r="I99" s="217">
        <f>IF(AND($A99&lt;&gt;"",'Project Overview'!F96=""),1,0)</f>
        <v>0</v>
      </c>
      <c r="J99" s="217">
        <f>IF(AND($A99&lt;&gt;"",OR('Project Overview'!I96="ESCO",'Project Overview'!I96="EPC",'Project Overview'!I96="ESCO BUYOUT"),'Project Overview'!K96=""),1,0)</f>
        <v>0</v>
      </c>
      <c r="K99" s="217">
        <f>IF(AND($A99&lt;&gt;"",'Project Overview'!M96=""),1,0)</f>
        <v>1</v>
      </c>
      <c r="L99" s="217">
        <f>IF(AND($A99&lt;&gt;"",'Project Overview'!U96=""),1,0)</f>
        <v>0</v>
      </c>
      <c r="M99" s="217">
        <f>IF(OR($A99="",'Project Overview'!O96="",'Project Overview'!O96="?"),1,0)</f>
        <v>0</v>
      </c>
      <c r="N99" s="217">
        <f>IF(OR($A99="",'Project Overview'!P96="", 'Project Overview'!P96="?"),1,0)</f>
        <v>0</v>
      </c>
      <c r="O99" s="217">
        <f t="shared" si="21"/>
        <v>1</v>
      </c>
      <c r="P99" s="217" t="str">
        <f t="shared" si="20"/>
        <v>REVER</v>
      </c>
    </row>
    <row r="100" spans="1:16" ht="57.6" hidden="1" x14ac:dyDescent="0.3">
      <c r="A100" s="217" t="str">
        <f>""&amp;'Project Overview'!A97</f>
        <v>91</v>
      </c>
      <c r="B100" s="218" t="str">
        <f>'Project Overview'!B97</f>
        <v>APPACDM Lisboa - Lar Alapraia 2</v>
      </c>
      <c r="C100" s="218" t="str">
        <f>'Project Overview'!C97</f>
        <v>Appacdm De Lisboa - Associação Portuguesa De Pais E Amigos Do Cidadão Deficiente Mental</v>
      </c>
      <c r="D100" s="221" t="str">
        <f>'Project Overview'!R97</f>
        <v>CANCELLED</v>
      </c>
      <c r="E100" s="221" t="str">
        <f ca="1">'Project Overview'!Y97</f>
        <v>no</v>
      </c>
      <c r="F100" s="217">
        <f t="shared" si="22"/>
        <v>0</v>
      </c>
      <c r="G100" s="217">
        <f t="shared" si="23"/>
        <v>0</v>
      </c>
      <c r="H100" s="217">
        <f>IF(AND($A100&lt;&gt;"",'Project Overview'!D97=""),1,0)</f>
        <v>0</v>
      </c>
      <c r="I100" s="217">
        <f>IF(AND($A100&lt;&gt;"",'Project Overview'!F97=""),1,0)</f>
        <v>0</v>
      </c>
      <c r="J100" s="217">
        <f>IF(AND($A100&lt;&gt;"",OR('Project Overview'!I97="ESCO",'Project Overview'!I97="EPC",'Project Overview'!I97="ESCO BUYOUT"),'Project Overview'!K97=""),1,0)</f>
        <v>0</v>
      </c>
      <c r="K100" s="217">
        <f>IF(AND($A100&lt;&gt;"",'Project Overview'!M97=""),1,0)</f>
        <v>1</v>
      </c>
      <c r="L100" s="217">
        <f>IF(AND($A100&lt;&gt;"",'Project Overview'!U97=""),1,0)</f>
        <v>0</v>
      </c>
      <c r="M100" s="217">
        <f>IF(OR($A100="",'Project Overview'!O97="",'Project Overview'!O97="?"),1,0)</f>
        <v>1</v>
      </c>
      <c r="N100" s="217">
        <f>IF(OR($A100="",'Project Overview'!P97="", 'Project Overview'!P97="?"),1,0)</f>
        <v>1</v>
      </c>
      <c r="O100" s="217">
        <f t="shared" si="21"/>
        <v>3</v>
      </c>
      <c r="P100" s="217" t="str">
        <f t="shared" si="20"/>
        <v>REVER</v>
      </c>
    </row>
    <row r="101" spans="1:16" ht="57.6" hidden="1" x14ac:dyDescent="0.3">
      <c r="A101" s="217" t="str">
        <f>""&amp;'Project Overview'!A98</f>
        <v>92</v>
      </c>
      <c r="B101" s="218" t="str">
        <f>'Project Overview'!B98</f>
        <v>Cercilei - Leiria</v>
      </c>
      <c r="C101" s="218" t="str">
        <f>'Project Overview'!C98</f>
        <v>Cercilei - Cooperativa De Ensino E Reabilitação De Cidadãos Inadaptados De Leiria Crl</v>
      </c>
      <c r="D101" s="221" t="str">
        <f>'Project Overview'!R98</f>
        <v>ACTIVE</v>
      </c>
      <c r="E101" s="221" t="str">
        <f ca="1">'Project Overview'!Y98</f>
        <v>no</v>
      </c>
      <c r="F101" s="217">
        <f t="shared" si="22"/>
        <v>0</v>
      </c>
      <c r="G101" s="217">
        <f t="shared" si="23"/>
        <v>0</v>
      </c>
      <c r="H101" s="217">
        <f>IF(AND($A101&lt;&gt;"",'Project Overview'!D98=""),1,0)</f>
        <v>0</v>
      </c>
      <c r="I101" s="217">
        <f>IF(AND($A101&lt;&gt;"",'Project Overview'!F98=""),1,0)</f>
        <v>0</v>
      </c>
      <c r="J101" s="217">
        <f>IF(AND($A101&lt;&gt;"",OR('Project Overview'!I98="ESCO",'Project Overview'!I98="EPC",'Project Overview'!I98="ESCO BUYOUT"),'Project Overview'!K98=""),1,0)</f>
        <v>0</v>
      </c>
      <c r="K101" s="217">
        <f>IF(AND($A101&lt;&gt;"",'Project Overview'!M98=""),1,0)</f>
        <v>0</v>
      </c>
      <c r="L101" s="217">
        <f>IF(AND($A101&lt;&gt;"",'Project Overview'!U98=""),1,0)</f>
        <v>0</v>
      </c>
      <c r="M101" s="217">
        <f>IF(OR($A101="",'Project Overview'!O98="",'Project Overview'!O98="?"),1,0)</f>
        <v>0</v>
      </c>
      <c r="N101" s="217">
        <f>IF(OR($A101="",'Project Overview'!P98="", 'Project Overview'!P98="?"),1,0)</f>
        <v>0</v>
      </c>
      <c r="O101" s="217">
        <f t="shared" si="21"/>
        <v>0</v>
      </c>
      <c r="P101" s="217" t="str">
        <f t="shared" si="20"/>
        <v>OK</v>
      </c>
    </row>
    <row r="102" spans="1:16" ht="57.6" hidden="1" x14ac:dyDescent="0.3">
      <c r="A102" s="217" t="str">
        <f>""&amp;'Project Overview'!A99</f>
        <v>93</v>
      </c>
      <c r="B102" s="218" t="str">
        <f>'Project Overview'!B99</f>
        <v>CERCILEI - Porto de Mós (EPC)</v>
      </c>
      <c r="C102" s="218" t="str">
        <f>'Project Overview'!C99</f>
        <v>Cercilei - Cooperativa De Ensino E Reabilitação De Cidadãos Inadaptados De Leiria Crl</v>
      </c>
      <c r="D102" s="221" t="str">
        <f>'Project Overview'!R99</f>
        <v>ACTIVE</v>
      </c>
      <c r="E102" s="221" t="str">
        <f ca="1">'Project Overview'!Y99</f>
        <v>no</v>
      </c>
      <c r="F102" s="217">
        <f t="shared" si="22"/>
        <v>0</v>
      </c>
      <c r="G102" s="217">
        <f t="shared" si="23"/>
        <v>0</v>
      </c>
      <c r="H102" s="217">
        <f>IF(AND($A102&lt;&gt;"",'Project Overview'!D99=""),1,0)</f>
        <v>0</v>
      </c>
      <c r="I102" s="217">
        <f>IF(AND($A102&lt;&gt;"",'Project Overview'!F99=""),1,0)</f>
        <v>0</v>
      </c>
      <c r="J102" s="217">
        <f>IF(AND($A102&lt;&gt;"",OR('Project Overview'!I99="ESCO",'Project Overview'!I99="EPC",'Project Overview'!I99="ESCO BUYOUT"),'Project Overview'!K99=""),1,0)</f>
        <v>0</v>
      </c>
      <c r="K102" s="217">
        <f>IF(AND($A102&lt;&gt;"",'Project Overview'!M99=""),1,0)</f>
        <v>0</v>
      </c>
      <c r="L102" s="217">
        <f>IF(AND($A102&lt;&gt;"",'Project Overview'!U99=""),1,0)</f>
        <v>0</v>
      </c>
      <c r="M102" s="217">
        <f>IF(OR($A102="",'Project Overview'!O99="",'Project Overview'!O99="?"),1,0)</f>
        <v>0</v>
      </c>
      <c r="N102" s="217">
        <f>IF(OR($A102="",'Project Overview'!P99="", 'Project Overview'!P99="?"),1,0)</f>
        <v>0</v>
      </c>
      <c r="O102" s="217">
        <f t="shared" si="21"/>
        <v>0</v>
      </c>
      <c r="P102" s="217" t="str">
        <f t="shared" si="20"/>
        <v>OK</v>
      </c>
    </row>
    <row r="103" spans="1:16" hidden="1" x14ac:dyDescent="0.3">
      <c r="A103" s="217" t="str">
        <f>""&amp;'Project Overview'!A100</f>
        <v>94</v>
      </c>
      <c r="B103" s="218" t="str">
        <f>'Project Overview'!B100</f>
        <v>Proteco (Cancelado)</v>
      </c>
      <c r="C103" s="218">
        <f>'Project Overview'!C100</f>
        <v>0</v>
      </c>
      <c r="D103" s="221" t="str">
        <f>'Project Overview'!R100</f>
        <v>CANCELLED</v>
      </c>
      <c r="E103" s="221" t="str">
        <f ca="1">'Project Overview'!Y100</f>
        <v>no</v>
      </c>
      <c r="F103" s="217">
        <f t="shared" si="22"/>
        <v>0</v>
      </c>
      <c r="G103" s="217">
        <f t="shared" si="23"/>
        <v>0</v>
      </c>
      <c r="H103" s="217">
        <f>IF(AND($A103&lt;&gt;"",'Project Overview'!D100=""),1,0)</f>
        <v>1</v>
      </c>
      <c r="I103" s="217">
        <f>IF(AND($A103&lt;&gt;"",'Project Overview'!F100=""),1,0)</f>
        <v>1</v>
      </c>
      <c r="J103" s="217">
        <f>IF(AND($A103&lt;&gt;"",OR('Project Overview'!I100="ESCO",'Project Overview'!I100="EPC",'Project Overview'!I100="ESCO BUYOUT"),'Project Overview'!K100=""),1,0)</f>
        <v>0</v>
      </c>
      <c r="K103" s="217">
        <f>IF(AND($A103&lt;&gt;"",'Project Overview'!M100=""),1,0)</f>
        <v>1</v>
      </c>
      <c r="L103" s="217">
        <f>IF(AND($A103&lt;&gt;"",'Project Overview'!U100=""),1,0)</f>
        <v>1</v>
      </c>
      <c r="M103" s="217">
        <f>IF(OR($A103="",'Project Overview'!O100="",'Project Overview'!O100="?"),1,0)</f>
        <v>0</v>
      </c>
      <c r="N103" s="217">
        <f>IF(OR($A103="",'Project Overview'!P100="", 'Project Overview'!P100="?"),1,0)</f>
        <v>0</v>
      </c>
      <c r="O103" s="217">
        <f t="shared" si="21"/>
        <v>4</v>
      </c>
      <c r="P103" s="217" t="str">
        <f t="shared" si="20"/>
        <v>REVER</v>
      </c>
    </row>
    <row r="104" spans="1:16" ht="28.8" hidden="1" x14ac:dyDescent="0.3">
      <c r="A104" s="217" t="str">
        <f>""&amp;'Project Overview'!A101</f>
        <v>95</v>
      </c>
      <c r="B104" s="218" t="str">
        <f>'Project Overview'!B101</f>
        <v>O Casarão</v>
      </c>
      <c r="C104" s="218" t="str">
        <f>'Project Overview'!C101</f>
        <v>O Casarão - Hotelaria E Turismo Lda</v>
      </c>
      <c r="D104" s="221" t="str">
        <f>'Project Overview'!R101</f>
        <v>ACTIVE</v>
      </c>
      <c r="E104" s="221" t="str">
        <f ca="1">'Project Overview'!Y101</f>
        <v>yes</v>
      </c>
      <c r="F104" s="217">
        <f>IF(OR($A104="",$B104=""),1,0)</f>
        <v>0</v>
      </c>
      <c r="G104" s="217">
        <f>IF($C104="",1,0)</f>
        <v>0</v>
      </c>
      <c r="H104" s="217">
        <f>IF(AND($A104&lt;&gt;"",'Project Overview'!D101=""),1,0)</f>
        <v>0</v>
      </c>
      <c r="I104" s="217">
        <f>IF(AND($A104&lt;&gt;"",'Project Overview'!F101=""),1,0)</f>
        <v>0</v>
      </c>
      <c r="J104" s="217">
        <f>IF(AND($A104&lt;&gt;"",OR('Project Overview'!I101="ESCO",'Project Overview'!I101="EPC",'Project Overview'!I101="ESCO BUYOUT"),'Project Overview'!K101=""),1,0)</f>
        <v>0</v>
      </c>
      <c r="K104" s="217">
        <f>IF(AND($A104&lt;&gt;"",'Project Overview'!M101=""),1,0)</f>
        <v>0</v>
      </c>
      <c r="L104" s="217">
        <f>IF(AND($A104&lt;&gt;"",'Project Overview'!U101=""),1,0)</f>
        <v>0</v>
      </c>
      <c r="M104" s="217">
        <f>IF(OR($A104="",'Project Overview'!O101="",'Project Overview'!O101="?"),1,0)</f>
        <v>0</v>
      </c>
      <c r="N104" s="217">
        <f>IF(OR($A104="",'Project Overview'!P101="", 'Project Overview'!P101="?"),1,0)</f>
        <v>0</v>
      </c>
      <c r="O104" s="217">
        <f t="shared" si="21"/>
        <v>0</v>
      </c>
      <c r="P104" s="217" t="str">
        <f t="shared" si="20"/>
        <v>OK</v>
      </c>
    </row>
    <row r="105" spans="1:16" hidden="1" x14ac:dyDescent="0.3">
      <c r="A105" s="217" t="str">
        <f>""&amp;'Project Overview'!A102</f>
        <v>96</v>
      </c>
      <c r="B105" s="218" t="str">
        <f>'Project Overview'!B102</f>
        <v>Cercibeja (EPC)</v>
      </c>
      <c r="C105" s="218">
        <f>'Project Overview'!C102</f>
        <v>0</v>
      </c>
      <c r="D105" s="221" t="str">
        <f>'Project Overview'!R102</f>
        <v>CANCELLED</v>
      </c>
      <c r="E105" s="221" t="str">
        <f ca="1">'Project Overview'!Y102</f>
        <v>no</v>
      </c>
      <c r="F105" s="217">
        <f t="shared" si="22"/>
        <v>0</v>
      </c>
      <c r="G105" s="217">
        <f t="shared" si="23"/>
        <v>0</v>
      </c>
      <c r="H105" s="217">
        <f>IF(AND($A105&lt;&gt;"",'Project Overview'!D102=""),1,0)</f>
        <v>1</v>
      </c>
      <c r="I105" s="217">
        <f>IF(AND($A105&lt;&gt;"",'Project Overview'!F102=""),1,0)</f>
        <v>1</v>
      </c>
      <c r="J105" s="217">
        <f>IF(AND($A105&lt;&gt;"",OR('Project Overview'!I102="ESCO",'Project Overview'!I102="EPC",'Project Overview'!I102="ESCO BUYOUT"),'Project Overview'!K102=""),1,0)</f>
        <v>0</v>
      </c>
      <c r="K105" s="217">
        <f>IF(AND($A105&lt;&gt;"",'Project Overview'!M102=""),1,0)</f>
        <v>1</v>
      </c>
      <c r="L105" s="217">
        <f>IF(AND($A105&lt;&gt;"",'Project Overview'!U102=""),1,0)</f>
        <v>1</v>
      </c>
      <c r="M105" s="217">
        <f>IF(OR($A105="",'Project Overview'!O102="",'Project Overview'!O102="?"),1,0)</f>
        <v>0</v>
      </c>
      <c r="N105" s="217">
        <f>IF(OR($A105="",'Project Overview'!P102="", 'Project Overview'!P102="?"),1,0)</f>
        <v>0</v>
      </c>
      <c r="O105" s="217">
        <f t="shared" si="21"/>
        <v>4</v>
      </c>
      <c r="P105" s="217" t="str">
        <f t="shared" si="20"/>
        <v>REVER</v>
      </c>
    </row>
    <row r="106" spans="1:16" hidden="1" x14ac:dyDescent="0.3">
      <c r="A106" s="217" t="str">
        <f>""&amp;'Project Overview'!A103</f>
        <v>97</v>
      </c>
      <c r="B106" s="218" t="str">
        <f>'Project Overview'!B103</f>
        <v>FC Alverca - Pavilhão</v>
      </c>
      <c r="C106" s="218" t="str">
        <f>'Project Overview'!C103</f>
        <v>Futebol Clube De Alverca</v>
      </c>
      <c r="D106" s="221" t="str">
        <f>'Project Overview'!R103</f>
        <v>ACTIVE</v>
      </c>
      <c r="E106" s="221" t="str">
        <f ca="1">'Project Overview'!Y103</f>
        <v>yes</v>
      </c>
      <c r="F106" s="217">
        <f t="shared" ref="F106:F107" si="32">IF(OR($A106="",$B106=""),1,0)</f>
        <v>0</v>
      </c>
      <c r="G106" s="217">
        <f t="shared" ref="G106:G107" si="33">IF($C106="",1,0)</f>
        <v>0</v>
      </c>
      <c r="H106" s="217">
        <f>IF(AND($A106&lt;&gt;"",'Project Overview'!D103=""),1,0)</f>
        <v>0</v>
      </c>
      <c r="I106" s="217">
        <f>IF(AND($A106&lt;&gt;"",'Project Overview'!F103=""),1,0)</f>
        <v>0</v>
      </c>
      <c r="J106" s="217">
        <f>IF(AND($A106&lt;&gt;"",OR('Project Overview'!I103="ESCO",'Project Overview'!I103="EPC",'Project Overview'!I103="ESCO BUYOUT"),'Project Overview'!K103=""),1,0)</f>
        <v>0</v>
      </c>
      <c r="K106" s="217">
        <f>IF(AND($A106&lt;&gt;"",'Project Overview'!M103=""),1,0)</f>
        <v>0</v>
      </c>
      <c r="L106" s="217">
        <f>IF(AND($A106&lt;&gt;"",'Project Overview'!U103=""),1,0)</f>
        <v>0</v>
      </c>
      <c r="M106" s="217">
        <f>IF(OR($A106="",'Project Overview'!O103="",'Project Overview'!O103="?"),1,0)</f>
        <v>0</v>
      </c>
      <c r="N106" s="217">
        <f>IF(OR($A106="",'Project Overview'!P103="", 'Project Overview'!P103="?"),1,0)</f>
        <v>0</v>
      </c>
      <c r="O106" s="217">
        <f t="shared" si="21"/>
        <v>0</v>
      </c>
      <c r="P106" s="217" t="str">
        <f t="shared" si="20"/>
        <v>OK</v>
      </c>
    </row>
    <row r="107" spans="1:16" ht="28.8" hidden="1" x14ac:dyDescent="0.3">
      <c r="A107" s="217" t="str">
        <f>""&amp;'Project Overview'!A104</f>
        <v>98</v>
      </c>
      <c r="B107" s="218" t="str">
        <f>'Project Overview'!B104</f>
        <v>FC Alverca - Centro de Formação</v>
      </c>
      <c r="C107" s="218" t="str">
        <f>'Project Overview'!C104</f>
        <v>Futebol Clube De Alverca - Futebol, Sad</v>
      </c>
      <c r="D107" s="221" t="str">
        <f>'Project Overview'!R104</f>
        <v>ACTIVE</v>
      </c>
      <c r="E107" s="221" t="str">
        <f ca="1">'Project Overview'!Y104</f>
        <v>yes</v>
      </c>
      <c r="F107" s="217">
        <f t="shared" si="32"/>
        <v>0</v>
      </c>
      <c r="G107" s="217">
        <f t="shared" si="33"/>
        <v>0</v>
      </c>
      <c r="H107" s="217">
        <f>IF(AND($A107&lt;&gt;"",'Project Overview'!D104=""),1,0)</f>
        <v>0</v>
      </c>
      <c r="I107" s="217">
        <f>IF(AND($A107&lt;&gt;"",'Project Overview'!F104=""),1,0)</f>
        <v>0</v>
      </c>
      <c r="J107" s="217">
        <f>IF(AND($A107&lt;&gt;"",OR('Project Overview'!I104="ESCO",'Project Overview'!I104="EPC",'Project Overview'!I104="ESCO BUYOUT"),'Project Overview'!K104=""),1,0)</f>
        <v>0</v>
      </c>
      <c r="K107" s="217">
        <f>IF(AND($A107&lt;&gt;"",'Project Overview'!M104=""),1,0)</f>
        <v>0</v>
      </c>
      <c r="L107" s="217">
        <f>IF(AND($A107&lt;&gt;"",'Project Overview'!U104=""),1,0)</f>
        <v>0</v>
      </c>
      <c r="M107" s="217">
        <f>IF(OR($A107="",'Project Overview'!O104="",'Project Overview'!O104="?"),1,0)</f>
        <v>0</v>
      </c>
      <c r="N107" s="217">
        <f>IF(OR($A107="",'Project Overview'!P104="", 'Project Overview'!P104="?"),1,0)</f>
        <v>0</v>
      </c>
      <c r="O107" s="217">
        <f t="shared" si="21"/>
        <v>0</v>
      </c>
      <c r="P107" s="217" t="str">
        <f t="shared" si="20"/>
        <v>OK</v>
      </c>
    </row>
    <row r="108" spans="1:16" ht="28.8" hidden="1" x14ac:dyDescent="0.3">
      <c r="A108" s="217" t="str">
        <f>""&amp;'Project Overview'!A105</f>
        <v>99</v>
      </c>
      <c r="B108" s="218" t="str">
        <f>'Project Overview'!B105</f>
        <v>Textil do Marco (expansão)</v>
      </c>
      <c r="C108" s="218" t="str">
        <f>'Project Overview'!C105</f>
        <v>Textil Do Marco S.A.</v>
      </c>
      <c r="D108" s="221" t="str">
        <f>'Project Overview'!R105</f>
        <v>ACTIVE</v>
      </c>
      <c r="E108" s="221" t="str">
        <f ca="1">'Project Overview'!Y105</f>
        <v>no</v>
      </c>
      <c r="F108" s="217">
        <f t="shared" si="22"/>
        <v>0</v>
      </c>
      <c r="G108" s="217">
        <f t="shared" si="23"/>
        <v>0</v>
      </c>
      <c r="H108" s="217">
        <f>IF(AND($A108&lt;&gt;"",'Project Overview'!D105=""),1,0)</f>
        <v>0</v>
      </c>
      <c r="I108" s="217">
        <f>IF(AND($A108&lt;&gt;"",'Project Overview'!F105=""),1,0)</f>
        <v>0</v>
      </c>
      <c r="J108" s="217">
        <f>IF(AND($A108&lt;&gt;"",OR('Project Overview'!I105="ESCO",'Project Overview'!I105="EPC",'Project Overview'!I105="ESCO BUYOUT"),'Project Overview'!K105=""),1,0)</f>
        <v>0</v>
      </c>
      <c r="K108" s="217">
        <f>IF(AND($A108&lt;&gt;"",'Project Overview'!M105=""),1,0)</f>
        <v>0</v>
      </c>
      <c r="L108" s="217">
        <f>IF(AND($A108&lt;&gt;"",'Project Overview'!U105=""),1,0)</f>
        <v>0</v>
      </c>
      <c r="M108" s="217">
        <f>IF(OR($A108="",'Project Overview'!O105="",'Project Overview'!O105="?"),1,0)</f>
        <v>0</v>
      </c>
      <c r="N108" s="217">
        <f>IF(OR($A108="",'Project Overview'!P105="", 'Project Overview'!P105="?"),1,0)</f>
        <v>0</v>
      </c>
      <c r="O108" s="217">
        <f t="shared" si="21"/>
        <v>0</v>
      </c>
      <c r="P108" s="217" t="str">
        <f t="shared" si="20"/>
        <v>OK</v>
      </c>
    </row>
    <row r="109" spans="1:16" hidden="1" x14ac:dyDescent="0.3">
      <c r="A109" s="217" t="str">
        <f>""&amp;'Project Overview'!A106</f>
        <v>100</v>
      </c>
      <c r="B109" s="218" t="str">
        <f>'Project Overview'!B106</f>
        <v>Motassis (EPC)</v>
      </c>
      <c r="C109" s="218" t="str">
        <f>'Project Overview'!C106</f>
        <v>Motassis - Plásticos S.A.</v>
      </c>
      <c r="D109" s="221" t="str">
        <f>'Project Overview'!R106</f>
        <v>ACTIVE</v>
      </c>
      <c r="E109" s="221" t="str">
        <f ca="1">'Project Overview'!Y106</f>
        <v>no</v>
      </c>
      <c r="F109" s="217">
        <f t="shared" si="22"/>
        <v>0</v>
      </c>
      <c r="G109" s="217">
        <f t="shared" si="23"/>
        <v>0</v>
      </c>
      <c r="H109" s="217">
        <f>IF(AND($A109&lt;&gt;"",'Project Overview'!D106=""),1,0)</f>
        <v>0</v>
      </c>
      <c r="I109" s="217">
        <f>IF(AND($A109&lt;&gt;"",'Project Overview'!F106=""),1,0)</f>
        <v>0</v>
      </c>
      <c r="J109" s="217">
        <f>IF(AND($A109&lt;&gt;"",OR('Project Overview'!I106="ESCO",'Project Overview'!I106="EPC",'Project Overview'!I106="ESCO BUYOUT"),'Project Overview'!K106=""),1,0)</f>
        <v>0</v>
      </c>
      <c r="K109" s="217">
        <f>IF(AND($A109&lt;&gt;"",'Project Overview'!M106=""),1,0)</f>
        <v>0</v>
      </c>
      <c r="L109" s="217">
        <f>IF(AND($A109&lt;&gt;"",'Project Overview'!U106=""),1,0)</f>
        <v>1</v>
      </c>
      <c r="M109" s="217">
        <f>IF(OR($A109="",'Project Overview'!O106="",'Project Overview'!O106="?"),1,0)</f>
        <v>0</v>
      </c>
      <c r="N109" s="217">
        <f>IF(OR($A109="",'Project Overview'!P106="", 'Project Overview'!P106="?"),1,0)</f>
        <v>0</v>
      </c>
      <c r="O109" s="217">
        <f t="shared" si="21"/>
        <v>1</v>
      </c>
      <c r="P109" s="217" t="str">
        <f t="shared" si="20"/>
        <v>REVER</v>
      </c>
    </row>
    <row r="110" spans="1:16" ht="28.8" hidden="1" x14ac:dyDescent="0.3">
      <c r="A110" s="217" t="str">
        <f>""&amp;'Project Overview'!A107</f>
        <v>101</v>
      </c>
      <c r="B110" s="218" t="str">
        <f>'Project Overview'!B107</f>
        <v>Fábricas Lusitana (EPC)</v>
      </c>
      <c r="C110" s="218" t="str">
        <f>'Project Overview'!C107</f>
        <v>Fabricas Lusitana-Produtos Alimentares S.A.</v>
      </c>
      <c r="D110" s="221" t="str">
        <f>'Project Overview'!R107</f>
        <v>ACTIVE</v>
      </c>
      <c r="E110" s="221" t="str">
        <f ca="1">'Project Overview'!Y107</f>
        <v>no</v>
      </c>
      <c r="F110" s="217">
        <f t="shared" si="22"/>
        <v>0</v>
      </c>
      <c r="G110" s="217">
        <f t="shared" si="23"/>
        <v>0</v>
      </c>
      <c r="H110" s="217">
        <f>IF(AND($A110&lt;&gt;"",'Project Overview'!D107=""),1,0)</f>
        <v>0</v>
      </c>
      <c r="I110" s="217">
        <f>IF(AND($A110&lt;&gt;"",'Project Overview'!F107=""),1,0)</f>
        <v>0</v>
      </c>
      <c r="J110" s="217">
        <f>IF(AND($A110&lt;&gt;"",OR('Project Overview'!I107="ESCO",'Project Overview'!I107="EPC",'Project Overview'!I107="ESCO BUYOUT"),'Project Overview'!K107=""),1,0)</f>
        <v>0</v>
      </c>
      <c r="K110" s="217">
        <f>IF(AND($A110&lt;&gt;"",'Project Overview'!M107=""),1,0)</f>
        <v>0</v>
      </c>
      <c r="L110" s="217">
        <f>IF(AND($A110&lt;&gt;"",'Project Overview'!U107=""),1,0)</f>
        <v>0</v>
      </c>
      <c r="M110" s="217">
        <f>IF(OR($A110="",'Project Overview'!O107="",'Project Overview'!O107="?"),1,0)</f>
        <v>0</v>
      </c>
      <c r="N110" s="217">
        <f>IF(OR($A110="",'Project Overview'!P107="", 'Project Overview'!P107="?"),1,0)</f>
        <v>0</v>
      </c>
      <c r="O110" s="217">
        <f t="shared" si="21"/>
        <v>0</v>
      </c>
      <c r="P110" s="217" t="str">
        <f t="shared" si="20"/>
        <v>OK</v>
      </c>
    </row>
    <row r="111" spans="1:16" hidden="1" x14ac:dyDescent="0.3">
      <c r="A111" s="217" t="str">
        <f>""&amp;'Project Overview'!A108</f>
        <v>102</v>
      </c>
      <c r="B111" s="218" t="str">
        <f>'Project Overview'!B108</f>
        <v>Pinkplate</v>
      </c>
      <c r="C111" s="218" t="str">
        <f>'Project Overview'!C108</f>
        <v>Pinkplate Impressão, S.A.</v>
      </c>
      <c r="D111" s="221" t="str">
        <f>'Project Overview'!R108</f>
        <v>ACTIVE</v>
      </c>
      <c r="E111" s="221" t="str">
        <f ca="1">'Project Overview'!Y108</f>
        <v>no</v>
      </c>
      <c r="F111" s="217">
        <f t="shared" si="22"/>
        <v>0</v>
      </c>
      <c r="G111" s="217">
        <f t="shared" si="23"/>
        <v>0</v>
      </c>
      <c r="H111" s="217">
        <f>IF(AND($A111&lt;&gt;"",'Project Overview'!D108=""),1,0)</f>
        <v>0</v>
      </c>
      <c r="I111" s="217">
        <f>IF(AND($A111&lt;&gt;"",'Project Overview'!F108=""),1,0)</f>
        <v>0</v>
      </c>
      <c r="J111" s="217">
        <f>IF(AND($A111&lt;&gt;"",OR('Project Overview'!I108="ESCO",'Project Overview'!I108="EPC",'Project Overview'!I108="ESCO BUYOUT"),'Project Overview'!K108=""),1,0)</f>
        <v>0</v>
      </c>
      <c r="K111" s="217">
        <f>IF(AND($A111&lt;&gt;"",'Project Overview'!M108=""),1,0)</f>
        <v>0</v>
      </c>
      <c r="L111" s="217">
        <f>IF(AND($A111&lt;&gt;"",'Project Overview'!U108=""),1,0)</f>
        <v>0</v>
      </c>
      <c r="M111" s="217">
        <f>IF(OR($A111="",'Project Overview'!O108="",'Project Overview'!O108="?"),1,0)</f>
        <v>0</v>
      </c>
      <c r="N111" s="217">
        <f>IF(OR($A111="",'Project Overview'!P108="", 'Project Overview'!P108="?"),1,0)</f>
        <v>0</v>
      </c>
      <c r="O111" s="217">
        <f t="shared" si="21"/>
        <v>0</v>
      </c>
      <c r="P111" s="217" t="str">
        <f t="shared" si="20"/>
        <v>OK</v>
      </c>
    </row>
    <row r="112" spans="1:16" ht="28.8" hidden="1" x14ac:dyDescent="0.3">
      <c r="A112" s="217" t="str">
        <f>""&amp;'Project Overview'!A109</f>
        <v>103</v>
      </c>
      <c r="B112" s="218" t="str">
        <f>'Project Overview'!B109</f>
        <v>AGA (EPC)</v>
      </c>
      <c r="C112" s="218" t="str">
        <f>'Project Overview'!C109</f>
        <v>AGA - Álcool E Géneros Alimentares S.A.</v>
      </c>
      <c r="D112" s="221" t="str">
        <f>'Project Overview'!R109</f>
        <v>ACTIVE</v>
      </c>
      <c r="E112" s="221" t="str">
        <f ca="1">'Project Overview'!Y109</f>
        <v>no</v>
      </c>
      <c r="F112" s="217">
        <f t="shared" si="22"/>
        <v>0</v>
      </c>
      <c r="G112" s="217">
        <f t="shared" si="23"/>
        <v>0</v>
      </c>
      <c r="H112" s="217">
        <f>IF(AND($A112&lt;&gt;"",'Project Overview'!D109=""),1,0)</f>
        <v>0</v>
      </c>
      <c r="I112" s="217">
        <f>IF(AND($A112&lt;&gt;"",'Project Overview'!F109=""),1,0)</f>
        <v>0</v>
      </c>
      <c r="J112" s="217">
        <f>IF(AND($A112&lt;&gt;"",OR('Project Overview'!I109="ESCO",'Project Overview'!I109="EPC",'Project Overview'!I109="ESCO BUYOUT"),'Project Overview'!K109=""),1,0)</f>
        <v>0</v>
      </c>
      <c r="K112" s="217">
        <f>IF(AND($A112&lt;&gt;"",'Project Overview'!M109=""),1,0)</f>
        <v>0</v>
      </c>
      <c r="L112" s="217">
        <f>IF(AND($A112&lt;&gt;"",'Project Overview'!U109=""),1,0)</f>
        <v>0</v>
      </c>
      <c r="M112" s="217">
        <f>IF(OR($A112="",'Project Overview'!O109="",'Project Overview'!O109="?"),1,0)</f>
        <v>0</v>
      </c>
      <c r="N112" s="217">
        <f>IF(OR($A112="",'Project Overview'!P109="", 'Project Overview'!P109="?"),1,0)</f>
        <v>0</v>
      </c>
      <c r="O112" s="217">
        <f t="shared" si="21"/>
        <v>0</v>
      </c>
      <c r="P112" s="217" t="str">
        <f t="shared" si="20"/>
        <v>OK</v>
      </c>
    </row>
    <row r="113" spans="1:16" ht="28.8" hidden="1" x14ac:dyDescent="0.3">
      <c r="A113" s="217" t="str">
        <f>""&amp;'Project Overview'!A110</f>
        <v>104</v>
      </c>
      <c r="B113" s="218" t="str">
        <f>'Project Overview'!B110</f>
        <v>Fravizel (EPC)</v>
      </c>
      <c r="C113" s="218" t="str">
        <f>'Project Overview'!C110</f>
        <v>Fravizel - Equipamentos Metalomecânicos, S.A.</v>
      </c>
      <c r="D113" s="221" t="str">
        <f>'Project Overview'!R110</f>
        <v>ACTIVE</v>
      </c>
      <c r="E113" s="221" t="str">
        <f ca="1">'Project Overview'!Y110</f>
        <v>no</v>
      </c>
      <c r="F113" s="217">
        <f t="shared" si="22"/>
        <v>0</v>
      </c>
      <c r="G113" s="217">
        <f t="shared" si="23"/>
        <v>0</v>
      </c>
      <c r="H113" s="217">
        <f>IF(AND($A113&lt;&gt;"",'Project Overview'!D110=""),1,0)</f>
        <v>0</v>
      </c>
      <c r="I113" s="217">
        <f>IF(AND($A113&lt;&gt;"",'Project Overview'!F110=""),1,0)</f>
        <v>0</v>
      </c>
      <c r="J113" s="217">
        <f>IF(AND($A113&lt;&gt;"",OR('Project Overview'!I110="ESCO",'Project Overview'!I110="EPC",'Project Overview'!I110="ESCO BUYOUT"),'Project Overview'!K110=""),1,0)</f>
        <v>0</v>
      </c>
      <c r="K113" s="217">
        <f>IF(AND($A113&lt;&gt;"",'Project Overview'!M110=""),1,0)</f>
        <v>0</v>
      </c>
      <c r="L113" s="217">
        <f>IF(AND($A113&lt;&gt;"",'Project Overview'!U110=""),1,0)</f>
        <v>1</v>
      </c>
      <c r="M113" s="217">
        <f>IF(OR($A113="",'Project Overview'!O110="",'Project Overview'!O110="?"),1,0)</f>
        <v>0</v>
      </c>
      <c r="N113" s="217">
        <f>IF(OR($A113="",'Project Overview'!P110="", 'Project Overview'!P110="?"),1,0)</f>
        <v>0</v>
      </c>
      <c r="O113" s="217">
        <f t="shared" si="21"/>
        <v>1</v>
      </c>
      <c r="P113" s="217" t="str">
        <f t="shared" si="20"/>
        <v>REVER</v>
      </c>
    </row>
    <row r="114" spans="1:16" ht="57.6" hidden="1" x14ac:dyDescent="0.3">
      <c r="A114" s="217" t="str">
        <f>""&amp;'Project Overview'!A111</f>
        <v>105</v>
      </c>
      <c r="B114" s="218" t="str">
        <f>'Project Overview'!B111</f>
        <v>APPACDM da Maia</v>
      </c>
      <c r="C114" s="218" t="str">
        <f>'Project Overview'!C111</f>
        <v>Appacdm Da Maia - Associação Portuguesa De Pais E Amigos Do Cidadão Deficiente Mental</v>
      </c>
      <c r="D114" s="221" t="str">
        <f>'Project Overview'!R111</f>
        <v>ACTIVE</v>
      </c>
      <c r="E114" s="221" t="str">
        <f ca="1">'Project Overview'!Y111</f>
        <v>no</v>
      </c>
      <c r="F114" s="217">
        <f t="shared" si="22"/>
        <v>0</v>
      </c>
      <c r="G114" s="217">
        <f t="shared" si="23"/>
        <v>0</v>
      </c>
      <c r="H114" s="217">
        <f>IF(AND($A114&lt;&gt;"",'Project Overview'!D111=""),1,0)</f>
        <v>0</v>
      </c>
      <c r="I114" s="217">
        <f>IF(AND($A114&lt;&gt;"",'Project Overview'!F111=""),1,0)</f>
        <v>0</v>
      </c>
      <c r="J114" s="217">
        <f>IF(AND($A114&lt;&gt;"",OR('Project Overview'!I111="ESCO",'Project Overview'!I111="EPC",'Project Overview'!I111="ESCO BUYOUT"),'Project Overview'!K111=""),1,0)</f>
        <v>0</v>
      </c>
      <c r="K114" s="217">
        <f>IF(AND($A114&lt;&gt;"",'Project Overview'!M111=""),1,0)</f>
        <v>0</v>
      </c>
      <c r="L114" s="217">
        <f>IF(AND($A114&lt;&gt;"",'Project Overview'!U111=""),1,0)</f>
        <v>0</v>
      </c>
      <c r="M114" s="217">
        <f>IF(OR($A114="",'Project Overview'!O111="",'Project Overview'!O111="?"),1,0)</f>
        <v>0</v>
      </c>
      <c r="N114" s="217">
        <f>IF(OR($A114="",'Project Overview'!P111="", 'Project Overview'!P111="?"),1,0)</f>
        <v>0</v>
      </c>
      <c r="O114" s="217">
        <f t="shared" si="21"/>
        <v>0</v>
      </c>
      <c r="P114" s="217" t="str">
        <f t="shared" si="20"/>
        <v>OK</v>
      </c>
    </row>
    <row r="115" spans="1:16" hidden="1" x14ac:dyDescent="0.3">
      <c r="A115" s="217" t="str">
        <f>""&amp;'Project Overview'!A112</f>
        <v>106</v>
      </c>
      <c r="B115" s="218" t="str">
        <f>'Project Overview'!B112</f>
        <v>Fundação Irene Rolo</v>
      </c>
      <c r="C115" s="218" t="str">
        <f>'Project Overview'!C112</f>
        <v>Fundação Irene Rolo</v>
      </c>
      <c r="D115" s="221" t="str">
        <f>'Project Overview'!R112</f>
        <v>ACTIVE</v>
      </c>
      <c r="E115" s="221" t="str">
        <f ca="1">'Project Overview'!Y112</f>
        <v>yes</v>
      </c>
      <c r="F115" s="217">
        <f t="shared" ref="F115:F117" si="34">IF(OR($A115="",$B115=""),1,0)</f>
        <v>0</v>
      </c>
      <c r="G115" s="217">
        <f t="shared" ref="G115:G117" si="35">IF($C115="",1,0)</f>
        <v>0</v>
      </c>
      <c r="H115" s="217">
        <f>IF(AND($A115&lt;&gt;"",'Project Overview'!D112=""),1,0)</f>
        <v>0</v>
      </c>
      <c r="I115" s="217">
        <f>IF(AND($A115&lt;&gt;"",'Project Overview'!F112=""),1,0)</f>
        <v>0</v>
      </c>
      <c r="J115" s="217">
        <f>IF(AND($A115&lt;&gt;"",OR('Project Overview'!I112="ESCO",'Project Overview'!I112="EPC",'Project Overview'!I112="ESCO BUYOUT"),'Project Overview'!K112=""),1,0)</f>
        <v>0</v>
      </c>
      <c r="K115" s="217">
        <f>IF(AND($A115&lt;&gt;"",'Project Overview'!M112=""),1,0)</f>
        <v>0</v>
      </c>
      <c r="L115" s="217">
        <f>IF(AND($A115&lt;&gt;"",'Project Overview'!U112=""),1,0)</f>
        <v>0</v>
      </c>
      <c r="M115" s="217">
        <f>IF(OR($A115="",'Project Overview'!O112="",'Project Overview'!O112="?"),1,0)</f>
        <v>0</v>
      </c>
      <c r="N115" s="217">
        <f>IF(OR($A115="",'Project Overview'!P112="", 'Project Overview'!P112="?"),1,0)</f>
        <v>0</v>
      </c>
      <c r="O115" s="217">
        <f t="shared" si="21"/>
        <v>0</v>
      </c>
      <c r="P115" s="217" t="str">
        <f t="shared" si="20"/>
        <v>OK</v>
      </c>
    </row>
    <row r="116" spans="1:16" ht="28.8" hidden="1" x14ac:dyDescent="0.3">
      <c r="A116" s="217" t="str">
        <f>""&amp;'Project Overview'!A113</f>
        <v>107</v>
      </c>
      <c r="B116" s="218" t="str">
        <f>'Project Overview'!B113</f>
        <v>Pontual (EPC)</v>
      </c>
      <c r="C116" s="218" t="str">
        <f>'Project Overview'!C113</f>
        <v>José Oliveira Moura Costa &amp; Ca Lda</v>
      </c>
      <c r="D116" s="221" t="str">
        <f>'Project Overview'!R113</f>
        <v>ACTIVE</v>
      </c>
      <c r="E116" s="221" t="str">
        <f ca="1">'Project Overview'!Y113</f>
        <v>yes</v>
      </c>
      <c r="F116" s="217">
        <f t="shared" si="34"/>
        <v>0</v>
      </c>
      <c r="G116" s="217">
        <f t="shared" si="35"/>
        <v>0</v>
      </c>
      <c r="H116" s="217">
        <f>IF(AND($A116&lt;&gt;"",'Project Overview'!D113=""),1,0)</f>
        <v>0</v>
      </c>
      <c r="I116" s="217">
        <f>IF(AND($A116&lt;&gt;"",'Project Overview'!F113=""),1,0)</f>
        <v>0</v>
      </c>
      <c r="J116" s="217">
        <f>IF(AND($A116&lt;&gt;"",OR('Project Overview'!I113="ESCO",'Project Overview'!I113="EPC",'Project Overview'!I113="ESCO BUYOUT"),'Project Overview'!K113=""),1,0)</f>
        <v>0</v>
      </c>
      <c r="K116" s="217">
        <f>IF(AND($A116&lt;&gt;"",'Project Overview'!M113=""),1,0)</f>
        <v>0</v>
      </c>
      <c r="L116" s="217">
        <f>IF(AND($A116&lt;&gt;"",'Project Overview'!U113=""),1,0)</f>
        <v>0</v>
      </c>
      <c r="M116" s="217">
        <f>IF(OR($A116="",'Project Overview'!O113="",'Project Overview'!O113="?"),1,0)</f>
        <v>0</v>
      </c>
      <c r="N116" s="217">
        <f>IF(OR($A116="",'Project Overview'!P113="", 'Project Overview'!P113="?"),1,0)</f>
        <v>0</v>
      </c>
      <c r="O116" s="217">
        <f t="shared" si="21"/>
        <v>0</v>
      </c>
      <c r="P116" s="217" t="str">
        <f t="shared" si="20"/>
        <v>OK</v>
      </c>
    </row>
    <row r="117" spans="1:16" ht="28.8" hidden="1" x14ac:dyDescent="0.3">
      <c r="A117" s="217" t="str">
        <f>""&amp;'Project Overview'!A114</f>
        <v>108</v>
      </c>
      <c r="B117" s="218" t="str">
        <f>'Project Overview'!B114</f>
        <v>Neutripuro</v>
      </c>
      <c r="C117" s="218" t="str">
        <f>'Project Overview'!C114</f>
        <v>Neutripuro - Lavagens Industriais , Lda</v>
      </c>
      <c r="D117" s="221" t="str">
        <f>'Project Overview'!R114</f>
        <v>ACTIVE</v>
      </c>
      <c r="E117" s="221" t="str">
        <f ca="1">'Project Overview'!Y114</f>
        <v>yes</v>
      </c>
      <c r="F117" s="217">
        <f t="shared" si="34"/>
        <v>0</v>
      </c>
      <c r="G117" s="217">
        <f t="shared" si="35"/>
        <v>0</v>
      </c>
      <c r="H117" s="217">
        <f>IF(AND($A117&lt;&gt;"",'Project Overview'!D114=""),1,0)</f>
        <v>0</v>
      </c>
      <c r="I117" s="217">
        <f>IF(AND($A117&lt;&gt;"",'Project Overview'!F114=""),1,0)</f>
        <v>0</v>
      </c>
      <c r="J117" s="217">
        <f>IF(AND($A117&lt;&gt;"",OR('Project Overview'!I114="ESCO",'Project Overview'!I114="EPC",'Project Overview'!I114="ESCO BUYOUT"),'Project Overview'!K114=""),1,0)</f>
        <v>0</v>
      </c>
      <c r="K117" s="217">
        <f>IF(AND($A117&lt;&gt;"",'Project Overview'!M114=""),1,0)</f>
        <v>0</v>
      </c>
      <c r="L117" s="217">
        <f>IF(AND($A117&lt;&gt;"",'Project Overview'!U114=""),1,0)</f>
        <v>0</v>
      </c>
      <c r="M117" s="217">
        <f>IF(OR($A117="",'Project Overview'!O114="",'Project Overview'!O114="?"),1,0)</f>
        <v>0</v>
      </c>
      <c r="N117" s="217">
        <f>IF(OR($A117="",'Project Overview'!P114="", 'Project Overview'!P114="?"),1,0)</f>
        <v>0</v>
      </c>
      <c r="O117" s="217">
        <f t="shared" si="21"/>
        <v>0</v>
      </c>
      <c r="P117" s="217" t="str">
        <f t="shared" si="20"/>
        <v>OK</v>
      </c>
    </row>
    <row r="118" spans="1:16" ht="57.6" hidden="1" x14ac:dyDescent="0.3">
      <c r="A118" s="217" t="str">
        <f>""&amp;'Project Overview'!A115</f>
        <v>109</v>
      </c>
      <c r="B118" s="218" t="str">
        <f>'Project Overview'!B115</f>
        <v>Alto dos Moinhos Lote 11</v>
      </c>
      <c r="C118" s="218" t="str">
        <f>'Project Overview'!C115</f>
        <v>Condomínio Do Prédio Sito Na Rua Cidade Rabat Nº 54-A, 54, 54-B, 56-A, 56, 56-B 56-C</v>
      </c>
      <c r="D118" s="221" t="str">
        <f>'Project Overview'!R115</f>
        <v>ACTIVE</v>
      </c>
      <c r="E118" s="221" t="str">
        <f ca="1">'Project Overview'!Y115</f>
        <v>no</v>
      </c>
      <c r="F118" s="217">
        <f t="shared" si="22"/>
        <v>0</v>
      </c>
      <c r="G118" s="217">
        <f t="shared" si="23"/>
        <v>0</v>
      </c>
      <c r="H118" s="217">
        <f>IF(AND($A118&lt;&gt;"",'Project Overview'!D115=""),1,0)</f>
        <v>0</v>
      </c>
      <c r="I118" s="217">
        <f>IF(AND($A118&lt;&gt;"",'Project Overview'!F115=""),1,0)</f>
        <v>0</v>
      </c>
      <c r="J118" s="217">
        <f>IF(AND($A118&lt;&gt;"",OR('Project Overview'!I115="ESCO",'Project Overview'!I115="EPC",'Project Overview'!I115="ESCO BUYOUT"),'Project Overview'!K115=""),1,0)</f>
        <v>0</v>
      </c>
      <c r="K118" s="217">
        <f>IF(AND($A118&lt;&gt;"",'Project Overview'!M115=""),1,0)</f>
        <v>0</v>
      </c>
      <c r="L118" s="217">
        <f>IF(AND($A118&lt;&gt;"",'Project Overview'!U115=""),1,0)</f>
        <v>0</v>
      </c>
      <c r="M118" s="217">
        <f>IF(OR($A118="",'Project Overview'!O115="",'Project Overview'!O115="?"),1,0)</f>
        <v>0</v>
      </c>
      <c r="N118" s="217">
        <f>IF(OR($A118="",'Project Overview'!P115="", 'Project Overview'!P115="?"),1,0)</f>
        <v>0</v>
      </c>
      <c r="O118" s="217">
        <f t="shared" si="21"/>
        <v>0</v>
      </c>
      <c r="P118" s="217" t="str">
        <f t="shared" si="20"/>
        <v>OK</v>
      </c>
    </row>
    <row r="119" spans="1:16" ht="28.8" hidden="1" x14ac:dyDescent="0.3">
      <c r="A119" s="217" t="str">
        <f>""&amp;'Project Overview'!A116</f>
        <v>110</v>
      </c>
      <c r="B119" s="218" t="str">
        <f>'Project Overview'!B116</f>
        <v>CascavelSecar (EPC subcontratado)</v>
      </c>
      <c r="C119" s="218" t="str">
        <f>'Project Overview'!C116</f>
        <v>Sociedade Agrícola Do Cascavel, Lda</v>
      </c>
      <c r="D119" s="221" t="str">
        <f>'Project Overview'!R116</f>
        <v>ACTIVE</v>
      </c>
      <c r="E119" s="221" t="str">
        <f ca="1">'Project Overview'!Y116</f>
        <v>no</v>
      </c>
      <c r="F119" s="217">
        <f t="shared" si="22"/>
        <v>0</v>
      </c>
      <c r="G119" s="217">
        <f t="shared" si="23"/>
        <v>0</v>
      </c>
      <c r="H119" s="217">
        <f>IF(AND($A119&lt;&gt;"",'Project Overview'!D116=""),1,0)</f>
        <v>0</v>
      </c>
      <c r="I119" s="217">
        <f>IF(AND($A119&lt;&gt;"",'Project Overview'!F116=""),1,0)</f>
        <v>0</v>
      </c>
      <c r="J119" s="217">
        <f>IF(AND($A119&lt;&gt;"",OR('Project Overview'!I116="ESCO",'Project Overview'!I116="EPC",'Project Overview'!I116="ESCO BUYOUT"),'Project Overview'!K116=""),1,0)</f>
        <v>0</v>
      </c>
      <c r="K119" s="217">
        <f>IF(AND($A119&lt;&gt;"",'Project Overview'!M116=""),1,0)</f>
        <v>0</v>
      </c>
      <c r="L119" s="217">
        <f>IF(AND($A119&lt;&gt;"",'Project Overview'!U116=""),1,0)</f>
        <v>1</v>
      </c>
      <c r="M119" s="217">
        <f>IF(OR($A119="",'Project Overview'!O116="",'Project Overview'!O116="?"),1,0)</f>
        <v>0</v>
      </c>
      <c r="N119" s="217">
        <f>IF(OR($A119="",'Project Overview'!P116="", 'Project Overview'!P116="?"),1,0)</f>
        <v>0</v>
      </c>
      <c r="O119" s="217">
        <f t="shared" si="21"/>
        <v>1</v>
      </c>
      <c r="P119" s="217" t="str">
        <f t="shared" si="20"/>
        <v>REVER</v>
      </c>
    </row>
    <row r="120" spans="1:16" ht="43.2" hidden="1" x14ac:dyDescent="0.3">
      <c r="A120" s="217" t="str">
        <f>""&amp;'Project Overview'!A117</f>
        <v>111</v>
      </c>
      <c r="B120" s="218" t="str">
        <f>'Project Overview'!B117</f>
        <v>Justino Alexandre Sardinha (EPC)</v>
      </c>
      <c r="C120" s="218" t="str">
        <f>'Project Overview'!C117</f>
        <v>Atlantic House - Compra, Venda E Arrendamento De Imóveis, Lda</v>
      </c>
      <c r="D120" s="221" t="str">
        <f>'Project Overview'!R117</f>
        <v>ACTIVE</v>
      </c>
      <c r="E120" s="221" t="str">
        <f ca="1">'Project Overview'!Y117</f>
        <v>no</v>
      </c>
      <c r="F120" s="217">
        <f t="shared" si="22"/>
        <v>0</v>
      </c>
      <c r="G120" s="217">
        <f t="shared" si="23"/>
        <v>0</v>
      </c>
      <c r="H120" s="217">
        <f>IF(AND($A120&lt;&gt;"",'Project Overview'!D117=""),1,0)</f>
        <v>0</v>
      </c>
      <c r="I120" s="217">
        <f>IF(AND($A120&lt;&gt;"",'Project Overview'!F117=""),1,0)</f>
        <v>0</v>
      </c>
      <c r="J120" s="217">
        <f>IF(AND($A120&lt;&gt;"",OR('Project Overview'!I117="ESCO",'Project Overview'!I117="EPC",'Project Overview'!I117="ESCO BUYOUT"),'Project Overview'!K117=""),1,0)</f>
        <v>0</v>
      </c>
      <c r="K120" s="217">
        <f>IF(AND($A120&lt;&gt;"",'Project Overview'!M117=""),1,0)</f>
        <v>0</v>
      </c>
      <c r="L120" s="217">
        <f>IF(AND($A120&lt;&gt;"",'Project Overview'!U117=""),1,0)</f>
        <v>1</v>
      </c>
      <c r="M120" s="217">
        <f>IF(OR($A120="",'Project Overview'!O117="",'Project Overview'!O117="?"),1,0)</f>
        <v>0</v>
      </c>
      <c r="N120" s="217">
        <f>IF(OR($A120="",'Project Overview'!P117="", 'Project Overview'!P117="?"),1,0)</f>
        <v>0</v>
      </c>
      <c r="O120" s="217">
        <f t="shared" si="21"/>
        <v>1</v>
      </c>
      <c r="P120" s="217" t="str">
        <f t="shared" si="20"/>
        <v>REVER</v>
      </c>
    </row>
    <row r="121" spans="1:16" ht="28.8" hidden="1" x14ac:dyDescent="0.3">
      <c r="A121" s="217" t="str">
        <f>""&amp;'Project Overview'!A118</f>
        <v>112</v>
      </c>
      <c r="B121" s="218" t="str">
        <f>'Project Overview'!B118</f>
        <v>SCM Abrantes (EPC)</v>
      </c>
      <c r="C121" s="218" t="str">
        <f>'Project Overview'!C118</f>
        <v>Santa Casa Da Misericordia De Abrantes</v>
      </c>
      <c r="D121" s="221" t="str">
        <f>'Project Overview'!R118</f>
        <v>ACTIVE</v>
      </c>
      <c r="E121" s="221" t="str">
        <f ca="1">'Project Overview'!Y118</f>
        <v>no</v>
      </c>
      <c r="F121" s="217">
        <f t="shared" si="22"/>
        <v>0</v>
      </c>
      <c r="G121" s="217">
        <f t="shared" si="23"/>
        <v>0</v>
      </c>
      <c r="H121" s="217">
        <f>IF(AND($A121&lt;&gt;"",'Project Overview'!D118=""),1,0)</f>
        <v>0</v>
      </c>
      <c r="I121" s="217">
        <f>IF(AND($A121&lt;&gt;"",'Project Overview'!F118=""),1,0)</f>
        <v>0</v>
      </c>
      <c r="J121" s="217">
        <f>IF(AND($A121&lt;&gt;"",OR('Project Overview'!I118="ESCO",'Project Overview'!I118="EPC",'Project Overview'!I118="ESCO BUYOUT"),'Project Overview'!K118=""),1,0)</f>
        <v>0</v>
      </c>
      <c r="K121" s="217">
        <f>IF(AND($A121&lt;&gt;"",'Project Overview'!M118=""),1,0)</f>
        <v>0</v>
      </c>
      <c r="L121" s="217">
        <f>IF(AND($A121&lt;&gt;"",'Project Overview'!U118=""),1,0)</f>
        <v>1</v>
      </c>
      <c r="M121" s="217">
        <f>IF(OR($A121="",'Project Overview'!O118="",'Project Overview'!O118="?"),1,0)</f>
        <v>0</v>
      </c>
      <c r="N121" s="217">
        <f>IF(OR($A121="",'Project Overview'!P118="", 'Project Overview'!P118="?"),1,0)</f>
        <v>0</v>
      </c>
      <c r="O121" s="217">
        <f t="shared" si="21"/>
        <v>1</v>
      </c>
      <c r="P121" s="217" t="str">
        <f t="shared" si="20"/>
        <v>REVER</v>
      </c>
    </row>
    <row r="122" spans="1:16" ht="28.8" hidden="1" x14ac:dyDescent="0.3">
      <c r="A122" s="217" t="str">
        <f>""&amp;'Project Overview'!A119</f>
        <v>113</v>
      </c>
      <c r="B122" s="218" t="str">
        <f>'Project Overview'!B119</f>
        <v>C.S.P. de Santo António de Lavre (EPC)</v>
      </c>
      <c r="C122" s="218" t="str">
        <f>'Project Overview'!C119</f>
        <v>Centro Social Paroquial De Santo Antonio De Lavre</v>
      </c>
      <c r="D122" s="221" t="str">
        <f>'Project Overview'!R119</f>
        <v>ACTIVE</v>
      </c>
      <c r="E122" s="221" t="str">
        <f ca="1">'Project Overview'!Y119</f>
        <v>no</v>
      </c>
      <c r="F122" s="217">
        <f t="shared" si="22"/>
        <v>0</v>
      </c>
      <c r="G122" s="217">
        <f t="shared" si="23"/>
        <v>0</v>
      </c>
      <c r="H122" s="217">
        <f>IF(AND($A122&lt;&gt;"",'Project Overview'!D119=""),1,0)</f>
        <v>0</v>
      </c>
      <c r="I122" s="217">
        <f>IF(AND($A122&lt;&gt;"",'Project Overview'!F119=""),1,0)</f>
        <v>0</v>
      </c>
      <c r="J122" s="217">
        <f>IF(AND($A122&lt;&gt;"",OR('Project Overview'!I119="ESCO",'Project Overview'!I119="EPC",'Project Overview'!I119="ESCO BUYOUT"),'Project Overview'!K119=""),1,0)</f>
        <v>0</v>
      </c>
      <c r="K122" s="217">
        <f>IF(AND($A122&lt;&gt;"",'Project Overview'!M119=""),1,0)</f>
        <v>0</v>
      </c>
      <c r="L122" s="217">
        <f>IF(AND($A122&lt;&gt;"",'Project Overview'!U119=""),1,0)</f>
        <v>0</v>
      </c>
      <c r="M122" s="217">
        <f>IF(OR($A122="",'Project Overview'!O119="",'Project Overview'!O119="?"),1,0)</f>
        <v>0</v>
      </c>
      <c r="N122" s="217">
        <f>IF(OR($A122="",'Project Overview'!P119="", 'Project Overview'!P119="?"),1,0)</f>
        <v>0</v>
      </c>
      <c r="O122" s="217">
        <f t="shared" si="21"/>
        <v>0</v>
      </c>
      <c r="P122" s="217" t="str">
        <f t="shared" si="20"/>
        <v>OK</v>
      </c>
    </row>
    <row r="123" spans="1:16" ht="43.2" hidden="1" x14ac:dyDescent="0.3">
      <c r="A123" s="217" t="str">
        <f>""&amp;'Project Overview'!A120</f>
        <v>114</v>
      </c>
      <c r="B123" s="218" t="str">
        <f>'Project Overview'!B120</f>
        <v>CRIA Abrantes</v>
      </c>
      <c r="C123" s="218" t="str">
        <f>'Project Overview'!C120</f>
        <v>Cria-Centro De Recuperação E Integração De Abrantes</v>
      </c>
      <c r="D123" s="221" t="str">
        <f>'Project Overview'!R120</f>
        <v>ACTIVE</v>
      </c>
      <c r="E123" s="221" t="str">
        <f ca="1">'Project Overview'!Y120</f>
        <v>no</v>
      </c>
      <c r="F123" s="217">
        <f t="shared" si="22"/>
        <v>0</v>
      </c>
      <c r="G123" s="217">
        <f t="shared" si="23"/>
        <v>0</v>
      </c>
      <c r="H123" s="217">
        <f>IF(AND($A123&lt;&gt;"",'Project Overview'!D120=""),1,0)</f>
        <v>0</v>
      </c>
      <c r="I123" s="217">
        <f>IF(AND($A123&lt;&gt;"",'Project Overview'!F120=""),1,0)</f>
        <v>0</v>
      </c>
      <c r="J123" s="217">
        <f>IF(AND($A123&lt;&gt;"",OR('Project Overview'!I120="ESCO",'Project Overview'!I120="EPC",'Project Overview'!I120="ESCO BUYOUT"),'Project Overview'!K120=""),1,0)</f>
        <v>0</v>
      </c>
      <c r="K123" s="217">
        <f>IF(AND($A123&lt;&gt;"",'Project Overview'!M120=""),1,0)</f>
        <v>0</v>
      </c>
      <c r="L123" s="217">
        <f>IF(AND($A123&lt;&gt;"",'Project Overview'!U120=""),1,0)</f>
        <v>0</v>
      </c>
      <c r="M123" s="217">
        <f>IF(OR($A123="",'Project Overview'!O120="",'Project Overview'!O120="?"),1,0)</f>
        <v>0</v>
      </c>
      <c r="N123" s="217">
        <f>IF(OR($A123="",'Project Overview'!P120="", 'Project Overview'!P120="?"),1,0)</f>
        <v>0</v>
      </c>
      <c r="O123" s="217">
        <f t="shared" si="21"/>
        <v>0</v>
      </c>
      <c r="P123" s="217" t="str">
        <f t="shared" si="20"/>
        <v>OK</v>
      </c>
    </row>
    <row r="124" spans="1:16" ht="28.8" hidden="1" x14ac:dyDescent="0.3">
      <c r="A124" s="217" t="str">
        <f>""&amp;'Project Overview'!A121</f>
        <v>115</v>
      </c>
      <c r="B124" s="218" t="str">
        <f>'Project Overview'!B121</f>
        <v>Herdade Fonte Paredes (EPC)</v>
      </c>
      <c r="C124" s="218" t="str">
        <f>'Project Overview'!C121</f>
        <v>Herdade Fonte Paredes - Sag, Lda</v>
      </c>
      <c r="D124" s="221" t="str">
        <f>'Project Overview'!R121</f>
        <v>ACTIVE</v>
      </c>
      <c r="E124" s="221" t="str">
        <f ca="1">'Project Overview'!Y121</f>
        <v>no</v>
      </c>
      <c r="F124" s="217">
        <f t="shared" si="22"/>
        <v>0</v>
      </c>
      <c r="G124" s="217">
        <f t="shared" si="23"/>
        <v>0</v>
      </c>
      <c r="H124" s="217">
        <f>IF(AND($A124&lt;&gt;"",'Project Overview'!D121=""),1,0)</f>
        <v>0</v>
      </c>
      <c r="I124" s="217">
        <f>IF(AND($A124&lt;&gt;"",'Project Overview'!F121=""),1,0)</f>
        <v>0</v>
      </c>
      <c r="J124" s="217">
        <f>IF(AND($A124&lt;&gt;"",OR('Project Overview'!I121="ESCO",'Project Overview'!I121="EPC",'Project Overview'!I121="ESCO BUYOUT"),'Project Overview'!K121=""),1,0)</f>
        <v>0</v>
      </c>
      <c r="K124" s="217">
        <f>IF(AND($A124&lt;&gt;"",'Project Overview'!M121=""),1,0)</f>
        <v>0</v>
      </c>
      <c r="L124" s="217">
        <f>IF(AND($A124&lt;&gt;"",'Project Overview'!U121=""),1,0)</f>
        <v>1</v>
      </c>
      <c r="M124" s="217">
        <f>IF(OR($A124="",'Project Overview'!O121="",'Project Overview'!O121="?"),1,0)</f>
        <v>0</v>
      </c>
      <c r="N124" s="217">
        <f>IF(OR($A124="",'Project Overview'!P121="", 'Project Overview'!P121="?"),1,0)</f>
        <v>0</v>
      </c>
      <c r="O124" s="217">
        <f t="shared" si="21"/>
        <v>1</v>
      </c>
      <c r="P124" s="217" t="str">
        <f t="shared" si="20"/>
        <v>REVER</v>
      </c>
    </row>
    <row r="125" spans="1:16" ht="28.8" hidden="1" x14ac:dyDescent="0.3">
      <c r="A125" s="217" t="str">
        <f>""&amp;'Project Overview'!A122</f>
        <v>116</v>
      </c>
      <c r="B125" s="218" t="str">
        <f>'Project Overview'!B122</f>
        <v>Centro de Saúde de Pêro Pinheiro (EPC)</v>
      </c>
      <c r="C125" s="218" t="str">
        <f>'Project Overview'!C122</f>
        <v>Centro Social De Pero Pinheiro</v>
      </c>
      <c r="D125" s="221" t="str">
        <f>'Project Overview'!R122</f>
        <v>CANCELLED</v>
      </c>
      <c r="E125" s="221" t="str">
        <f ca="1">'Project Overview'!Y122</f>
        <v>no</v>
      </c>
      <c r="F125" s="217">
        <f t="shared" si="22"/>
        <v>0</v>
      </c>
      <c r="G125" s="217">
        <f t="shared" si="23"/>
        <v>0</v>
      </c>
      <c r="H125" s="217">
        <f>IF(AND($A125&lt;&gt;"",'Project Overview'!D122=""),1,0)</f>
        <v>0</v>
      </c>
      <c r="I125" s="217">
        <f>IF(AND($A125&lt;&gt;"",'Project Overview'!F122=""),1,0)</f>
        <v>1</v>
      </c>
      <c r="J125" s="217">
        <f>IF(AND($A125&lt;&gt;"",OR('Project Overview'!I122="ESCO",'Project Overview'!I122="EPC",'Project Overview'!I122="ESCO BUYOUT"),'Project Overview'!K122=""),1,0)</f>
        <v>1</v>
      </c>
      <c r="K125" s="217">
        <f>IF(AND($A125&lt;&gt;"",'Project Overview'!M122=""),1,0)</f>
        <v>1</v>
      </c>
      <c r="L125" s="217">
        <f>IF(AND($A125&lt;&gt;"",'Project Overview'!U122=""),1,0)</f>
        <v>1</v>
      </c>
      <c r="M125" s="217">
        <f>IF(OR($A125="",'Project Overview'!O122="",'Project Overview'!O122="?"),1,0)</f>
        <v>0</v>
      </c>
      <c r="N125" s="217">
        <f>IF(OR($A125="",'Project Overview'!P122="", 'Project Overview'!P122="?"),1,0)</f>
        <v>0</v>
      </c>
      <c r="O125" s="217">
        <f t="shared" si="21"/>
        <v>4</v>
      </c>
      <c r="P125" s="217" t="str">
        <f t="shared" si="20"/>
        <v>REVER</v>
      </c>
    </row>
    <row r="126" spans="1:16" ht="43.2" hidden="1" x14ac:dyDescent="0.3">
      <c r="A126" s="217" t="str">
        <f>""&amp;'Project Overview'!A123</f>
        <v>118</v>
      </c>
      <c r="B126" s="218" t="str">
        <f>'Project Overview'!B123</f>
        <v>BV Alcoentre</v>
      </c>
      <c r="C126" s="218" t="str">
        <f>'Project Overview'!C123</f>
        <v>Associação Humanitária De Bombeiros Voluntários De Alcoentre</v>
      </c>
      <c r="D126" s="221" t="str">
        <f>'Project Overview'!R123</f>
        <v>ACTIVE</v>
      </c>
      <c r="E126" s="221" t="str">
        <f ca="1">'Project Overview'!Y123</f>
        <v>yes</v>
      </c>
      <c r="F126" s="217">
        <f>IF(OR($A126="",$B126=""),1,0)</f>
        <v>0</v>
      </c>
      <c r="G126" s="217">
        <f>IF($C126="",1,0)</f>
        <v>0</v>
      </c>
      <c r="H126" s="217">
        <f>IF(AND($A126&lt;&gt;"",'Project Overview'!D123=""),1,0)</f>
        <v>0</v>
      </c>
      <c r="I126" s="217">
        <f>IF(AND($A126&lt;&gt;"",'Project Overview'!F123=""),1,0)</f>
        <v>0</v>
      </c>
      <c r="J126" s="217">
        <f>IF(AND($A126&lt;&gt;"",OR('Project Overview'!I123="ESCO",'Project Overview'!I123="EPC",'Project Overview'!I123="ESCO BUYOUT"),'Project Overview'!K123=""),1,0)</f>
        <v>0</v>
      </c>
      <c r="K126" s="217">
        <f>IF(AND($A126&lt;&gt;"",'Project Overview'!M123=""),1,0)</f>
        <v>0</v>
      </c>
      <c r="L126" s="217">
        <f>IF(AND($A126&lt;&gt;"",'Project Overview'!U123=""),1,0)</f>
        <v>0</v>
      </c>
      <c r="M126" s="217">
        <f>IF(OR($A126="",'Project Overview'!O123="",'Project Overview'!O123="?"),1,0)</f>
        <v>0</v>
      </c>
      <c r="N126" s="217">
        <f>IF(OR($A126="",'Project Overview'!P123="", 'Project Overview'!P123="?"),1,0)</f>
        <v>0</v>
      </c>
      <c r="O126" s="217">
        <f t="shared" si="21"/>
        <v>0</v>
      </c>
      <c r="P126" s="217" t="str">
        <f t="shared" si="20"/>
        <v>OK</v>
      </c>
    </row>
    <row r="127" spans="1:16" ht="28.8" hidden="1" x14ac:dyDescent="0.3">
      <c r="A127" s="217" t="str">
        <f>""&amp;'Project Overview'!A124</f>
        <v>119</v>
      </c>
      <c r="B127" s="218" t="str">
        <f>'Project Overview'!B124</f>
        <v>Iber-Oleff Marinha Grande</v>
      </c>
      <c r="C127" s="218" t="str">
        <f>'Project Overview'!C124</f>
        <v>Iber-Oleff - Componentes Técnicos Em Plástico S.A.</v>
      </c>
      <c r="D127" s="221" t="str">
        <f>'Project Overview'!R124</f>
        <v>ACTIVE</v>
      </c>
      <c r="E127" s="221" t="str">
        <f ca="1">'Project Overview'!Y124</f>
        <v>no</v>
      </c>
      <c r="F127" s="217">
        <f t="shared" si="22"/>
        <v>0</v>
      </c>
      <c r="G127" s="217">
        <f t="shared" si="23"/>
        <v>0</v>
      </c>
      <c r="H127" s="217">
        <f>IF(AND($A127&lt;&gt;"",'Project Overview'!D124=""),1,0)</f>
        <v>0</v>
      </c>
      <c r="I127" s="217">
        <f>IF(AND($A127&lt;&gt;"",'Project Overview'!F124=""),1,0)</f>
        <v>0</v>
      </c>
      <c r="J127" s="217">
        <f>IF(AND($A127&lt;&gt;"",OR('Project Overview'!I124="ESCO",'Project Overview'!I124="EPC",'Project Overview'!I124="ESCO BUYOUT"),'Project Overview'!K124=""),1,0)</f>
        <v>0</v>
      </c>
      <c r="K127" s="217">
        <f>IF(AND($A127&lt;&gt;"",'Project Overview'!M124=""),1,0)</f>
        <v>0</v>
      </c>
      <c r="L127" s="217">
        <f>IF(AND($A127&lt;&gt;"",'Project Overview'!U124=""),1,0)</f>
        <v>0</v>
      </c>
      <c r="M127" s="217">
        <f>IF(OR($A127="",'Project Overview'!O124="",'Project Overview'!O124="?"),1,0)</f>
        <v>0</v>
      </c>
      <c r="N127" s="217">
        <f>IF(OR($A127="",'Project Overview'!P124="", 'Project Overview'!P124="?"),1,0)</f>
        <v>0</v>
      </c>
      <c r="O127" s="217">
        <f t="shared" si="21"/>
        <v>0</v>
      </c>
      <c r="P127" s="217" t="str">
        <f t="shared" si="20"/>
        <v>OK</v>
      </c>
    </row>
    <row r="128" spans="1:16" ht="43.2" hidden="1" x14ac:dyDescent="0.3">
      <c r="A128" s="217" t="str">
        <f>""&amp;'Project Overview'!A125</f>
        <v>120</v>
      </c>
      <c r="B128" s="218" t="str">
        <f>'Project Overview'!B125</f>
        <v>BV Montelavar</v>
      </c>
      <c r="C128" s="218" t="str">
        <f>'Project Overview'!C125</f>
        <v>Associação Humanitária De Bombeiros Voluntários De Montelavar</v>
      </c>
      <c r="D128" s="221" t="str">
        <f>'Project Overview'!R125</f>
        <v>ACTIVE</v>
      </c>
      <c r="E128" s="221" t="str">
        <f ca="1">'Project Overview'!Y125</f>
        <v>yes</v>
      </c>
      <c r="F128" s="217">
        <f>IF(OR($A128="",$B128=""),1,0)</f>
        <v>0</v>
      </c>
      <c r="G128" s="217">
        <f>IF($C128="",1,0)</f>
        <v>0</v>
      </c>
      <c r="H128" s="217">
        <f>IF(AND($A128&lt;&gt;"",'Project Overview'!D125=""),1,0)</f>
        <v>0</v>
      </c>
      <c r="I128" s="217">
        <f>IF(AND($A128&lt;&gt;"",'Project Overview'!F125=""),1,0)</f>
        <v>0</v>
      </c>
      <c r="J128" s="217">
        <f>IF(AND($A128&lt;&gt;"",OR('Project Overview'!I125="ESCO",'Project Overview'!I125="EPC",'Project Overview'!I125="ESCO BUYOUT"),'Project Overview'!K125=""),1,0)</f>
        <v>0</v>
      </c>
      <c r="K128" s="217">
        <f>IF(AND($A128&lt;&gt;"",'Project Overview'!M125=""),1,0)</f>
        <v>0</v>
      </c>
      <c r="L128" s="217">
        <f>IF(AND($A128&lt;&gt;"",'Project Overview'!U125=""),1,0)</f>
        <v>0</v>
      </c>
      <c r="M128" s="217">
        <f>IF(OR($A128="",'Project Overview'!O125="",'Project Overview'!O125="?"),1,0)</f>
        <v>0</v>
      </c>
      <c r="N128" s="217">
        <f>IF(OR($A128="",'Project Overview'!P125="", 'Project Overview'!P125="?"),1,0)</f>
        <v>0</v>
      </c>
      <c r="O128" s="217">
        <f t="shared" si="21"/>
        <v>0</v>
      </c>
      <c r="P128" s="217" t="str">
        <f t="shared" si="20"/>
        <v>OK</v>
      </c>
    </row>
    <row r="129" spans="1:16" hidden="1" x14ac:dyDescent="0.3">
      <c r="A129" s="217" t="str">
        <f>""&amp;'Project Overview'!A126</f>
        <v>121</v>
      </c>
      <c r="B129" s="218" t="str">
        <f>'Project Overview'!B126</f>
        <v>Zé Pacheco - Expansão</v>
      </c>
      <c r="C129" s="218" t="str">
        <f>'Project Overview'!C126</f>
        <v>Gadelho De Castro, S.A.</v>
      </c>
      <c r="D129" s="221" t="str">
        <f>'Project Overview'!R126</f>
        <v>ON HOLD</v>
      </c>
      <c r="E129" s="221" t="str">
        <f ca="1">'Project Overview'!Y126</f>
        <v>no</v>
      </c>
      <c r="F129" s="217">
        <f t="shared" si="22"/>
        <v>0</v>
      </c>
      <c r="G129" s="217">
        <f t="shared" si="23"/>
        <v>0</v>
      </c>
      <c r="H129" s="217">
        <f>IF(AND($A129&lt;&gt;"",'Project Overview'!D126=""),1,0)</f>
        <v>0</v>
      </c>
      <c r="I129" s="217">
        <f>IF(AND($A129&lt;&gt;"",'Project Overview'!F126=""),1,0)</f>
        <v>0</v>
      </c>
      <c r="J129" s="217">
        <f>IF(AND($A129&lt;&gt;"",OR('Project Overview'!I126="ESCO",'Project Overview'!I126="EPC",'Project Overview'!I126="ESCO BUYOUT"),'Project Overview'!K126=""),1,0)</f>
        <v>0</v>
      </c>
      <c r="K129" s="217">
        <f>IF(AND($A129&lt;&gt;"",'Project Overview'!M126=""),1,0)</f>
        <v>0</v>
      </c>
      <c r="L129" s="217">
        <f>IF(AND($A129&lt;&gt;"",'Project Overview'!U126=""),1,0)</f>
        <v>1</v>
      </c>
      <c r="M129" s="217">
        <f>IF(OR($A129="",'Project Overview'!O126="",'Project Overview'!O126="?"),1,0)</f>
        <v>0</v>
      </c>
      <c r="N129" s="217">
        <f>IF(OR($A129="",'Project Overview'!P126="", 'Project Overview'!P126="?"),1,0)</f>
        <v>0</v>
      </c>
      <c r="O129" s="217">
        <f t="shared" si="21"/>
        <v>1</v>
      </c>
      <c r="P129" s="217" t="str">
        <f t="shared" si="20"/>
        <v>REVER</v>
      </c>
    </row>
    <row r="130" spans="1:16" hidden="1" x14ac:dyDescent="0.3">
      <c r="A130" s="217" t="str">
        <f>""&amp;'Project Overview'!A127</f>
        <v>122</v>
      </c>
      <c r="B130" s="218" t="str">
        <f>'Project Overview'!B127</f>
        <v>Mabe (EPC Itália)</v>
      </c>
      <c r="C130" s="218" t="str">
        <f>'Project Overview'!C127</f>
        <v>Mabe S.R.L.</v>
      </c>
      <c r="D130" s="221" t="str">
        <f>'Project Overview'!R127</f>
        <v>ACTIVE</v>
      </c>
      <c r="E130" s="221" t="str">
        <f ca="1">'Project Overview'!Y127</f>
        <v>no</v>
      </c>
      <c r="F130" s="217">
        <f t="shared" si="22"/>
        <v>0</v>
      </c>
      <c r="G130" s="217">
        <f t="shared" si="23"/>
        <v>0</v>
      </c>
      <c r="H130" s="217">
        <f>IF(AND($A130&lt;&gt;"",'Project Overview'!D127=""),1,0)</f>
        <v>0</v>
      </c>
      <c r="I130" s="217">
        <f>IF(AND($A130&lt;&gt;"",'Project Overview'!F127=""),1,0)</f>
        <v>0</v>
      </c>
      <c r="J130" s="217">
        <f>IF(AND($A130&lt;&gt;"",OR('Project Overview'!I127="ESCO",'Project Overview'!I127="EPC",'Project Overview'!I127="ESCO BUYOUT"),'Project Overview'!K127=""),1,0)</f>
        <v>0</v>
      </c>
      <c r="K130" s="217">
        <f>IF(AND($A130&lt;&gt;"",'Project Overview'!M127=""),1,0)</f>
        <v>0</v>
      </c>
      <c r="L130" s="217">
        <f>IF(AND($A130&lt;&gt;"",'Project Overview'!U127=""),1,0)</f>
        <v>1</v>
      </c>
      <c r="M130" s="217">
        <f>IF(OR($A130="",'Project Overview'!O127="",'Project Overview'!O127="?"),1,0)</f>
        <v>0</v>
      </c>
      <c r="N130" s="217">
        <f>IF(OR($A130="",'Project Overview'!P127="", 'Project Overview'!P127="?"),1,0)</f>
        <v>0</v>
      </c>
      <c r="O130" s="217">
        <f t="shared" si="21"/>
        <v>1</v>
      </c>
      <c r="P130" s="217" t="str">
        <f t="shared" si="20"/>
        <v>REVER</v>
      </c>
    </row>
    <row r="131" spans="1:16" hidden="1" x14ac:dyDescent="0.3">
      <c r="A131" s="217" t="str">
        <f>""&amp;'Project Overview'!A128</f>
        <v>123</v>
      </c>
      <c r="B131" s="218" t="str">
        <f>'Project Overview'!B128</f>
        <v>Bassani Batista</v>
      </c>
      <c r="C131" s="218" t="str">
        <f>'Project Overview'!C128</f>
        <v>Bassani Battista S.N.C.</v>
      </c>
      <c r="D131" s="221" t="str">
        <f>'Project Overview'!R128</f>
        <v>ACTIVE</v>
      </c>
      <c r="E131" s="221" t="str">
        <f ca="1">'Project Overview'!Y128</f>
        <v>no</v>
      </c>
      <c r="F131" s="217">
        <f t="shared" si="22"/>
        <v>0</v>
      </c>
      <c r="G131" s="217">
        <f t="shared" si="23"/>
        <v>0</v>
      </c>
      <c r="H131" s="217">
        <f>IF(AND($A131&lt;&gt;"",'Project Overview'!D128=""),1,0)</f>
        <v>0</v>
      </c>
      <c r="I131" s="217">
        <f>IF(AND($A131&lt;&gt;"",'Project Overview'!F128=""),1,0)</f>
        <v>0</v>
      </c>
      <c r="J131" s="217">
        <f>IF(AND($A131&lt;&gt;"",OR('Project Overview'!I128="ESCO",'Project Overview'!I128="EPC",'Project Overview'!I128="ESCO BUYOUT"),'Project Overview'!K128=""),1,0)</f>
        <v>0</v>
      </c>
      <c r="K131" s="217">
        <f>IF(AND($A131&lt;&gt;"",'Project Overview'!M128=""),1,0)</f>
        <v>0</v>
      </c>
      <c r="L131" s="217">
        <f>IF(AND($A131&lt;&gt;"",'Project Overview'!U128=""),1,0)</f>
        <v>1</v>
      </c>
      <c r="M131" s="217">
        <f>IF(OR($A131="",'Project Overview'!O128="",'Project Overview'!O128="?"),1,0)</f>
        <v>0</v>
      </c>
      <c r="N131" s="217">
        <f>IF(OR($A131="",'Project Overview'!P128="", 'Project Overview'!P128="?"),1,0)</f>
        <v>0</v>
      </c>
      <c r="O131" s="217">
        <f t="shared" si="21"/>
        <v>1</v>
      </c>
      <c r="P131" s="217" t="str">
        <f t="shared" si="20"/>
        <v>REVER</v>
      </c>
    </row>
    <row r="132" spans="1:16" ht="28.8" hidden="1" x14ac:dyDescent="0.3">
      <c r="A132" s="217" t="str">
        <f>""&amp;'Project Overview'!A129</f>
        <v>124</v>
      </c>
      <c r="B132" s="218" t="str">
        <f>'Project Overview'!B129</f>
        <v>San Camillo Torino</v>
      </c>
      <c r="C132" s="218" t="str">
        <f>'Project Overview'!C129</f>
        <v>Fondazione Opera San Camillo</v>
      </c>
      <c r="D132" s="221" t="str">
        <f>'Project Overview'!R129</f>
        <v>ACTIVE</v>
      </c>
      <c r="E132" s="221" t="str">
        <f ca="1">'Project Overview'!Y129</f>
        <v>no</v>
      </c>
      <c r="F132" s="217">
        <f t="shared" si="22"/>
        <v>0</v>
      </c>
      <c r="G132" s="217">
        <f t="shared" si="23"/>
        <v>0</v>
      </c>
      <c r="H132" s="217">
        <f>IF(AND($A132&lt;&gt;"",'Project Overview'!D129=""),1,0)</f>
        <v>0</v>
      </c>
      <c r="I132" s="217">
        <f>IF(AND($A132&lt;&gt;"",'Project Overview'!F129=""),1,0)</f>
        <v>0</v>
      </c>
      <c r="J132" s="217">
        <f>IF(AND($A132&lt;&gt;"",OR('Project Overview'!I129="ESCO",'Project Overview'!I129="EPC",'Project Overview'!I129="ESCO BUYOUT"),'Project Overview'!K129=""),1,0)</f>
        <v>0</v>
      </c>
      <c r="K132" s="217">
        <f>IF(AND($A132&lt;&gt;"",'Project Overview'!M129=""),1,0)</f>
        <v>0</v>
      </c>
      <c r="L132" s="217">
        <f>IF(AND($A132&lt;&gt;"",'Project Overview'!U129=""),1,0)</f>
        <v>1</v>
      </c>
      <c r="M132" s="217">
        <f>IF(OR($A132="",'Project Overview'!O129="",'Project Overview'!O129="?"),1,0)</f>
        <v>0</v>
      </c>
      <c r="N132" s="217">
        <f>IF(OR($A132="",'Project Overview'!P129="", 'Project Overview'!P129="?"),1,0)</f>
        <v>0</v>
      </c>
      <c r="O132" s="217">
        <f t="shared" si="21"/>
        <v>1</v>
      </c>
      <c r="P132" s="217" t="str">
        <f t="shared" si="20"/>
        <v>REVER</v>
      </c>
    </row>
    <row r="133" spans="1:16" ht="43.2" hidden="1" x14ac:dyDescent="0.3">
      <c r="A133" s="217" t="str">
        <f>""&amp;'Project Overview'!A130</f>
        <v>125</v>
      </c>
      <c r="B133" s="218" t="str">
        <f>'Project Overview'!B130</f>
        <v xml:space="preserve">Centro Paroquial Nossa Senhora da Anunciada </v>
      </c>
      <c r="C133" s="218" t="str">
        <f>'Project Overview'!C130</f>
        <v>Centro Social Paroquial De Nossa Senhora Da Anunciada</v>
      </c>
      <c r="D133" s="221" t="str">
        <f>'Project Overview'!R130</f>
        <v>ACTIVE</v>
      </c>
      <c r="E133" s="221" t="str">
        <f ca="1">'Project Overview'!Y130</f>
        <v>no</v>
      </c>
      <c r="F133" s="217">
        <f t="shared" ref="F133:F196" si="36">IF(AND($A133&lt;&gt;"",$B133=""),1,0)</f>
        <v>0</v>
      </c>
      <c r="G133" s="217">
        <f t="shared" ref="G133:G196" si="37">IF(AND($A133&lt;&gt;"",$C133=""),1,0)</f>
        <v>0</v>
      </c>
      <c r="H133" s="217">
        <f>IF(AND($A133&lt;&gt;"",'Project Overview'!D130=""),1,0)</f>
        <v>0</v>
      </c>
      <c r="I133" s="217">
        <f>IF(AND($A133&lt;&gt;"",'Project Overview'!F130=""),1,0)</f>
        <v>0</v>
      </c>
      <c r="J133" s="217">
        <f>IF(AND($A133&lt;&gt;"",OR('Project Overview'!I130="ESCO",'Project Overview'!I130="EPC",'Project Overview'!I130="ESCO BUYOUT"),'Project Overview'!K130=""),1,0)</f>
        <v>0</v>
      </c>
      <c r="K133" s="217">
        <f>IF(AND($A133&lt;&gt;"",'Project Overview'!M130=""),1,0)</f>
        <v>0</v>
      </c>
      <c r="L133" s="217">
        <f>IF(AND($A133&lt;&gt;"",'Project Overview'!U130=""),1,0)</f>
        <v>1</v>
      </c>
      <c r="M133" s="217">
        <f>IF(OR($A133="",'Project Overview'!O130="",'Project Overview'!O130="?"),1,0)</f>
        <v>0</v>
      </c>
      <c r="N133" s="217">
        <f>IF(OR($A133="",'Project Overview'!P130="", 'Project Overview'!P130="?"),1,0)</f>
        <v>0</v>
      </c>
      <c r="O133" s="217">
        <f t="shared" si="21"/>
        <v>1</v>
      </c>
      <c r="P133" s="217" t="str">
        <f t="shared" ref="P133:P196" si="38">IF($A133="","",IF($O133=0,"OK","REVER"))</f>
        <v>REVER</v>
      </c>
    </row>
    <row r="134" spans="1:16" hidden="1" x14ac:dyDescent="0.3">
      <c r="A134" s="217" t="str">
        <f>""&amp;'Project Overview'!A131</f>
        <v>126</v>
      </c>
      <c r="B134" s="218" t="str">
        <f>'Project Overview'!B131</f>
        <v>Agrovarandas (EPC)</v>
      </c>
      <c r="C134" s="218" t="str">
        <f>'Project Overview'!C131</f>
        <v>Agrovarandas, Lda</v>
      </c>
      <c r="D134" s="221" t="str">
        <f>'Project Overview'!R131</f>
        <v>ACTIVE</v>
      </c>
      <c r="E134" s="221" t="str">
        <f ca="1">'Project Overview'!Y131</f>
        <v>no</v>
      </c>
      <c r="F134" s="217">
        <f t="shared" si="36"/>
        <v>0</v>
      </c>
      <c r="G134" s="217">
        <f t="shared" si="37"/>
        <v>0</v>
      </c>
      <c r="H134" s="217">
        <f>IF(AND($A134&lt;&gt;"",'Project Overview'!D131=""),1,0)</f>
        <v>0</v>
      </c>
      <c r="I134" s="217">
        <f>IF(AND($A134&lt;&gt;"",'Project Overview'!F131=""),1,0)</f>
        <v>1</v>
      </c>
      <c r="J134" s="217">
        <f>IF(AND($A134&lt;&gt;"",OR('Project Overview'!I131="ESCO",'Project Overview'!I131="EPC",'Project Overview'!I131="ESCO BUYOUT"),'Project Overview'!K131=""),1,0)</f>
        <v>0</v>
      </c>
      <c r="K134" s="217">
        <f>IF(AND($A134&lt;&gt;"",'Project Overview'!M131=""),1,0)</f>
        <v>0</v>
      </c>
      <c r="L134" s="217">
        <f>IF(AND($A134&lt;&gt;"",'Project Overview'!U131=""),1,0)</f>
        <v>1</v>
      </c>
      <c r="M134" s="217">
        <f>IF(OR($A134="",'Project Overview'!O131="",'Project Overview'!O131="?"),1,0)</f>
        <v>0</v>
      </c>
      <c r="N134" s="217">
        <f>IF(OR($A134="",'Project Overview'!P131="", 'Project Overview'!P131="?"),1,0)</f>
        <v>0</v>
      </c>
      <c r="O134" s="217">
        <f t="shared" ref="O134:O197" si="39">SUM(F134:N134)</f>
        <v>2</v>
      </c>
      <c r="P134" s="217" t="str">
        <f t="shared" si="38"/>
        <v>REVER</v>
      </c>
    </row>
    <row r="135" spans="1:16" ht="43.2" hidden="1" x14ac:dyDescent="0.3">
      <c r="A135" s="217" t="str">
        <f>""&amp;'Project Overview'!A132</f>
        <v>127</v>
      </c>
      <c r="B135" s="218" t="str">
        <f>'Project Overview'!B132</f>
        <v>Agrovácuo - Armazém (EPC)</v>
      </c>
      <c r="C135" s="218" t="str">
        <f>'Project Overview'!C132</f>
        <v>Agrovácuo Preparação E Embalagem De Produtos Horticolas Lda</v>
      </c>
      <c r="D135" s="221" t="str">
        <f>'Project Overview'!R132</f>
        <v>ACTIVE</v>
      </c>
      <c r="E135" s="221" t="str">
        <f ca="1">'Project Overview'!Y132</f>
        <v>no</v>
      </c>
      <c r="F135" s="217">
        <f t="shared" si="36"/>
        <v>0</v>
      </c>
      <c r="G135" s="217">
        <f t="shared" si="37"/>
        <v>0</v>
      </c>
      <c r="H135" s="217">
        <f>IF(AND($A135&lt;&gt;"",'Project Overview'!D132=""),1,0)</f>
        <v>0</v>
      </c>
      <c r="I135" s="217">
        <f>IF(AND($A135&lt;&gt;"",'Project Overview'!F132=""),1,0)</f>
        <v>0</v>
      </c>
      <c r="J135" s="217">
        <f>IF(AND($A135&lt;&gt;"",OR('Project Overview'!I132="ESCO",'Project Overview'!I132="EPC",'Project Overview'!I132="ESCO BUYOUT"),'Project Overview'!K132=""),1,0)</f>
        <v>0</v>
      </c>
      <c r="K135" s="217">
        <f>IF(AND($A135&lt;&gt;"",'Project Overview'!M132=""),1,0)</f>
        <v>0</v>
      </c>
      <c r="L135" s="217">
        <f>IF(AND($A135&lt;&gt;"",'Project Overview'!U132=""),1,0)</f>
        <v>1</v>
      </c>
      <c r="M135" s="217">
        <f>IF(OR($A135="",'Project Overview'!O132="",'Project Overview'!O132="?"),1,0)</f>
        <v>0</v>
      </c>
      <c r="N135" s="217">
        <f>IF(OR($A135="",'Project Overview'!P132="", 'Project Overview'!P132="?"),1,0)</f>
        <v>0</v>
      </c>
      <c r="O135" s="217">
        <f t="shared" si="39"/>
        <v>1</v>
      </c>
      <c r="P135" s="217" t="str">
        <f t="shared" si="38"/>
        <v>REVER</v>
      </c>
    </row>
    <row r="136" spans="1:16" ht="28.8" hidden="1" x14ac:dyDescent="0.3">
      <c r="A136" s="217" t="str">
        <f>""&amp;'Project Overview'!A133</f>
        <v>128</v>
      </c>
      <c r="B136" s="218" t="str">
        <f>'Project Overview'!B133</f>
        <v>Videtra</v>
      </c>
      <c r="C136" s="218" t="str">
        <f>'Project Overview'!C133</f>
        <v>Videtra - Vidreira De Sintra Lda</v>
      </c>
      <c r="D136" s="221" t="str">
        <f>'Project Overview'!R133</f>
        <v>ACTIVE</v>
      </c>
      <c r="E136" s="221" t="str">
        <f ca="1">'Project Overview'!Y133</f>
        <v>no</v>
      </c>
      <c r="F136" s="217">
        <f t="shared" si="36"/>
        <v>0</v>
      </c>
      <c r="G136" s="217">
        <f t="shared" si="37"/>
        <v>0</v>
      </c>
      <c r="H136" s="217">
        <f>IF(AND($A136&lt;&gt;"",'Project Overview'!D133=""),1,0)</f>
        <v>0</v>
      </c>
      <c r="I136" s="217">
        <f>IF(AND($A136&lt;&gt;"",'Project Overview'!F133=""),1,0)</f>
        <v>0</v>
      </c>
      <c r="J136" s="217">
        <f>IF(AND($A136&lt;&gt;"",OR('Project Overview'!I133="ESCO",'Project Overview'!I133="EPC",'Project Overview'!I133="ESCO BUYOUT"),'Project Overview'!K133=""),1,0)</f>
        <v>0</v>
      </c>
      <c r="K136" s="217">
        <f>IF(AND($A136&lt;&gt;"",'Project Overview'!M133=""),1,0)</f>
        <v>0</v>
      </c>
      <c r="L136" s="217">
        <f>IF(AND($A136&lt;&gt;"",'Project Overview'!U133=""),1,0)</f>
        <v>1</v>
      </c>
      <c r="M136" s="217">
        <f>IF(OR($A136="",'Project Overview'!O133="",'Project Overview'!O133="?"),1,0)</f>
        <v>0</v>
      </c>
      <c r="N136" s="217">
        <f>IF(OR($A136="",'Project Overview'!P133="", 'Project Overview'!P133="?"),1,0)</f>
        <v>0</v>
      </c>
      <c r="O136" s="217">
        <f t="shared" si="39"/>
        <v>1</v>
      </c>
      <c r="P136" s="217" t="str">
        <f t="shared" si="38"/>
        <v>REVER</v>
      </c>
    </row>
    <row r="137" spans="1:16" ht="28.8" hidden="1" x14ac:dyDescent="0.3">
      <c r="A137" s="217" t="str">
        <f>""&amp;'Project Overview'!A134</f>
        <v>129</v>
      </c>
      <c r="B137" s="218" t="str">
        <f>'Project Overview'!B134</f>
        <v>Alvarsol</v>
      </c>
      <c r="C137" s="218" t="str">
        <f>'Project Overview'!C134</f>
        <v>Alvarsol-Sociedade de Lavandarias do Algarve Lda</v>
      </c>
      <c r="D137" s="221" t="str">
        <f>'Project Overview'!R134</f>
        <v>ACTIVE</v>
      </c>
      <c r="E137" s="221" t="str">
        <f ca="1">'Project Overview'!Y134</f>
        <v>yes</v>
      </c>
      <c r="F137" s="217">
        <f>IF(OR($A137="",$B137=""),1,0)</f>
        <v>0</v>
      </c>
      <c r="G137" s="217">
        <f>IF($C137="",1,0)</f>
        <v>0</v>
      </c>
      <c r="H137" s="217">
        <f>IF(AND($A137&lt;&gt;"",'Project Overview'!D134=""),1,0)</f>
        <v>0</v>
      </c>
      <c r="I137" s="217">
        <f>IF(AND($A137&lt;&gt;"",'Project Overview'!F134=""),1,0)</f>
        <v>0</v>
      </c>
      <c r="J137" s="217">
        <f>IF(AND($A137&lt;&gt;"",OR('Project Overview'!I134="ESCO",'Project Overview'!I134="EPC",'Project Overview'!I134="ESCO BUYOUT"),'Project Overview'!K134=""),1,0)</f>
        <v>0</v>
      </c>
      <c r="K137" s="217">
        <f>IF(AND($A137&lt;&gt;"",'Project Overview'!M134=""),1,0)</f>
        <v>0</v>
      </c>
      <c r="L137" s="217">
        <f>IF(AND($A137&lt;&gt;"",'Project Overview'!U134=""),1,0)</f>
        <v>0</v>
      </c>
      <c r="M137" s="217">
        <f>IF(OR($A137="",'Project Overview'!O134="",'Project Overview'!O134="?"),1,0)</f>
        <v>0</v>
      </c>
      <c r="N137" s="217">
        <f>IF(OR($A137="",'Project Overview'!P134="", 'Project Overview'!P134="?"),1,0)</f>
        <v>0</v>
      </c>
      <c r="O137" s="217">
        <f t="shared" si="39"/>
        <v>0</v>
      </c>
      <c r="P137" s="217" t="str">
        <f t="shared" si="38"/>
        <v>OK</v>
      </c>
    </row>
    <row r="138" spans="1:16" ht="28.8" hidden="1" x14ac:dyDescent="0.3">
      <c r="A138" s="217" t="str">
        <f>""&amp;'Project Overview'!A135</f>
        <v>130</v>
      </c>
      <c r="B138" s="218" t="str">
        <f>'Project Overview'!B135</f>
        <v>Américo Duarte Paixão - SERP</v>
      </c>
      <c r="C138" s="218" t="str">
        <f>'Project Overview'!C135</f>
        <v>Américo Duarte Paixão, Lda</v>
      </c>
      <c r="D138" s="221" t="str">
        <f>'Project Overview'!R135</f>
        <v>ACTIVE</v>
      </c>
      <c r="E138" s="221" t="str">
        <f ca="1">'Project Overview'!Y135</f>
        <v>no</v>
      </c>
      <c r="F138" s="217">
        <f t="shared" si="36"/>
        <v>0</v>
      </c>
      <c r="G138" s="217">
        <f t="shared" si="37"/>
        <v>0</v>
      </c>
      <c r="H138" s="217">
        <f>IF(AND($A138&lt;&gt;"",'Project Overview'!D135=""),1,0)</f>
        <v>0</v>
      </c>
      <c r="I138" s="217">
        <f>IF(AND($A138&lt;&gt;"",'Project Overview'!F135=""),1,0)</f>
        <v>0</v>
      </c>
      <c r="J138" s="217">
        <f>IF(AND($A138&lt;&gt;"",OR('Project Overview'!I135="ESCO",'Project Overview'!I135="EPC",'Project Overview'!I135="ESCO BUYOUT"),'Project Overview'!K135=""),1,0)</f>
        <v>0</v>
      </c>
      <c r="K138" s="217">
        <f>IF(AND($A138&lt;&gt;"",'Project Overview'!M135=""),1,0)</f>
        <v>0</v>
      </c>
      <c r="L138" s="217">
        <f>IF(AND($A138&lt;&gt;"",'Project Overview'!U135=""),1,0)</f>
        <v>1</v>
      </c>
      <c r="M138" s="217">
        <f>IF(OR($A138="",'Project Overview'!O135="",'Project Overview'!O135="?"),1,0)</f>
        <v>0</v>
      </c>
      <c r="N138" s="217">
        <f>IF(OR($A138="",'Project Overview'!P135="", 'Project Overview'!P135="?"),1,0)</f>
        <v>0</v>
      </c>
      <c r="O138" s="217">
        <f t="shared" si="39"/>
        <v>1</v>
      </c>
      <c r="P138" s="217" t="str">
        <f t="shared" si="38"/>
        <v>REVER</v>
      </c>
    </row>
    <row r="139" spans="1:16" ht="28.8" hidden="1" x14ac:dyDescent="0.3">
      <c r="A139" s="217" t="str">
        <f>""&amp;'Project Overview'!A136</f>
        <v>131</v>
      </c>
      <c r="B139" s="218" t="str">
        <f>'Project Overview'!B136</f>
        <v>Ignoramus - Herdade da Adema</v>
      </c>
      <c r="C139" s="218" t="str">
        <f>'Project Overview'!C136</f>
        <v>Ignoramus-Produtos Naturais, Limitada</v>
      </c>
      <c r="D139" s="221" t="str">
        <f>'Project Overview'!R136</f>
        <v>ACTIVE</v>
      </c>
      <c r="E139" s="221" t="str">
        <f ca="1">'Project Overview'!Y136</f>
        <v>no</v>
      </c>
      <c r="F139" s="217">
        <f t="shared" si="36"/>
        <v>0</v>
      </c>
      <c r="G139" s="217">
        <f t="shared" si="37"/>
        <v>0</v>
      </c>
      <c r="H139" s="217">
        <f>IF(AND($A139&lt;&gt;"",'Project Overview'!D136=""),1,0)</f>
        <v>0</v>
      </c>
      <c r="I139" s="217">
        <f>IF(AND($A139&lt;&gt;"",'Project Overview'!F136=""),1,0)</f>
        <v>0</v>
      </c>
      <c r="J139" s="217">
        <f>IF(AND($A139&lt;&gt;"",OR('Project Overview'!I136="ESCO",'Project Overview'!I136="EPC",'Project Overview'!I136="ESCO BUYOUT"),'Project Overview'!K136=""),1,0)</f>
        <v>0</v>
      </c>
      <c r="K139" s="217">
        <f>IF(AND($A139&lt;&gt;"",'Project Overview'!M136=""),1,0)</f>
        <v>0</v>
      </c>
      <c r="L139" s="217">
        <f>IF(AND($A139&lt;&gt;"",'Project Overview'!U136=""),1,0)</f>
        <v>1</v>
      </c>
      <c r="M139" s="217">
        <f>IF(OR($A139="",'Project Overview'!O136="",'Project Overview'!O136="?"),1,0)</f>
        <v>0</v>
      </c>
      <c r="N139" s="217">
        <f>IF(OR($A139="",'Project Overview'!P136="", 'Project Overview'!P136="?"),1,0)</f>
        <v>0</v>
      </c>
      <c r="O139" s="217">
        <f t="shared" si="39"/>
        <v>1</v>
      </c>
      <c r="P139" s="217" t="str">
        <f t="shared" si="38"/>
        <v>REVER</v>
      </c>
    </row>
    <row r="140" spans="1:16" ht="28.8" hidden="1" x14ac:dyDescent="0.3">
      <c r="A140" s="217" t="str">
        <f>""&amp;'Project Overview'!A137</f>
        <v>132</v>
      </c>
      <c r="B140" s="218" t="str">
        <f>'Project Overview'!B137</f>
        <v xml:space="preserve"> José João Pinheiro Barata - Fábrica</v>
      </c>
      <c r="C140" s="218">
        <f>'Project Overview'!C137</f>
        <v>0</v>
      </c>
      <c r="D140" s="221" t="str">
        <f>'Project Overview'!R137</f>
        <v>ACTIVE</v>
      </c>
      <c r="E140" s="221" t="str">
        <f ca="1">'Project Overview'!Y137</f>
        <v>no</v>
      </c>
      <c r="F140" s="217">
        <f t="shared" si="36"/>
        <v>0</v>
      </c>
      <c r="G140" s="217">
        <f t="shared" si="37"/>
        <v>0</v>
      </c>
      <c r="H140" s="217">
        <f>IF(AND($A140&lt;&gt;"",'Project Overview'!D137=""),1,0)</f>
        <v>0</v>
      </c>
      <c r="I140" s="217">
        <f>IF(AND($A140&lt;&gt;"",'Project Overview'!F137=""),1,0)</f>
        <v>0</v>
      </c>
      <c r="J140" s="217">
        <f>IF(AND($A140&lt;&gt;"",OR('Project Overview'!I137="ESCO",'Project Overview'!I137="EPC",'Project Overview'!I137="ESCO BUYOUT"),'Project Overview'!K137=""),1,0)</f>
        <v>0</v>
      </c>
      <c r="K140" s="217">
        <f>IF(AND($A140&lt;&gt;"",'Project Overview'!M137=""),1,0)</f>
        <v>0</v>
      </c>
      <c r="L140" s="217">
        <f>IF(AND($A140&lt;&gt;"",'Project Overview'!U137=""),1,0)</f>
        <v>1</v>
      </c>
      <c r="M140" s="217">
        <f>IF(OR($A140="",'Project Overview'!O137="",'Project Overview'!O137="?"),1,0)</f>
        <v>0</v>
      </c>
      <c r="N140" s="217">
        <f>IF(OR($A140="",'Project Overview'!P137="", 'Project Overview'!P137="?"),1,0)</f>
        <v>0</v>
      </c>
      <c r="O140" s="217">
        <f t="shared" si="39"/>
        <v>1</v>
      </c>
      <c r="P140" s="217" t="str">
        <f t="shared" si="38"/>
        <v>REVER</v>
      </c>
    </row>
    <row r="141" spans="1:16" ht="28.8" hidden="1" x14ac:dyDescent="0.3">
      <c r="A141" s="217" t="str">
        <f>""&amp;'Project Overview'!A138</f>
        <v>133</v>
      </c>
      <c r="B141" s="218" t="str">
        <f>'Project Overview'!B138</f>
        <v>Banco BIG</v>
      </c>
      <c r="C141" s="218" t="str">
        <f>'Project Overview'!C138</f>
        <v>Banco de Investimento Global S.A</v>
      </c>
      <c r="D141" s="221" t="str">
        <f>'Project Overview'!R138</f>
        <v>ACTIVE</v>
      </c>
      <c r="E141" s="221" t="str">
        <f ca="1">'Project Overview'!Y138</f>
        <v>no</v>
      </c>
      <c r="F141" s="217">
        <f t="shared" si="36"/>
        <v>0</v>
      </c>
      <c r="G141" s="217">
        <f t="shared" si="37"/>
        <v>0</v>
      </c>
      <c r="H141" s="217">
        <f>IF(AND($A141&lt;&gt;"",'Project Overview'!D138=""),1,0)</f>
        <v>0</v>
      </c>
      <c r="I141" s="217">
        <f>IF(AND($A141&lt;&gt;"",'Project Overview'!F138=""),1,0)</f>
        <v>0</v>
      </c>
      <c r="J141" s="217">
        <f>IF(AND($A141&lt;&gt;"",OR('Project Overview'!I138="ESCO",'Project Overview'!I138="EPC",'Project Overview'!I138="ESCO BUYOUT"),'Project Overview'!K138=""),1,0)</f>
        <v>0</v>
      </c>
      <c r="K141" s="217">
        <f>IF(AND($A141&lt;&gt;"",'Project Overview'!M138=""),1,0)</f>
        <v>0</v>
      </c>
      <c r="L141" s="217">
        <f>IF(AND($A141&lt;&gt;"",'Project Overview'!U138=""),1,0)</f>
        <v>0</v>
      </c>
      <c r="M141" s="217">
        <f>IF(OR($A141="",'Project Overview'!O138="",'Project Overview'!O138="?"),1,0)</f>
        <v>0</v>
      </c>
      <c r="N141" s="217">
        <f>IF(OR($A141="",'Project Overview'!P138="", 'Project Overview'!P138="?"),1,0)</f>
        <v>0</v>
      </c>
      <c r="O141" s="217">
        <f t="shared" si="39"/>
        <v>0</v>
      </c>
      <c r="P141" s="217" t="str">
        <f t="shared" si="38"/>
        <v>OK</v>
      </c>
    </row>
    <row r="142" spans="1:16" hidden="1" x14ac:dyDescent="0.3">
      <c r="A142" s="217" t="str">
        <f>""&amp;'Project Overview'!A139</f>
        <v>134</v>
      </c>
      <c r="B142" s="218" t="str">
        <f>'Project Overview'!B139</f>
        <v>Agromania</v>
      </c>
      <c r="C142" s="218" t="str">
        <f>'Project Overview'!C139</f>
        <v>Agromania, Unipessoal lda</v>
      </c>
      <c r="D142" s="217" t="str">
        <f>'Project Overview'!R139</f>
        <v>ACTIVE</v>
      </c>
      <c r="E142" s="221" t="str">
        <f ca="1">'Project Overview'!Y139</f>
        <v>no</v>
      </c>
      <c r="F142" s="217">
        <f t="shared" si="36"/>
        <v>0</v>
      </c>
      <c r="G142" s="217">
        <f t="shared" si="37"/>
        <v>0</v>
      </c>
      <c r="H142" s="217">
        <f>IF(AND($A142&lt;&gt;"",'Project Overview'!D139=""),1,0)</f>
        <v>0</v>
      </c>
      <c r="I142" s="217">
        <f>IF(AND($A142&lt;&gt;"",'Project Overview'!F139=""),1,0)</f>
        <v>0</v>
      </c>
      <c r="J142" s="217">
        <f>IF(AND($A142&lt;&gt;"",OR('Project Overview'!I139="ESCO",'Project Overview'!I139="EPC",'Project Overview'!I139="ESCO BUYOUT"),'Project Overview'!K139=""),1,0)</f>
        <v>0</v>
      </c>
      <c r="K142" s="217">
        <f>IF(AND($A142&lt;&gt;"",'Project Overview'!M139=""),1,0)</f>
        <v>0</v>
      </c>
      <c r="L142" s="217">
        <f>IF(AND($A142&lt;&gt;"",'Project Overview'!U139=""),1,0)</f>
        <v>1</v>
      </c>
      <c r="M142" s="217">
        <f>IF(OR($A142="",'Project Overview'!O139="",'Project Overview'!O139="?"),1,0)</f>
        <v>0</v>
      </c>
      <c r="N142" s="217">
        <f>IF(OR($A142="",'Project Overview'!P139="", 'Project Overview'!P139="?"),1,0)</f>
        <v>0</v>
      </c>
      <c r="O142" s="217">
        <f t="shared" si="39"/>
        <v>1</v>
      </c>
      <c r="P142" s="217" t="str">
        <f t="shared" si="38"/>
        <v>REVER</v>
      </c>
    </row>
    <row r="143" spans="1:16" hidden="1" x14ac:dyDescent="0.3">
      <c r="A143" s="217" t="str">
        <f>""&amp;'Project Overview'!A140</f>
        <v>135</v>
      </c>
      <c r="B143" s="218" t="str">
        <f>'Project Overview'!B140</f>
        <v>Agroarrão</v>
      </c>
      <c r="C143" s="218" t="str">
        <f>'Project Overview'!C140</f>
        <v>Agroarrão, Unipessoal lda</v>
      </c>
      <c r="D143" s="221" t="str">
        <f>'Project Overview'!R140</f>
        <v>ACTIVE</v>
      </c>
      <c r="E143" s="221" t="str">
        <f ca="1">'Project Overview'!Y140</f>
        <v>no</v>
      </c>
      <c r="F143" s="217">
        <f t="shared" si="36"/>
        <v>0</v>
      </c>
      <c r="G143" s="217">
        <f t="shared" si="37"/>
        <v>0</v>
      </c>
      <c r="H143" s="217">
        <f>IF(AND($A143&lt;&gt;"",'Project Overview'!D140=""),1,0)</f>
        <v>0</v>
      </c>
      <c r="I143" s="217">
        <f>IF(AND($A143&lt;&gt;"",'Project Overview'!F140=""),1,0)</f>
        <v>0</v>
      </c>
      <c r="J143" s="217">
        <f>IF(AND($A143&lt;&gt;"",OR('Project Overview'!I140="ESCO",'Project Overview'!I140="EPC",'Project Overview'!I140="ESCO BUYOUT"),'Project Overview'!K140=""),1,0)</f>
        <v>0</v>
      </c>
      <c r="K143" s="217">
        <f>IF(AND($A143&lt;&gt;"",'Project Overview'!M140=""),1,0)</f>
        <v>0</v>
      </c>
      <c r="L143" s="217">
        <f>IF(AND($A143&lt;&gt;"",'Project Overview'!U140=""),1,0)</f>
        <v>1</v>
      </c>
      <c r="M143" s="217">
        <f>IF(OR($A143="",'Project Overview'!O140="",'Project Overview'!O140="?"),1,0)</f>
        <v>0</v>
      </c>
      <c r="N143" s="217">
        <f>IF(OR($A143="",'Project Overview'!P140="", 'Project Overview'!P140="?"),1,0)</f>
        <v>0</v>
      </c>
      <c r="O143" s="217">
        <f t="shared" si="39"/>
        <v>1</v>
      </c>
      <c r="P143" s="217" t="str">
        <f t="shared" si="38"/>
        <v>REVER</v>
      </c>
    </row>
    <row r="144" spans="1:16" ht="28.8" hidden="1" x14ac:dyDescent="0.3">
      <c r="A144" s="217" t="str">
        <f>""&amp;'Project Overview'!A141</f>
        <v>136</v>
      </c>
      <c r="B144" s="218" t="str">
        <f>'Project Overview'!B141</f>
        <v>Junta de Freguesia Quinta do Conde</v>
      </c>
      <c r="C144" s="218" t="str">
        <f>'Project Overview'!C141</f>
        <v>Junta de Freguesia da Quinta do Conde</v>
      </c>
      <c r="D144" s="217" t="str">
        <f>'Project Overview'!R141</f>
        <v>ACTIVE</v>
      </c>
      <c r="E144" s="221" t="str">
        <f ca="1">'Project Overview'!Y141</f>
        <v>no</v>
      </c>
      <c r="F144" s="217">
        <f t="shared" si="36"/>
        <v>0</v>
      </c>
      <c r="G144" s="217">
        <f t="shared" si="37"/>
        <v>0</v>
      </c>
      <c r="H144" s="217">
        <f>IF(AND($A144&lt;&gt;"",'Project Overview'!D141=""),1,0)</f>
        <v>0</v>
      </c>
      <c r="I144" s="217">
        <f>IF(AND($A144&lt;&gt;"",'Project Overview'!F141=""),1,0)</f>
        <v>0</v>
      </c>
      <c r="J144" s="217">
        <f>IF(AND($A144&lt;&gt;"",OR('Project Overview'!I141="ESCO",'Project Overview'!I141="EPC",'Project Overview'!I141="ESCO BUYOUT"),'Project Overview'!K141=""),1,0)</f>
        <v>0</v>
      </c>
      <c r="K144" s="217">
        <f>IF(AND($A144&lt;&gt;"",'Project Overview'!M141=""),1,0)</f>
        <v>0</v>
      </c>
      <c r="L144" s="217">
        <f>IF(AND($A144&lt;&gt;"",'Project Overview'!U141=""),1,0)</f>
        <v>1</v>
      </c>
      <c r="M144" s="217">
        <f>IF(OR($A144="",'Project Overview'!O141="",'Project Overview'!O141="?"),1,0)</f>
        <v>0</v>
      </c>
      <c r="N144" s="217">
        <f>IF(OR($A144="",'Project Overview'!P141="", 'Project Overview'!P141="?"),1,0)</f>
        <v>0</v>
      </c>
      <c r="O144" s="217">
        <f t="shared" si="39"/>
        <v>1</v>
      </c>
      <c r="P144" s="217" t="str">
        <f t="shared" si="38"/>
        <v>REVER</v>
      </c>
    </row>
    <row r="145" spans="1:16" hidden="1" x14ac:dyDescent="0.3">
      <c r="A145" s="217" t="str">
        <f>""&amp;'Project Overview'!A142</f>
        <v>137</v>
      </c>
      <c r="B145" s="218" t="str">
        <f>'Project Overview'!B142</f>
        <v>Miniplas</v>
      </c>
      <c r="C145" s="218" t="str">
        <f>'Project Overview'!C142</f>
        <v>Miniplás, Unipessoal Lda</v>
      </c>
      <c r="D145" s="221" t="str">
        <f>'Project Overview'!R142</f>
        <v>ACTIVE</v>
      </c>
      <c r="E145" s="221" t="str">
        <f ca="1">'Project Overview'!Y142</f>
        <v>no</v>
      </c>
      <c r="F145" s="217">
        <f t="shared" si="36"/>
        <v>0</v>
      </c>
      <c r="G145" s="217">
        <f t="shared" si="37"/>
        <v>0</v>
      </c>
      <c r="H145" s="217">
        <f>IF(AND($A145&lt;&gt;"",'Project Overview'!D142=""),1,0)</f>
        <v>0</v>
      </c>
      <c r="I145" s="217">
        <f>IF(AND($A145&lt;&gt;"",'Project Overview'!F142=""),1,0)</f>
        <v>0</v>
      </c>
      <c r="J145" s="217">
        <f>IF(AND($A145&lt;&gt;"",OR('Project Overview'!I142="ESCO",'Project Overview'!I142="EPC",'Project Overview'!I142="ESCO BUYOUT"),'Project Overview'!K142=""),1,0)</f>
        <v>0</v>
      </c>
      <c r="K145" s="217">
        <f>IF(AND($A145&lt;&gt;"",'Project Overview'!M142=""),1,0)</f>
        <v>0</v>
      </c>
      <c r="L145" s="217">
        <f>IF(AND($A145&lt;&gt;"",'Project Overview'!U142=""),1,0)</f>
        <v>1</v>
      </c>
      <c r="M145" s="217">
        <f>IF(OR($A145="",'Project Overview'!O142="",'Project Overview'!O142="?"),1,0)</f>
        <v>0</v>
      </c>
      <c r="N145" s="217">
        <f>IF(OR($A145="",'Project Overview'!P142="", 'Project Overview'!P142="?"),1,0)</f>
        <v>0</v>
      </c>
      <c r="O145" s="217">
        <f t="shared" si="39"/>
        <v>1</v>
      </c>
      <c r="P145" s="217" t="str">
        <f t="shared" si="38"/>
        <v>REVER</v>
      </c>
    </row>
    <row r="146" spans="1:16" ht="28.8" hidden="1" x14ac:dyDescent="0.3">
      <c r="A146" s="217" t="str">
        <f>""&amp;'Project Overview'!A143</f>
        <v>138</v>
      </c>
      <c r="B146" s="218" t="str">
        <f>'Project Overview'!B143</f>
        <v>Colvi - Chouto</v>
      </c>
      <c r="C146" s="218" t="str">
        <f>'Project Overview'!C143</f>
        <v>Colvi, Sociedade Agrícula, Limitada</v>
      </c>
      <c r="D146" s="221" t="str">
        <f>'Project Overview'!R143</f>
        <v>ACTIVE</v>
      </c>
      <c r="E146" s="221" t="str">
        <f ca="1">'Project Overview'!Y143</f>
        <v>no</v>
      </c>
      <c r="F146" s="217">
        <f t="shared" si="36"/>
        <v>0</v>
      </c>
      <c r="G146" s="217">
        <f t="shared" si="37"/>
        <v>0</v>
      </c>
      <c r="H146" s="217">
        <f>IF(AND($A146&lt;&gt;"",'Project Overview'!D143=""),1,0)</f>
        <v>0</v>
      </c>
      <c r="I146" s="217">
        <f>IF(AND($A146&lt;&gt;"",'Project Overview'!F143=""),1,0)</f>
        <v>0</v>
      </c>
      <c r="J146" s="217">
        <f>IF(AND($A146&lt;&gt;"",OR('Project Overview'!I143="ESCO",'Project Overview'!I143="EPC",'Project Overview'!I143="ESCO BUYOUT"),'Project Overview'!K143=""),1,0)</f>
        <v>0</v>
      </c>
      <c r="K146" s="217">
        <f>IF(AND($A146&lt;&gt;"",'Project Overview'!M143=""),1,0)</f>
        <v>0</v>
      </c>
      <c r="L146" s="217">
        <f>IF(AND($A146&lt;&gt;"",'Project Overview'!U143=""),1,0)</f>
        <v>1</v>
      </c>
      <c r="M146" s="217">
        <f>IF(OR($A146="",'Project Overview'!O143="",'Project Overview'!O143="?"),1,0)</f>
        <v>0</v>
      </c>
      <c r="N146" s="217">
        <f>IF(OR($A146="",'Project Overview'!P143="", 'Project Overview'!P143="?"),1,0)</f>
        <v>0</v>
      </c>
      <c r="O146" s="217">
        <f t="shared" si="39"/>
        <v>1</v>
      </c>
      <c r="P146" s="217" t="str">
        <f t="shared" si="38"/>
        <v>REVER</v>
      </c>
    </row>
    <row r="147" spans="1:16" ht="28.8" hidden="1" x14ac:dyDescent="0.3">
      <c r="A147" s="217" t="str">
        <f>""&amp;'Project Overview'!A144</f>
        <v>139</v>
      </c>
      <c r="B147" s="218" t="str">
        <f>'Project Overview'!B144</f>
        <v>Lisbon Cruise Port</v>
      </c>
      <c r="C147" s="218" t="str">
        <f>'Project Overview'!C144</f>
        <v>Lcp - Lisbon Cruise Port, Lda</v>
      </c>
      <c r="D147" s="221" t="str">
        <f>'Project Overview'!R144</f>
        <v>ON HOLD</v>
      </c>
      <c r="E147" s="221" t="str">
        <f ca="1">'Project Overview'!Y144</f>
        <v>no</v>
      </c>
      <c r="F147" s="217">
        <f t="shared" si="36"/>
        <v>0</v>
      </c>
      <c r="G147" s="217">
        <f t="shared" si="37"/>
        <v>0</v>
      </c>
      <c r="H147" s="217">
        <f>IF(AND($A147&lt;&gt;"",'Project Overview'!D144=""),1,0)</f>
        <v>0</v>
      </c>
      <c r="I147" s="217">
        <f>IF(AND($A147&lt;&gt;"",'Project Overview'!F144=""),1,0)</f>
        <v>0</v>
      </c>
      <c r="J147" s="217">
        <f>IF(AND($A147&lt;&gt;"",OR('Project Overview'!I144="ESCO",'Project Overview'!I144="EPC",'Project Overview'!I144="ESCO BUYOUT"),'Project Overview'!K144=""),1,0)</f>
        <v>1</v>
      </c>
      <c r="K147" s="217">
        <f>IF(AND($A147&lt;&gt;"",'Project Overview'!M144=""),1,0)</f>
        <v>1</v>
      </c>
      <c r="L147" s="217">
        <f>IF(AND($A147&lt;&gt;"",'Project Overview'!U144=""),1,0)</f>
        <v>1</v>
      </c>
      <c r="M147" s="217">
        <f>IF(OR($A147="",'Project Overview'!O144="",'Project Overview'!O144="?"),1,0)</f>
        <v>0</v>
      </c>
      <c r="N147" s="217">
        <f>IF(OR($A147="",'Project Overview'!P144="", 'Project Overview'!P144="?"),1,0)</f>
        <v>0</v>
      </c>
      <c r="O147" s="217">
        <f t="shared" si="39"/>
        <v>3</v>
      </c>
      <c r="P147" s="217" t="str">
        <f t="shared" si="38"/>
        <v>REVER</v>
      </c>
    </row>
    <row r="148" spans="1:16" ht="28.8" hidden="1" x14ac:dyDescent="0.3">
      <c r="A148" s="217" t="str">
        <f>""&amp;'Project Overview'!A145</f>
        <v>140</v>
      </c>
      <c r="B148" s="218" t="str">
        <f>'Project Overview'!B145</f>
        <v>CSP - São João das Lampas</v>
      </c>
      <c r="C148" s="218" t="str">
        <f>'Project Overview'!C145</f>
        <v>Centro Social Paroquial de S.joão das Lampas</v>
      </c>
      <c r="D148" s="221" t="str">
        <f>'Project Overview'!R145</f>
        <v>ACTIVE</v>
      </c>
      <c r="E148" s="221" t="str">
        <f ca="1">'Project Overview'!Y145</f>
        <v>no</v>
      </c>
      <c r="F148" s="217">
        <f t="shared" si="36"/>
        <v>0</v>
      </c>
      <c r="G148" s="217">
        <f t="shared" si="37"/>
        <v>0</v>
      </c>
      <c r="H148" s="217">
        <f>IF(AND($A148&lt;&gt;"",'Project Overview'!D145=""),1,0)</f>
        <v>0</v>
      </c>
      <c r="I148" s="217">
        <f>IF(AND($A148&lt;&gt;"",'Project Overview'!F145=""),1,0)</f>
        <v>0</v>
      </c>
      <c r="J148" s="217">
        <f>IF(AND($A148&lt;&gt;"",OR('Project Overview'!I145="ESCO",'Project Overview'!I145="EPC",'Project Overview'!I145="ESCO BUYOUT"),'Project Overview'!K145=""),1,0)</f>
        <v>0</v>
      </c>
      <c r="K148" s="217">
        <f>IF(AND($A148&lt;&gt;"",'Project Overview'!M145=""),1,0)</f>
        <v>0</v>
      </c>
      <c r="L148" s="217">
        <f>IF(AND($A148&lt;&gt;"",'Project Overview'!U145=""),1,0)</f>
        <v>0</v>
      </c>
      <c r="M148" s="217">
        <f>IF(OR($A148="",'Project Overview'!O145="",'Project Overview'!O145="?"),1,0)</f>
        <v>0</v>
      </c>
      <c r="N148" s="217">
        <f>IF(OR($A148="",'Project Overview'!P145="", 'Project Overview'!P145="?"),1,0)</f>
        <v>0</v>
      </c>
      <c r="O148" s="217">
        <f t="shared" si="39"/>
        <v>0</v>
      </c>
      <c r="P148" s="217" t="str">
        <f t="shared" si="38"/>
        <v>OK</v>
      </c>
    </row>
    <row r="149" spans="1:16" ht="28.8" hidden="1" x14ac:dyDescent="0.3">
      <c r="A149" s="217" t="str">
        <f>""&amp;'Project Overview'!A146</f>
        <v>141</v>
      </c>
      <c r="B149" s="218" t="str">
        <f>'Project Overview'!B146</f>
        <v>Centro Paroquial de Mafra</v>
      </c>
      <c r="C149" s="218" t="str">
        <f>'Project Overview'!C146</f>
        <v>Centro Social Paroquial de Mafra</v>
      </c>
      <c r="D149" s="221" t="str">
        <f>'Project Overview'!R146</f>
        <v>ACTIVE</v>
      </c>
      <c r="E149" s="221" t="str">
        <f ca="1">'Project Overview'!Y146</f>
        <v>no</v>
      </c>
      <c r="F149" s="217">
        <f t="shared" si="36"/>
        <v>0</v>
      </c>
      <c r="G149" s="217">
        <f t="shared" si="37"/>
        <v>0</v>
      </c>
      <c r="H149" s="217">
        <f>IF(AND($A149&lt;&gt;"",'Project Overview'!D146=""),1,0)</f>
        <v>0</v>
      </c>
      <c r="I149" s="217">
        <f>IF(AND($A149&lt;&gt;"",'Project Overview'!F146=""),1,0)</f>
        <v>0</v>
      </c>
      <c r="J149" s="217">
        <f>IF(AND($A149&lt;&gt;"",OR('Project Overview'!I146="ESCO",'Project Overview'!I146="EPC",'Project Overview'!I146="ESCO BUYOUT"),'Project Overview'!K146=""),1,0)</f>
        <v>0</v>
      </c>
      <c r="K149" s="217">
        <f>IF(AND($A149&lt;&gt;"",'Project Overview'!M146=""),1,0)</f>
        <v>0</v>
      </c>
      <c r="L149" s="217">
        <f>IF(AND($A149&lt;&gt;"",'Project Overview'!U146=""),1,0)</f>
        <v>1</v>
      </c>
      <c r="M149" s="217">
        <f>IF(OR($A149="",'Project Overview'!O146="",'Project Overview'!O146="?"),1,0)</f>
        <v>0</v>
      </c>
      <c r="N149" s="217">
        <f>IF(OR($A149="",'Project Overview'!P146="", 'Project Overview'!P146="?"),1,0)</f>
        <v>0</v>
      </c>
      <c r="O149" s="217">
        <f t="shared" si="39"/>
        <v>1</v>
      </c>
      <c r="P149" s="217" t="str">
        <f t="shared" si="38"/>
        <v>REVER</v>
      </c>
    </row>
    <row r="150" spans="1:16" ht="43.2" hidden="1" x14ac:dyDescent="0.3">
      <c r="A150" s="217" t="str">
        <f>""&amp;'Project Overview'!A147</f>
        <v>142</v>
      </c>
      <c r="B150" s="218" t="str">
        <f>'Project Overview'!B147</f>
        <v xml:space="preserve">Mapadi </v>
      </c>
      <c r="C150" s="218" t="str">
        <f>'Project Overview'!C147</f>
        <v>Movimento de Apoio de Pais e Amigos Ao Diminuído Intelectual</v>
      </c>
      <c r="D150" s="221" t="str">
        <f>'Project Overview'!R147</f>
        <v>ACTIVE</v>
      </c>
      <c r="E150" s="221" t="str">
        <f ca="1">'Project Overview'!Y147</f>
        <v>no</v>
      </c>
      <c r="F150" s="217">
        <f t="shared" si="36"/>
        <v>0</v>
      </c>
      <c r="G150" s="217">
        <f t="shared" si="37"/>
        <v>0</v>
      </c>
      <c r="H150" s="217">
        <f>IF(AND($A150&lt;&gt;"",'Project Overview'!D147=""),1,0)</f>
        <v>0</v>
      </c>
      <c r="I150" s="217">
        <f>IF(AND($A150&lt;&gt;"",'Project Overview'!F147=""),1,0)</f>
        <v>0</v>
      </c>
      <c r="J150" s="217">
        <f>IF(AND($A150&lt;&gt;"",OR('Project Overview'!I147="ESCO",'Project Overview'!I147="EPC",'Project Overview'!I147="ESCO BUYOUT"),'Project Overview'!K147=""),1,0)</f>
        <v>0</v>
      </c>
      <c r="K150" s="217">
        <f>IF(AND($A150&lt;&gt;"",'Project Overview'!M147=""),1,0)</f>
        <v>0</v>
      </c>
      <c r="L150" s="217">
        <f>IF(AND($A150&lt;&gt;"",'Project Overview'!U147=""),1,0)</f>
        <v>1</v>
      </c>
      <c r="M150" s="217">
        <f>IF(OR($A150="",'Project Overview'!O147="",'Project Overview'!O147="?"),1,0)</f>
        <v>0</v>
      </c>
      <c r="N150" s="217">
        <f>IF(OR($A150="",'Project Overview'!P147="", 'Project Overview'!P147="?"),1,0)</f>
        <v>0</v>
      </c>
      <c r="O150" s="217">
        <f t="shared" si="39"/>
        <v>1</v>
      </c>
      <c r="P150" s="217" t="str">
        <f t="shared" si="38"/>
        <v>REVER</v>
      </c>
    </row>
    <row r="151" spans="1:16" ht="43.2" hidden="1" x14ac:dyDescent="0.3">
      <c r="A151" s="217" t="str">
        <f>""&amp;'Project Overview'!A148</f>
        <v>143</v>
      </c>
      <c r="B151" s="218" t="str">
        <f>'Project Overview'!B148</f>
        <v>ABC Santa Maria de Sedielos</v>
      </c>
      <c r="C151" s="218" t="str">
        <f>'Project Overview'!C148</f>
        <v>Associação Cultural e Beneficiente Santa Maria de Sedielos</v>
      </c>
      <c r="D151" s="221" t="str">
        <f>'Project Overview'!R148</f>
        <v>ACTIVE</v>
      </c>
      <c r="E151" s="221" t="str">
        <f ca="1">'Project Overview'!Y148</f>
        <v>no</v>
      </c>
      <c r="F151" s="217">
        <f t="shared" si="36"/>
        <v>0</v>
      </c>
      <c r="G151" s="217">
        <f t="shared" si="37"/>
        <v>0</v>
      </c>
      <c r="H151" s="217">
        <f>IF(AND($A151&lt;&gt;"",'Project Overview'!D148=""),1,0)</f>
        <v>0</v>
      </c>
      <c r="I151" s="217">
        <f>IF(AND($A151&lt;&gt;"",'Project Overview'!F148=""),1,0)</f>
        <v>0</v>
      </c>
      <c r="J151" s="217">
        <f>IF(AND($A151&lt;&gt;"",OR('Project Overview'!I148="ESCO",'Project Overview'!I148="EPC",'Project Overview'!I148="ESCO BUYOUT"),'Project Overview'!K148=""),1,0)</f>
        <v>0</v>
      </c>
      <c r="K151" s="217">
        <f>IF(AND($A151&lt;&gt;"",'Project Overview'!M148=""),1,0)</f>
        <v>0</v>
      </c>
      <c r="L151" s="217">
        <f>IF(AND($A151&lt;&gt;"",'Project Overview'!U148=""),1,0)</f>
        <v>1</v>
      </c>
      <c r="M151" s="217">
        <f>IF(OR($A151="",'Project Overview'!O148="",'Project Overview'!O148="?"),1,0)</f>
        <v>0</v>
      </c>
      <c r="N151" s="217">
        <f>IF(OR($A151="",'Project Overview'!P148="", 'Project Overview'!P148="?"),1,0)</f>
        <v>0</v>
      </c>
      <c r="O151" s="217">
        <f t="shared" si="39"/>
        <v>1</v>
      </c>
      <c r="P151" s="217" t="str">
        <f t="shared" si="38"/>
        <v>REVER</v>
      </c>
    </row>
    <row r="152" spans="1:16" ht="28.8" hidden="1" x14ac:dyDescent="0.3">
      <c r="A152" s="217" t="str">
        <f>""&amp;'Project Overview'!A149</f>
        <v>144</v>
      </c>
      <c r="B152" s="218" t="str">
        <f>'Project Overview'!B149</f>
        <v xml:space="preserve">Lagar São Vicente - CER Telheiras </v>
      </c>
      <c r="C152" s="218" t="str">
        <f>'Project Overview'!C149</f>
        <v>Freguesia do Lumiar</v>
      </c>
      <c r="D152" s="221" t="str">
        <f>'Project Overview'!R149</f>
        <v>ACTIVE</v>
      </c>
      <c r="E152" s="221" t="str">
        <f ca="1">'Project Overview'!Y149</f>
        <v>no</v>
      </c>
      <c r="F152" s="217">
        <f t="shared" si="36"/>
        <v>0</v>
      </c>
      <c r="G152" s="217">
        <f t="shared" si="37"/>
        <v>0</v>
      </c>
      <c r="H152" s="217">
        <f>IF(AND($A152&lt;&gt;"",'Project Overview'!D149=""),1,0)</f>
        <v>0</v>
      </c>
      <c r="I152" s="217">
        <f>IF(AND($A152&lt;&gt;"",'Project Overview'!F149=""),1,0)</f>
        <v>0</v>
      </c>
      <c r="J152" s="217">
        <f>IF(AND($A152&lt;&gt;"",OR('Project Overview'!I149="ESCO",'Project Overview'!I149="EPC",'Project Overview'!I149="ESCO BUYOUT"),'Project Overview'!K149=""),1,0)</f>
        <v>0</v>
      </c>
      <c r="K152" s="217">
        <f>IF(AND($A152&lt;&gt;"",'Project Overview'!M149=""),1,0)</f>
        <v>0</v>
      </c>
      <c r="L152" s="217">
        <f>IF(AND($A152&lt;&gt;"",'Project Overview'!U149=""),1,0)</f>
        <v>1</v>
      </c>
      <c r="M152" s="217">
        <f>IF(OR($A152="",'Project Overview'!O149="",'Project Overview'!O149="?"),1,0)</f>
        <v>0</v>
      </c>
      <c r="N152" s="217">
        <f>IF(OR($A152="",'Project Overview'!P149="", 'Project Overview'!P149="?"),1,0)</f>
        <v>0</v>
      </c>
      <c r="O152" s="217">
        <f t="shared" si="39"/>
        <v>1</v>
      </c>
      <c r="P152" s="217" t="str">
        <f t="shared" si="38"/>
        <v>REVER</v>
      </c>
    </row>
    <row r="153" spans="1:16" ht="28.8" hidden="1" x14ac:dyDescent="0.3">
      <c r="A153" s="217" t="str">
        <f>""&amp;'Project Overview'!A150</f>
        <v>145</v>
      </c>
      <c r="B153" s="218" t="str">
        <f>'Project Overview'!B150</f>
        <v>Marmocan</v>
      </c>
      <c r="C153" s="218" t="str">
        <f>'Project Overview'!C150</f>
        <v>Marmocan-Mármores dos Candeeiros LDA</v>
      </c>
      <c r="D153" s="221" t="str">
        <f>'Project Overview'!R150</f>
        <v>ACTIVE</v>
      </c>
      <c r="E153" s="221" t="str">
        <f ca="1">'Project Overview'!Y150</f>
        <v>no</v>
      </c>
      <c r="F153" s="217">
        <f t="shared" si="36"/>
        <v>0</v>
      </c>
      <c r="G153" s="217">
        <f t="shared" si="37"/>
        <v>0</v>
      </c>
      <c r="H153" s="217">
        <f>IF(AND($A153&lt;&gt;"",'Project Overview'!D150=""),1,0)</f>
        <v>0</v>
      </c>
      <c r="I153" s="217">
        <f>IF(AND($A153&lt;&gt;"",'Project Overview'!F150=""),1,0)</f>
        <v>0</v>
      </c>
      <c r="J153" s="217">
        <f>IF(AND($A153&lt;&gt;"",OR('Project Overview'!I150="ESCO",'Project Overview'!I150="EPC",'Project Overview'!I150="ESCO BUYOUT"),'Project Overview'!K150=""),1,0)</f>
        <v>0</v>
      </c>
      <c r="K153" s="217">
        <f>IF(AND($A153&lt;&gt;"",'Project Overview'!M150=""),1,0)</f>
        <v>0</v>
      </c>
      <c r="L153" s="217">
        <f>IF(AND($A153&lt;&gt;"",'Project Overview'!U150=""),1,0)</f>
        <v>1</v>
      </c>
      <c r="M153" s="217">
        <f>IF(OR($A153="",'Project Overview'!O150="",'Project Overview'!O150="?"),1,0)</f>
        <v>0</v>
      </c>
      <c r="N153" s="217">
        <f>IF(OR($A153="",'Project Overview'!P150="", 'Project Overview'!P150="?"),1,0)</f>
        <v>1</v>
      </c>
      <c r="O153" s="217">
        <f t="shared" si="39"/>
        <v>2</v>
      </c>
      <c r="P153" s="217" t="str">
        <f t="shared" si="38"/>
        <v>REVER</v>
      </c>
    </row>
    <row r="154" spans="1:16" ht="28.8" hidden="1" x14ac:dyDescent="0.3">
      <c r="A154" s="217" t="str">
        <f>""&amp;'Project Overview'!A151</f>
        <v>146</v>
      </c>
      <c r="B154" s="218" t="str">
        <f>'Project Overview'!B151</f>
        <v>Condomínio Expo</v>
      </c>
      <c r="C154" s="218" t="str">
        <f>'Project Overview'!C151</f>
        <v>Condomínio Avenida da Peregrinação 4</v>
      </c>
      <c r="D154" s="221" t="str">
        <f>'Project Overview'!R151</f>
        <v>ACTIVE</v>
      </c>
      <c r="E154" s="221" t="str">
        <f ca="1">'Project Overview'!Y151</f>
        <v>no</v>
      </c>
      <c r="F154" s="217">
        <f t="shared" si="36"/>
        <v>0</v>
      </c>
      <c r="G154" s="217">
        <f t="shared" si="37"/>
        <v>0</v>
      </c>
      <c r="H154" s="217">
        <f>IF(AND($A154&lt;&gt;"",'Project Overview'!D151=""),1,0)</f>
        <v>0</v>
      </c>
      <c r="I154" s="217">
        <f>IF(AND($A154&lt;&gt;"",'Project Overview'!F151=""),1,0)</f>
        <v>0</v>
      </c>
      <c r="J154" s="217">
        <f>IF(AND($A154&lt;&gt;"",OR('Project Overview'!I151="ESCO",'Project Overview'!I151="EPC",'Project Overview'!I151="ESCO BUYOUT"),'Project Overview'!K151=""),1,0)</f>
        <v>0</v>
      </c>
      <c r="K154" s="217">
        <f>IF(AND($A154&lt;&gt;"",'Project Overview'!M151=""),1,0)</f>
        <v>0</v>
      </c>
      <c r="L154" s="217">
        <f>IF(AND($A154&lt;&gt;"",'Project Overview'!U151=""),1,0)</f>
        <v>1</v>
      </c>
      <c r="M154" s="217">
        <f>IF(OR($A154="",'Project Overview'!O151="",'Project Overview'!O151="?"),1,0)</f>
        <v>0</v>
      </c>
      <c r="N154" s="217">
        <f>IF(OR($A154="",'Project Overview'!P151="", 'Project Overview'!P151="?"),1,0)</f>
        <v>0</v>
      </c>
      <c r="O154" s="217">
        <f t="shared" si="39"/>
        <v>1</v>
      </c>
      <c r="P154" s="217" t="str">
        <f t="shared" si="38"/>
        <v>REVER</v>
      </c>
    </row>
    <row r="155" spans="1:16" ht="57.6" hidden="1" x14ac:dyDescent="0.3">
      <c r="A155" s="217" t="str">
        <f>""&amp;'Project Overview'!A152</f>
        <v>147</v>
      </c>
      <c r="B155" s="218" t="str">
        <f>'Project Overview'!B152</f>
        <v>Agro-Pecuária do Porto Alto</v>
      </c>
      <c r="C155" s="218" t="str">
        <f>'Project Overview'!C152</f>
        <v>Agro-Pecuaria do Porto-Alto, Sociedade de Agricultura de Grupo Limitada</v>
      </c>
      <c r="D155" s="221" t="str">
        <f>'Project Overview'!R152</f>
        <v>ACTIVE</v>
      </c>
      <c r="E155" s="221" t="str">
        <f ca="1">'Project Overview'!Y152</f>
        <v>no</v>
      </c>
      <c r="F155" s="217">
        <f t="shared" si="36"/>
        <v>0</v>
      </c>
      <c r="G155" s="217">
        <f t="shared" si="37"/>
        <v>0</v>
      </c>
      <c r="H155" s="217">
        <f>IF(AND($A155&lt;&gt;"",'Project Overview'!D152=""),1,0)</f>
        <v>0</v>
      </c>
      <c r="I155" s="217">
        <f>IF(AND($A155&lt;&gt;"",'Project Overview'!F152=""),1,0)</f>
        <v>0</v>
      </c>
      <c r="J155" s="217">
        <f>IF(AND($A155&lt;&gt;"",OR('Project Overview'!I152="ESCO",'Project Overview'!I152="EPC",'Project Overview'!I152="ESCO BUYOUT"),'Project Overview'!K152=""),1,0)</f>
        <v>0</v>
      </c>
      <c r="K155" s="217">
        <f>IF(AND($A155&lt;&gt;"",'Project Overview'!M152=""),1,0)</f>
        <v>0</v>
      </c>
      <c r="L155" s="217">
        <f>IF(AND($A155&lt;&gt;"",'Project Overview'!U152=""),1,0)</f>
        <v>1</v>
      </c>
      <c r="M155" s="217">
        <f>IF(OR($A155="",'Project Overview'!O152="",'Project Overview'!O152="?"),1,0)</f>
        <v>0</v>
      </c>
      <c r="N155" s="217">
        <f>IF(OR($A155="",'Project Overview'!P152="", 'Project Overview'!P152="?"),1,0)</f>
        <v>0</v>
      </c>
      <c r="O155" s="217">
        <f t="shared" si="39"/>
        <v>1</v>
      </c>
      <c r="P155" s="217" t="str">
        <f t="shared" si="38"/>
        <v>REVER</v>
      </c>
    </row>
    <row r="156" spans="1:16" ht="43.2" hidden="1" x14ac:dyDescent="0.3">
      <c r="A156" s="217" t="str">
        <f>""&amp;'Project Overview'!A153</f>
        <v>148</v>
      </c>
      <c r="B156" s="218" t="str">
        <f>'Project Overview'!B153</f>
        <v>BV Sintra</v>
      </c>
      <c r="C156" s="218" t="str">
        <f>'Project Overview'!C153</f>
        <v>Associação Humanitária dos Bombeiros Voluntarios de Sintra</v>
      </c>
      <c r="D156" s="221" t="str">
        <f>'Project Overview'!R153</f>
        <v>ON HOLD</v>
      </c>
      <c r="E156" s="221" t="str">
        <f ca="1">'Project Overview'!Y153</f>
        <v>no</v>
      </c>
      <c r="F156" s="217">
        <f t="shared" si="36"/>
        <v>0</v>
      </c>
      <c r="G156" s="217">
        <f t="shared" si="37"/>
        <v>0</v>
      </c>
      <c r="H156" s="217">
        <f>IF(AND($A156&lt;&gt;"",'Project Overview'!D153=""),1,0)</f>
        <v>0</v>
      </c>
      <c r="I156" s="217">
        <f>IF(AND($A156&lt;&gt;"",'Project Overview'!F153=""),1,0)</f>
        <v>0</v>
      </c>
      <c r="J156" s="217">
        <f>IF(AND($A156&lt;&gt;"",OR('Project Overview'!I153="ESCO",'Project Overview'!I153="EPC",'Project Overview'!I153="ESCO BUYOUT"),'Project Overview'!K153=""),1,0)</f>
        <v>0</v>
      </c>
      <c r="K156" s="217">
        <f>IF(AND($A156&lt;&gt;"",'Project Overview'!M153=""),1,0)</f>
        <v>0</v>
      </c>
      <c r="L156" s="217">
        <f>IF(AND($A156&lt;&gt;"",'Project Overview'!U153=""),1,0)</f>
        <v>0</v>
      </c>
      <c r="M156" s="217">
        <f>IF(OR($A156="",'Project Overview'!O153="",'Project Overview'!O153="?"),1,0)</f>
        <v>1</v>
      </c>
      <c r="N156" s="217">
        <f>IF(OR($A156="",'Project Overview'!P153="", 'Project Overview'!P153="?"),1,0)</f>
        <v>1</v>
      </c>
      <c r="O156" s="217">
        <f t="shared" si="39"/>
        <v>2</v>
      </c>
      <c r="P156" s="217" t="str">
        <f t="shared" si="38"/>
        <v>REVER</v>
      </c>
    </row>
    <row r="157" spans="1:16" ht="28.8" hidden="1" x14ac:dyDescent="0.3">
      <c r="A157" s="217" t="str">
        <f>""&amp;'Project Overview'!A154</f>
        <v>149</v>
      </c>
      <c r="B157" s="218" t="str">
        <f>'Project Overview'!B154</f>
        <v>Queijaria Lourenço &amp; Filhos (EPC)</v>
      </c>
      <c r="C157" s="218" t="str">
        <f>'Project Overview'!C154</f>
        <v>Lourenço &amp; Filhos LDA</v>
      </c>
      <c r="D157" s="221" t="str">
        <f>'Project Overview'!R154</f>
        <v>ACTIVE</v>
      </c>
      <c r="E157" s="221" t="str">
        <f ca="1">'Project Overview'!Y154</f>
        <v>no</v>
      </c>
      <c r="F157" s="217">
        <f t="shared" si="36"/>
        <v>0</v>
      </c>
      <c r="G157" s="217">
        <f t="shared" si="37"/>
        <v>0</v>
      </c>
      <c r="H157" s="217">
        <f>IF(AND($A157&lt;&gt;"",'Project Overview'!D154=""),1,0)</f>
        <v>0</v>
      </c>
      <c r="I157" s="217">
        <f>IF(AND($A157&lt;&gt;"",'Project Overview'!F154=""),1,0)</f>
        <v>0</v>
      </c>
      <c r="J157" s="217">
        <f>IF(AND($A157&lt;&gt;"",OR('Project Overview'!I154="ESCO",'Project Overview'!I154="EPC",'Project Overview'!I154="ESCO BUYOUT"),'Project Overview'!K154=""),1,0)</f>
        <v>0</v>
      </c>
      <c r="K157" s="217">
        <f>IF(AND($A157&lt;&gt;"",'Project Overview'!M154=""),1,0)</f>
        <v>0</v>
      </c>
      <c r="L157" s="217">
        <f>IF(AND($A157&lt;&gt;"",'Project Overview'!U154=""),1,0)</f>
        <v>1</v>
      </c>
      <c r="M157" s="217">
        <f>IF(OR($A157="",'Project Overview'!O154="",'Project Overview'!O154="?"),1,0)</f>
        <v>0</v>
      </c>
      <c r="N157" s="217">
        <f>IF(OR($A157="",'Project Overview'!P154="", 'Project Overview'!P154="?"),1,0)</f>
        <v>0</v>
      </c>
      <c r="O157" s="217">
        <f t="shared" si="39"/>
        <v>1</v>
      </c>
      <c r="P157" s="217" t="str">
        <f t="shared" si="38"/>
        <v>REVER</v>
      </c>
    </row>
    <row r="158" spans="1:16" ht="43.2" hidden="1" x14ac:dyDescent="0.3">
      <c r="A158" s="217" t="str">
        <f>""&amp;'Project Overview'!A155</f>
        <v>150</v>
      </c>
      <c r="B158" s="218" t="str">
        <f>'Project Overview'!B155</f>
        <v>António Evaristo Gonçalves - Projeto 1</v>
      </c>
      <c r="C158" s="218" t="str">
        <f>'Project Overview'!C155</f>
        <v>António Evaristo Gonçalves - Sociedade Agrícola, Unipessoal Lda</v>
      </c>
      <c r="D158" s="221" t="str">
        <f>'Project Overview'!R155</f>
        <v>ACTIVE</v>
      </c>
      <c r="E158" s="221" t="str">
        <f ca="1">'Project Overview'!Y155</f>
        <v>yes</v>
      </c>
      <c r="F158" s="217">
        <f t="shared" ref="F158:F159" si="40">IF(OR($A158="",$B158=""),1,0)</f>
        <v>0</v>
      </c>
      <c r="G158" s="217">
        <f t="shared" ref="G158:G159" si="41">IF($C158="",1,0)</f>
        <v>0</v>
      </c>
      <c r="H158" s="217">
        <f>IF(AND($A158&lt;&gt;"",'Project Overview'!D155=""),1,0)</f>
        <v>0</v>
      </c>
      <c r="I158" s="217">
        <f>IF(AND($A158&lt;&gt;"",'Project Overview'!F155=""),1,0)</f>
        <v>0</v>
      </c>
      <c r="J158" s="217">
        <f>IF(AND($A158&lt;&gt;"",OR('Project Overview'!I155="ESCO",'Project Overview'!I155="EPC",'Project Overview'!I155="ESCO BUYOUT"),'Project Overview'!K155=""),1,0)</f>
        <v>0</v>
      </c>
      <c r="K158" s="217">
        <f>IF(AND($A158&lt;&gt;"",'Project Overview'!M155=""),1,0)</f>
        <v>0</v>
      </c>
      <c r="L158" s="217">
        <f>IF(AND($A158&lt;&gt;"",'Project Overview'!U155=""),1,0)</f>
        <v>0</v>
      </c>
      <c r="M158" s="217">
        <f>IF(OR($A158="",'Project Overview'!O155="",'Project Overview'!O155="?"),1,0)</f>
        <v>0</v>
      </c>
      <c r="N158" s="217">
        <f>IF(OR($A158="",'Project Overview'!P155="", 'Project Overview'!P155="?"),1,0)</f>
        <v>0</v>
      </c>
      <c r="O158" s="217">
        <f t="shared" si="39"/>
        <v>0</v>
      </c>
      <c r="P158" s="217" t="str">
        <f t="shared" si="38"/>
        <v>OK</v>
      </c>
    </row>
    <row r="159" spans="1:16" ht="43.2" hidden="1" x14ac:dyDescent="0.3">
      <c r="A159" s="217" t="str">
        <f>""&amp;'Project Overview'!A156</f>
        <v>151</v>
      </c>
      <c r="B159" s="218" t="str">
        <f>'Project Overview'!B156</f>
        <v>António Evaristo Gonçalves - Projeto 3</v>
      </c>
      <c r="C159" s="218" t="str">
        <f>'Project Overview'!C156</f>
        <v>António Evaristo Gonçalves - Sociedade Agrícola, Unipessoal Lda</v>
      </c>
      <c r="D159" s="221" t="str">
        <f>'Project Overview'!R156</f>
        <v>ACTIVE</v>
      </c>
      <c r="E159" s="221" t="str">
        <f ca="1">'Project Overview'!Y156</f>
        <v>yes</v>
      </c>
      <c r="F159" s="217">
        <f t="shared" si="40"/>
        <v>0</v>
      </c>
      <c r="G159" s="217">
        <f t="shared" si="41"/>
        <v>0</v>
      </c>
      <c r="H159" s="217">
        <f>IF(AND($A159&lt;&gt;"",'Project Overview'!D156=""),1,0)</f>
        <v>0</v>
      </c>
      <c r="I159" s="217">
        <f>IF(AND($A159&lt;&gt;"",'Project Overview'!F156=""),1,0)</f>
        <v>0</v>
      </c>
      <c r="J159" s="217">
        <f>IF(AND($A159&lt;&gt;"",OR('Project Overview'!I156="ESCO",'Project Overview'!I156="EPC",'Project Overview'!I156="ESCO BUYOUT"),'Project Overview'!K156=""),1,0)</f>
        <v>0</v>
      </c>
      <c r="K159" s="217">
        <f>IF(AND($A159&lt;&gt;"",'Project Overview'!M156=""),1,0)</f>
        <v>0</v>
      </c>
      <c r="L159" s="217">
        <f>IF(AND($A159&lt;&gt;"",'Project Overview'!U156=""),1,0)</f>
        <v>0</v>
      </c>
      <c r="M159" s="217">
        <f>IF(OR($A159="",'Project Overview'!O156="",'Project Overview'!O156="?"),1,0)</f>
        <v>0</v>
      </c>
      <c r="N159" s="217">
        <f>IF(OR($A159="",'Project Overview'!P156="", 'Project Overview'!P156="?"),1,0)</f>
        <v>0</v>
      </c>
      <c r="O159" s="217">
        <f t="shared" si="39"/>
        <v>0</v>
      </c>
      <c r="P159" s="217" t="str">
        <f t="shared" si="38"/>
        <v>OK</v>
      </c>
    </row>
    <row r="160" spans="1:16" ht="28.8" hidden="1" x14ac:dyDescent="0.3">
      <c r="A160" s="217" t="str">
        <f>""&amp;'Project Overview'!A157</f>
        <v>152</v>
      </c>
      <c r="B160" s="218" t="str">
        <f>'Project Overview'!B157</f>
        <v xml:space="preserve">Modelvision </v>
      </c>
      <c r="C160" s="218" t="str">
        <f>'Project Overview'!C157</f>
        <v>Modelvision, Unipessoal, Lda</v>
      </c>
      <c r="D160" s="221" t="str">
        <f>'Project Overview'!R157</f>
        <v>ACTIVE</v>
      </c>
      <c r="E160" s="221" t="str">
        <f ca="1">'Project Overview'!Y157</f>
        <v>no</v>
      </c>
      <c r="F160" s="217">
        <f t="shared" si="36"/>
        <v>0</v>
      </c>
      <c r="G160" s="217">
        <f t="shared" si="37"/>
        <v>0</v>
      </c>
      <c r="H160" s="217">
        <f>IF(AND($A160&lt;&gt;"",'Project Overview'!D157=""),1,0)</f>
        <v>0</v>
      </c>
      <c r="I160" s="217">
        <f>IF(AND($A160&lt;&gt;"",'Project Overview'!F157=""),1,0)</f>
        <v>0</v>
      </c>
      <c r="J160" s="217">
        <f>IF(AND($A160&lt;&gt;"",OR('Project Overview'!I157="ESCO",'Project Overview'!I157="EPC",'Project Overview'!I157="ESCO BUYOUT"),'Project Overview'!K157=""),1,0)</f>
        <v>0</v>
      </c>
      <c r="K160" s="217">
        <f>IF(AND($A160&lt;&gt;"",'Project Overview'!M157=""),1,0)</f>
        <v>0</v>
      </c>
      <c r="L160" s="217">
        <f>IF(AND($A160&lt;&gt;"",'Project Overview'!U157=""),1,0)</f>
        <v>0</v>
      </c>
      <c r="M160" s="217">
        <f>IF(OR($A160="",'Project Overview'!O157="",'Project Overview'!O157="?"),1,0)</f>
        <v>0</v>
      </c>
      <c r="N160" s="217">
        <f>IF(OR($A160="",'Project Overview'!P157="", 'Project Overview'!P157="?"),1,0)</f>
        <v>0</v>
      </c>
      <c r="O160" s="217">
        <f t="shared" si="39"/>
        <v>0</v>
      </c>
      <c r="P160" s="217" t="str">
        <f t="shared" si="38"/>
        <v>OK</v>
      </c>
    </row>
    <row r="161" spans="1:16" ht="43.2" hidden="1" x14ac:dyDescent="0.3">
      <c r="A161" s="217" t="str">
        <f>""&amp;'Project Overview'!A158</f>
        <v>153</v>
      </c>
      <c r="B161" s="218" t="str">
        <f>'Project Overview'!B158</f>
        <v>Residência São Nuno de Santa Maria - Liga dos Combatentes</v>
      </c>
      <c r="C161" s="218" t="str">
        <f>'Project Overview'!C158</f>
        <v>Liga dos Combatentes</v>
      </c>
      <c r="D161" s="221" t="str">
        <f>'Project Overview'!R158</f>
        <v>ACTIVE</v>
      </c>
      <c r="E161" s="221" t="str">
        <f ca="1">'Project Overview'!Y158</f>
        <v>no</v>
      </c>
      <c r="F161" s="217">
        <f t="shared" si="36"/>
        <v>0</v>
      </c>
      <c r="G161" s="217">
        <f t="shared" si="37"/>
        <v>0</v>
      </c>
      <c r="H161" s="217">
        <f>IF(AND($A161&lt;&gt;"",'Project Overview'!D158=""),1,0)</f>
        <v>0</v>
      </c>
      <c r="I161" s="217">
        <f>IF(AND($A161&lt;&gt;"",'Project Overview'!F158=""),1,0)</f>
        <v>0</v>
      </c>
      <c r="J161" s="217">
        <f>IF(AND($A161&lt;&gt;"",OR('Project Overview'!I158="ESCO",'Project Overview'!I158="EPC",'Project Overview'!I158="ESCO BUYOUT"),'Project Overview'!K158=""),1,0)</f>
        <v>0</v>
      </c>
      <c r="K161" s="217">
        <f>IF(AND($A161&lt;&gt;"",'Project Overview'!M158=""),1,0)</f>
        <v>0</v>
      </c>
      <c r="L161" s="217">
        <f>IF(AND($A161&lt;&gt;"",'Project Overview'!U158=""),1,0)</f>
        <v>1</v>
      </c>
      <c r="M161" s="217">
        <f>IF(OR($A161="",'Project Overview'!O158="",'Project Overview'!O158="?"),1,0)</f>
        <v>0</v>
      </c>
      <c r="N161" s="217">
        <f>IF(OR($A161="",'Project Overview'!P158="", 'Project Overview'!P158="?"),1,0)</f>
        <v>0</v>
      </c>
      <c r="O161" s="217">
        <f t="shared" si="39"/>
        <v>1</v>
      </c>
      <c r="P161" s="217" t="str">
        <f t="shared" si="38"/>
        <v>REVER</v>
      </c>
    </row>
    <row r="162" spans="1:16" ht="43.2" hidden="1" x14ac:dyDescent="0.3">
      <c r="A162" s="217" t="str">
        <f>""&amp;'Project Overview'!A159</f>
        <v>154</v>
      </c>
      <c r="B162" s="218" t="str">
        <f>'Project Overview'!B159</f>
        <v>Projeto 2 - António Evaristo Goncalves</v>
      </c>
      <c r="C162" s="218" t="str">
        <f>'Project Overview'!C159</f>
        <v>António Evaristo Gonçalves - Sociedade Agrícola, Unipessoal Lda</v>
      </c>
      <c r="D162" s="221" t="str">
        <f>'Project Overview'!R159</f>
        <v>ACTIVE</v>
      </c>
      <c r="E162" s="221" t="str">
        <f ca="1">'Project Overview'!Y159</f>
        <v>no</v>
      </c>
      <c r="F162" s="217">
        <f t="shared" si="36"/>
        <v>0</v>
      </c>
      <c r="G162" s="217">
        <f t="shared" si="37"/>
        <v>0</v>
      </c>
      <c r="H162" s="217">
        <f>IF(AND($A162&lt;&gt;"",'Project Overview'!D159=""),1,0)</f>
        <v>0</v>
      </c>
      <c r="I162" s="217">
        <f>IF(AND($A162&lt;&gt;"",'Project Overview'!F159=""),1,0)</f>
        <v>0</v>
      </c>
      <c r="J162" s="217">
        <f>IF(AND($A162&lt;&gt;"",OR('Project Overview'!I159="ESCO",'Project Overview'!I159="EPC",'Project Overview'!I159="ESCO BUYOUT"),'Project Overview'!K159=""),1,0)</f>
        <v>0</v>
      </c>
      <c r="K162" s="217">
        <f>IF(AND($A162&lt;&gt;"",'Project Overview'!M159=""),1,0)</f>
        <v>0</v>
      </c>
      <c r="L162" s="217">
        <f>IF(AND($A162&lt;&gt;"",'Project Overview'!U159=""),1,0)</f>
        <v>0</v>
      </c>
      <c r="M162" s="217">
        <f>IF(OR($A162="",'Project Overview'!O159="",'Project Overview'!O159="?"),1,0)</f>
        <v>0</v>
      </c>
      <c r="N162" s="217">
        <f>IF(OR($A162="",'Project Overview'!P159="", 'Project Overview'!P159="?"),1,0)</f>
        <v>0</v>
      </c>
      <c r="O162" s="217">
        <f t="shared" si="39"/>
        <v>0</v>
      </c>
      <c r="P162" s="217" t="str">
        <f t="shared" si="38"/>
        <v>OK</v>
      </c>
    </row>
    <row r="163" spans="1:16" hidden="1" x14ac:dyDescent="0.3">
      <c r="A163" s="217" t="str">
        <f>""&amp;'Project Overview'!A160</f>
        <v>155</v>
      </c>
      <c r="B163" s="218" t="str">
        <f>'Project Overview'!B160</f>
        <v>Monterosa</v>
      </c>
      <c r="C163" s="218" t="str">
        <f>'Project Overview'!C160</f>
        <v>Viveiros Monterosa, LDA</v>
      </c>
      <c r="D163" s="221" t="str">
        <f>'Project Overview'!R160</f>
        <v>ACTIVE</v>
      </c>
      <c r="E163" s="221" t="str">
        <f ca="1">'Project Overview'!Y160</f>
        <v>yes</v>
      </c>
      <c r="F163" s="217">
        <f>IF(OR($A163="",$B163=""),1,0)</f>
        <v>0</v>
      </c>
      <c r="G163" s="217">
        <f>IF($C163="",1,0)</f>
        <v>0</v>
      </c>
      <c r="H163" s="217">
        <f>IF(AND($A163&lt;&gt;"",'Project Overview'!D160=""),1,0)</f>
        <v>0</v>
      </c>
      <c r="I163" s="217">
        <f>IF(AND($A163&lt;&gt;"",'Project Overview'!F160=""),1,0)</f>
        <v>0</v>
      </c>
      <c r="J163" s="217">
        <f>IF(AND($A163&lt;&gt;"",OR('Project Overview'!I160="ESCO",'Project Overview'!I160="EPC",'Project Overview'!I160="ESCO BUYOUT"),'Project Overview'!K160=""),1,0)</f>
        <v>0</v>
      </c>
      <c r="K163" s="217">
        <f>IF(AND($A163&lt;&gt;"",'Project Overview'!M160=""),1,0)</f>
        <v>0</v>
      </c>
      <c r="L163" s="217">
        <f>IF(AND($A163&lt;&gt;"",'Project Overview'!U160=""),1,0)</f>
        <v>0</v>
      </c>
      <c r="M163" s="217">
        <f>IF(OR($A163="",'Project Overview'!O160="",'Project Overview'!O160="?"),1,0)</f>
        <v>0</v>
      </c>
      <c r="N163" s="217">
        <f>IF(OR($A163="",'Project Overview'!P160="", 'Project Overview'!P160="?"),1,0)</f>
        <v>0</v>
      </c>
      <c r="O163" s="217">
        <f t="shared" si="39"/>
        <v>0</v>
      </c>
      <c r="P163" s="217" t="str">
        <f t="shared" si="38"/>
        <v>OK</v>
      </c>
    </row>
    <row r="164" spans="1:16" ht="43.2" hidden="1" x14ac:dyDescent="0.3">
      <c r="A164" s="217" t="str">
        <f>""&amp;'Project Overview'!A161</f>
        <v>156</v>
      </c>
      <c r="B164" s="218" t="str">
        <f>'Project Overview'!B161</f>
        <v>Centro Infantil - Centro Comunitário da Quinta do Conde</v>
      </c>
      <c r="C164" s="218" t="str">
        <f>'Project Overview'!C161</f>
        <v>Centro Comunitário Da Quinta Da Conde</v>
      </c>
      <c r="D164" s="221" t="str">
        <f>'Project Overview'!R161</f>
        <v>ACTIVE</v>
      </c>
      <c r="E164" s="221" t="str">
        <f ca="1">'Project Overview'!Y161</f>
        <v>no</v>
      </c>
      <c r="F164" s="217">
        <f t="shared" si="36"/>
        <v>0</v>
      </c>
      <c r="G164" s="217">
        <f t="shared" si="37"/>
        <v>0</v>
      </c>
      <c r="H164" s="217">
        <f>IF(AND($A164&lt;&gt;"",'Project Overview'!D161=""),1,0)</f>
        <v>0</v>
      </c>
      <c r="I164" s="217">
        <f>IF(AND($A164&lt;&gt;"",'Project Overview'!F161=""),1,0)</f>
        <v>0</v>
      </c>
      <c r="J164" s="217">
        <f>IF(AND($A164&lt;&gt;"",OR('Project Overview'!I161="ESCO",'Project Overview'!I161="EPC",'Project Overview'!I161="ESCO BUYOUT"),'Project Overview'!K161=""),1,0)</f>
        <v>0</v>
      </c>
      <c r="K164" s="217">
        <f>IF(AND($A164&lt;&gt;"",'Project Overview'!M161=""),1,0)</f>
        <v>0</v>
      </c>
      <c r="L164" s="217">
        <f>IF(AND($A164&lt;&gt;"",'Project Overview'!U161=""),1,0)</f>
        <v>0</v>
      </c>
      <c r="M164" s="217">
        <f>IF(OR($A164="",'Project Overview'!O161="",'Project Overview'!O161="?"),1,0)</f>
        <v>0</v>
      </c>
      <c r="N164" s="217">
        <f>IF(OR($A164="",'Project Overview'!P161="", 'Project Overview'!P161="?"),1,0)</f>
        <v>0</v>
      </c>
      <c r="O164" s="217">
        <f t="shared" si="39"/>
        <v>0</v>
      </c>
      <c r="P164" s="217" t="str">
        <f t="shared" si="38"/>
        <v>OK</v>
      </c>
    </row>
    <row r="165" spans="1:16" ht="43.2" hidden="1" x14ac:dyDescent="0.3">
      <c r="A165" s="217" t="str">
        <f>""&amp;'Project Overview'!A162</f>
        <v>157</v>
      </c>
      <c r="B165" s="218" t="str">
        <f>'Project Overview'!B162</f>
        <v>Sede - Centro Comunitário da Quinta do Conde</v>
      </c>
      <c r="C165" s="218" t="str">
        <f>'Project Overview'!C162</f>
        <v>Centro Comunitário Da Quinta Da Conde</v>
      </c>
      <c r="D165" s="221" t="str">
        <f>'Project Overview'!R162</f>
        <v>ACTIVE</v>
      </c>
      <c r="E165" s="221" t="str">
        <f ca="1">'Project Overview'!Y162</f>
        <v>no</v>
      </c>
      <c r="F165" s="217">
        <f t="shared" si="36"/>
        <v>0</v>
      </c>
      <c r="G165" s="217">
        <f t="shared" si="37"/>
        <v>0</v>
      </c>
      <c r="H165" s="217">
        <f>IF(AND($A165&lt;&gt;"",'Project Overview'!D162=""),1,0)</f>
        <v>0</v>
      </c>
      <c r="I165" s="217">
        <f>IF(AND($A165&lt;&gt;"",'Project Overview'!F162=""),1,0)</f>
        <v>0</v>
      </c>
      <c r="J165" s="217">
        <f>IF(AND($A165&lt;&gt;"",OR('Project Overview'!I162="ESCO",'Project Overview'!I162="EPC",'Project Overview'!I162="ESCO BUYOUT"),'Project Overview'!K162=""),1,0)</f>
        <v>0</v>
      </c>
      <c r="K165" s="217">
        <f>IF(AND($A165&lt;&gt;"",'Project Overview'!M162=""),1,0)</f>
        <v>0</v>
      </c>
      <c r="L165" s="217">
        <f>IF(AND($A165&lt;&gt;"",'Project Overview'!U162=""),1,0)</f>
        <v>0</v>
      </c>
      <c r="M165" s="217">
        <f>IF(OR($A165="",'Project Overview'!O162="",'Project Overview'!O162="?"),1,0)</f>
        <v>0</v>
      </c>
      <c r="N165" s="217">
        <f>IF(OR($A165="",'Project Overview'!P162="", 'Project Overview'!P162="?"),1,0)</f>
        <v>0</v>
      </c>
      <c r="O165" s="217">
        <f t="shared" si="39"/>
        <v>0</v>
      </c>
      <c r="P165" s="217" t="str">
        <f t="shared" si="38"/>
        <v>OK</v>
      </c>
    </row>
    <row r="166" spans="1:16" hidden="1" x14ac:dyDescent="0.3">
      <c r="A166" s="217" t="str">
        <f>""&amp;'Project Overview'!A163</f>
        <v>158</v>
      </c>
      <c r="B166" s="218" t="str">
        <f>'Project Overview'!B163</f>
        <v>Lareiras Sousa</v>
      </c>
      <c r="C166" s="218" t="str">
        <f>'Project Overview'!C163</f>
        <v>Lareiras Sousa Lda.</v>
      </c>
      <c r="D166" s="221" t="str">
        <f>'Project Overview'!R163</f>
        <v>ACTIVE</v>
      </c>
      <c r="E166" s="221" t="str">
        <f ca="1">'Project Overview'!Y163</f>
        <v>yes</v>
      </c>
      <c r="F166" s="217">
        <f>IF(OR($A166="",$B166=""),1,0)</f>
        <v>0</v>
      </c>
      <c r="G166" s="217">
        <f>IF($C166="",1,0)</f>
        <v>0</v>
      </c>
      <c r="H166" s="217">
        <f>IF(AND($A166&lt;&gt;"",'Project Overview'!D163=""),1,0)</f>
        <v>0</v>
      </c>
      <c r="I166" s="217">
        <f>IF(AND($A166&lt;&gt;"",'Project Overview'!F163=""),1,0)</f>
        <v>0</v>
      </c>
      <c r="J166" s="217">
        <f>IF(AND($A166&lt;&gt;"",OR('Project Overview'!I163="ESCO",'Project Overview'!I163="EPC",'Project Overview'!I163="ESCO BUYOUT"),'Project Overview'!K163=""),1,0)</f>
        <v>0</v>
      </c>
      <c r="K166" s="217">
        <f>IF(AND($A166&lt;&gt;"",'Project Overview'!M163=""),1,0)</f>
        <v>0</v>
      </c>
      <c r="L166" s="217">
        <f>IF(AND($A166&lt;&gt;"",'Project Overview'!U163=""),1,0)</f>
        <v>0</v>
      </c>
      <c r="M166" s="217">
        <f>IF(OR($A166="",'Project Overview'!O163="",'Project Overview'!O163="?"),1,0)</f>
        <v>0</v>
      </c>
      <c r="N166" s="217">
        <f>IF(OR($A166="",'Project Overview'!P163="", 'Project Overview'!P163="?"),1,0)</f>
        <v>0</v>
      </c>
      <c r="O166" s="217">
        <f t="shared" si="39"/>
        <v>0</v>
      </c>
      <c r="P166" s="217" t="str">
        <f t="shared" si="38"/>
        <v>OK</v>
      </c>
    </row>
    <row r="167" spans="1:16" ht="28.8" hidden="1" x14ac:dyDescent="0.3">
      <c r="A167" s="217" t="str">
        <f>""&amp;'Project Overview'!A164</f>
        <v>159</v>
      </c>
      <c r="B167" s="218" t="str">
        <f>'Project Overview'!B164</f>
        <v>Protecnil</v>
      </c>
      <c r="C167" s="218" t="str">
        <f>'Project Overview'!C164</f>
        <v>Protecnil - Sociedade Técnica Construções, S.A</v>
      </c>
      <c r="D167" s="221" t="str">
        <f>'Project Overview'!R164</f>
        <v>ACTIVE</v>
      </c>
      <c r="E167" s="221" t="str">
        <f ca="1">'Project Overview'!Y164</f>
        <v>no</v>
      </c>
      <c r="F167" s="217">
        <f t="shared" si="36"/>
        <v>0</v>
      </c>
      <c r="G167" s="217">
        <f t="shared" si="37"/>
        <v>0</v>
      </c>
      <c r="H167" s="217">
        <f>IF(AND($A167&lt;&gt;"",'Project Overview'!D164=""),1,0)</f>
        <v>0</v>
      </c>
      <c r="I167" s="217">
        <f>IF(AND($A167&lt;&gt;"",'Project Overview'!F164=""),1,0)</f>
        <v>0</v>
      </c>
      <c r="J167" s="217">
        <f>IF(AND($A167&lt;&gt;"",OR('Project Overview'!I164="ESCO",'Project Overview'!I164="EPC",'Project Overview'!I164="ESCO BUYOUT"),'Project Overview'!K164=""),1,0)</f>
        <v>0</v>
      </c>
      <c r="K167" s="217">
        <f>IF(AND($A167&lt;&gt;"",'Project Overview'!M164=""),1,0)</f>
        <v>0</v>
      </c>
      <c r="L167" s="217">
        <f>IF(AND($A167&lt;&gt;"",'Project Overview'!U164=""),1,0)</f>
        <v>0</v>
      </c>
      <c r="M167" s="217">
        <f>IF(OR($A167="",'Project Overview'!O164="",'Project Overview'!O164="?"),1,0)</f>
        <v>0</v>
      </c>
      <c r="N167" s="217">
        <f>IF(OR($A167="",'Project Overview'!P164="", 'Project Overview'!P164="?"),1,0)</f>
        <v>0</v>
      </c>
      <c r="O167" s="217">
        <f t="shared" si="39"/>
        <v>0</v>
      </c>
      <c r="P167" s="217" t="str">
        <f t="shared" si="38"/>
        <v>OK</v>
      </c>
    </row>
    <row r="168" spans="1:16" hidden="1" x14ac:dyDescent="0.3">
      <c r="A168" s="217" t="str">
        <f>""&amp;'Project Overview'!A165</f>
        <v>160</v>
      </c>
      <c r="B168" s="218" t="str">
        <f>'Project Overview'!B165</f>
        <v>Descut</v>
      </c>
      <c r="C168" s="218" t="str">
        <f>'Project Overview'!C165</f>
        <v>DESCUT - Design, Lda.</v>
      </c>
      <c r="D168" s="221" t="str">
        <f>'Project Overview'!R165</f>
        <v>ON HOLD</v>
      </c>
      <c r="E168" s="221" t="str">
        <f ca="1">'Project Overview'!Y165</f>
        <v>no</v>
      </c>
      <c r="F168" s="217">
        <f t="shared" si="36"/>
        <v>0</v>
      </c>
      <c r="G168" s="217">
        <f t="shared" si="37"/>
        <v>0</v>
      </c>
      <c r="H168" s="217">
        <f>IF(AND($A168&lt;&gt;"",'Project Overview'!D165=""),1,0)</f>
        <v>1</v>
      </c>
      <c r="I168" s="217">
        <f>IF(AND($A168&lt;&gt;"",'Project Overview'!F165=""),1,0)</f>
        <v>0</v>
      </c>
      <c r="J168" s="217">
        <f>IF(AND($A168&lt;&gt;"",OR('Project Overview'!I165="ESCO",'Project Overview'!I165="EPC",'Project Overview'!I165="ESCO BUYOUT"),'Project Overview'!K165=""),1,0)</f>
        <v>1</v>
      </c>
      <c r="K168" s="217">
        <f>IF(AND($A168&lt;&gt;"",'Project Overview'!M165=""),1,0)</f>
        <v>1</v>
      </c>
      <c r="L168" s="217">
        <f>IF(AND($A168&lt;&gt;"",'Project Overview'!U165=""),1,0)</f>
        <v>1</v>
      </c>
      <c r="M168" s="217">
        <f>IF(OR($A168="",'Project Overview'!O165="",'Project Overview'!O165="?"),1,0)</f>
        <v>1</v>
      </c>
      <c r="N168" s="217">
        <f>IF(OR($A168="",'Project Overview'!P165="", 'Project Overview'!P165="?"),1,0)</f>
        <v>1</v>
      </c>
      <c r="O168" s="217">
        <f t="shared" si="39"/>
        <v>6</v>
      </c>
      <c r="P168" s="217" t="str">
        <f t="shared" si="38"/>
        <v>REVER</v>
      </c>
    </row>
    <row r="169" spans="1:16" ht="28.8" hidden="1" x14ac:dyDescent="0.3">
      <c r="A169" s="217" t="str">
        <f>""&amp;'Project Overview'!A166</f>
        <v>161</v>
      </c>
      <c r="B169" s="218" t="str">
        <f>'Project Overview'!B166</f>
        <v>Esboços &amp; Esquadrias</v>
      </c>
      <c r="C169" s="218" t="str">
        <f>'Project Overview'!C166</f>
        <v>Esboços e Esquadrias, Unipessoal Lda.</v>
      </c>
      <c r="D169" s="221" t="str">
        <f>'Project Overview'!R166</f>
        <v>ACTIVE</v>
      </c>
      <c r="E169" s="221" t="str">
        <f ca="1">'Project Overview'!Y166</f>
        <v>no</v>
      </c>
      <c r="F169" s="217">
        <f t="shared" si="36"/>
        <v>0</v>
      </c>
      <c r="G169" s="217">
        <f t="shared" si="37"/>
        <v>0</v>
      </c>
      <c r="H169" s="217">
        <f>IF(AND($A169&lt;&gt;"",'Project Overview'!D166=""),1,0)</f>
        <v>0</v>
      </c>
      <c r="I169" s="217">
        <f>IF(AND($A169&lt;&gt;"",'Project Overview'!F166=""),1,0)</f>
        <v>0</v>
      </c>
      <c r="J169" s="217">
        <f>IF(AND($A169&lt;&gt;"",OR('Project Overview'!I166="ESCO",'Project Overview'!I166="EPC",'Project Overview'!I166="ESCO BUYOUT"),'Project Overview'!K166=""),1,0)</f>
        <v>0</v>
      </c>
      <c r="K169" s="217">
        <f>IF(AND($A169&lt;&gt;"",'Project Overview'!M166=""),1,0)</f>
        <v>0</v>
      </c>
      <c r="L169" s="217">
        <f>IF(AND($A169&lt;&gt;"",'Project Overview'!U166=""),1,0)</f>
        <v>0</v>
      </c>
      <c r="M169" s="217">
        <f>IF(OR($A169="",'Project Overview'!O166="",'Project Overview'!O166="?"),1,0)</f>
        <v>0</v>
      </c>
      <c r="N169" s="217">
        <f>IF(OR($A169="",'Project Overview'!P166="", 'Project Overview'!P166="?"),1,0)</f>
        <v>0</v>
      </c>
      <c r="O169" s="217">
        <f t="shared" si="39"/>
        <v>0</v>
      </c>
      <c r="P169" s="217" t="str">
        <f t="shared" si="38"/>
        <v>OK</v>
      </c>
    </row>
    <row r="170" spans="1:16" ht="28.8" hidden="1" x14ac:dyDescent="0.3">
      <c r="A170" s="217" t="str">
        <f>""&amp;'Project Overview'!A167</f>
        <v>162</v>
      </c>
      <c r="B170" s="218" t="str">
        <f>'Project Overview'!B167</f>
        <v>Alojamento Estudantil Benfica</v>
      </c>
      <c r="C170" s="218">
        <f>'Project Overview'!C167</f>
        <v>0</v>
      </c>
      <c r="D170" s="221" t="str">
        <f>'Project Overview'!R167</f>
        <v>ACTIVE</v>
      </c>
      <c r="E170" s="221" t="str">
        <f ca="1">'Project Overview'!Y167</f>
        <v>no</v>
      </c>
      <c r="F170" s="217">
        <f t="shared" si="36"/>
        <v>0</v>
      </c>
      <c r="G170" s="217">
        <f t="shared" si="37"/>
        <v>0</v>
      </c>
      <c r="H170" s="217">
        <f>IF(AND($A170&lt;&gt;"",'Project Overview'!D167=""),1,0)</f>
        <v>1</v>
      </c>
      <c r="I170" s="217">
        <f>IF(AND($A170&lt;&gt;"",'Project Overview'!F167=""),1,0)</f>
        <v>0</v>
      </c>
      <c r="J170" s="217">
        <f>IF(AND($A170&lt;&gt;"",OR('Project Overview'!I167="ESCO",'Project Overview'!I167="EPC",'Project Overview'!I167="ESCO BUYOUT"),'Project Overview'!K167=""),1,0)</f>
        <v>0</v>
      </c>
      <c r="K170" s="217">
        <f>IF(AND($A170&lt;&gt;"",'Project Overview'!M167=""),1,0)</f>
        <v>0</v>
      </c>
      <c r="L170" s="217">
        <f>IF(AND($A170&lt;&gt;"",'Project Overview'!U167=""),1,0)</f>
        <v>0</v>
      </c>
      <c r="M170" s="217">
        <f>IF(OR($A170="",'Project Overview'!O167="",'Project Overview'!O167="?"),1,0)</f>
        <v>0</v>
      </c>
      <c r="N170" s="217">
        <f>IF(OR($A170="",'Project Overview'!P167="", 'Project Overview'!P167="?"),1,0)</f>
        <v>0</v>
      </c>
      <c r="O170" s="217">
        <f t="shared" si="39"/>
        <v>1</v>
      </c>
      <c r="P170" s="217" t="str">
        <f t="shared" si="38"/>
        <v>REVER</v>
      </c>
    </row>
    <row r="171" spans="1:16" ht="28.8" hidden="1" x14ac:dyDescent="0.3">
      <c r="A171" s="217" t="str">
        <f>""&amp;'Project Overview'!A168</f>
        <v>163</v>
      </c>
      <c r="B171" s="218" t="str">
        <f>'Project Overview'!B168</f>
        <v>Sociedade Agricola da Perna Molhada</v>
      </c>
      <c r="C171" s="218" t="str">
        <f>'Project Overview'!C168</f>
        <v>Sociedade Agrícola da Perna Molhada, S.A.</v>
      </c>
      <c r="D171" s="221" t="str">
        <f>'Project Overview'!R168</f>
        <v>ACTIVE</v>
      </c>
      <c r="E171" s="221" t="str">
        <f ca="1">'Project Overview'!Y168</f>
        <v>no</v>
      </c>
      <c r="F171" s="217">
        <f t="shared" si="36"/>
        <v>0</v>
      </c>
      <c r="G171" s="217">
        <f t="shared" si="37"/>
        <v>0</v>
      </c>
      <c r="H171" s="217">
        <f>IF(AND($A171&lt;&gt;"",'Project Overview'!D168=""),1,0)</f>
        <v>0</v>
      </c>
      <c r="I171" s="217">
        <f>IF(AND($A171&lt;&gt;"",'Project Overview'!F168=""),1,0)</f>
        <v>0</v>
      </c>
      <c r="J171" s="217">
        <f>IF(AND($A171&lt;&gt;"",OR('Project Overview'!I168="ESCO",'Project Overview'!I168="EPC",'Project Overview'!I168="ESCO BUYOUT"),'Project Overview'!K168=""),1,0)</f>
        <v>0</v>
      </c>
      <c r="K171" s="217">
        <f>IF(AND($A171&lt;&gt;"",'Project Overview'!M168=""),1,0)</f>
        <v>0</v>
      </c>
      <c r="L171" s="217">
        <f>IF(AND($A171&lt;&gt;"",'Project Overview'!U168=""),1,0)</f>
        <v>0</v>
      </c>
      <c r="M171" s="217">
        <f>IF(OR($A171="",'Project Overview'!O168="",'Project Overview'!O168="?"),1,0)</f>
        <v>0</v>
      </c>
      <c r="N171" s="217">
        <f>IF(OR($A171="",'Project Overview'!P168="", 'Project Overview'!P168="?"),1,0)</f>
        <v>0</v>
      </c>
      <c r="O171" s="217">
        <f t="shared" si="39"/>
        <v>0</v>
      </c>
      <c r="P171" s="217" t="str">
        <f t="shared" si="38"/>
        <v>OK</v>
      </c>
    </row>
    <row r="172" spans="1:16" ht="28.8" hidden="1" x14ac:dyDescent="0.3">
      <c r="A172" s="217" t="str">
        <f>""&amp;'Project Overview'!A169</f>
        <v>164</v>
      </c>
      <c r="B172" s="218" t="str">
        <f>'Project Overview'!B169</f>
        <v>Sociedade Agricola Barracão do Duque</v>
      </c>
      <c r="C172" s="218" t="str">
        <f>'Project Overview'!C169</f>
        <v>Sociedade Agrícola do Barracão do Duque, S.A.</v>
      </c>
      <c r="D172" s="221" t="str">
        <f>'Project Overview'!R169</f>
        <v>ACTIVE</v>
      </c>
      <c r="E172" s="221" t="str">
        <f ca="1">'Project Overview'!Y169</f>
        <v>no</v>
      </c>
      <c r="F172" s="217">
        <f t="shared" si="36"/>
        <v>0</v>
      </c>
      <c r="G172" s="217">
        <f t="shared" si="37"/>
        <v>0</v>
      </c>
      <c r="H172" s="217">
        <f>IF(AND($A172&lt;&gt;"",'Project Overview'!D169=""),1,0)</f>
        <v>0</v>
      </c>
      <c r="I172" s="217">
        <f>IF(AND($A172&lt;&gt;"",'Project Overview'!F169=""),1,0)</f>
        <v>0</v>
      </c>
      <c r="J172" s="217">
        <f>IF(AND($A172&lt;&gt;"",OR('Project Overview'!I169="ESCO",'Project Overview'!I169="EPC",'Project Overview'!I169="ESCO BUYOUT"),'Project Overview'!K169=""),1,0)</f>
        <v>0</v>
      </c>
      <c r="K172" s="217">
        <f>IF(AND($A172&lt;&gt;"",'Project Overview'!M169=""),1,0)</f>
        <v>0</v>
      </c>
      <c r="L172" s="217">
        <f>IF(AND($A172&lt;&gt;"",'Project Overview'!U169=""),1,0)</f>
        <v>0</v>
      </c>
      <c r="M172" s="217">
        <f>IF(OR($A172="",'Project Overview'!O169="",'Project Overview'!O169="?"),1,0)</f>
        <v>0</v>
      </c>
      <c r="N172" s="217">
        <f>IF(OR($A172="",'Project Overview'!P169="", 'Project Overview'!P169="?"),1,0)</f>
        <v>0</v>
      </c>
      <c r="O172" s="217">
        <f t="shared" si="39"/>
        <v>0</v>
      </c>
      <c r="P172" s="217" t="str">
        <f t="shared" si="38"/>
        <v>OK</v>
      </c>
    </row>
    <row r="173" spans="1:16" ht="43.2" hidden="1" x14ac:dyDescent="0.3">
      <c r="A173" s="217" t="str">
        <f>""&amp;'Project Overview'!A170</f>
        <v>165</v>
      </c>
      <c r="B173" s="218" t="str">
        <f>'Project Overview'!B170</f>
        <v>Sociedade Agricola Lagoalva de Cima</v>
      </c>
      <c r="C173" s="218" t="str">
        <f>'Project Overview'!C170</f>
        <v>Sociedade Agrícola da Quinta da Lagoalva de Cima, S.A.</v>
      </c>
      <c r="D173" s="221" t="str">
        <f>'Project Overview'!R170</f>
        <v>ACTIVE</v>
      </c>
      <c r="E173" s="221" t="str">
        <f ca="1">'Project Overview'!Y170</f>
        <v>no</v>
      </c>
      <c r="F173" s="217">
        <f t="shared" si="36"/>
        <v>0</v>
      </c>
      <c r="G173" s="217">
        <f t="shared" si="37"/>
        <v>0</v>
      </c>
      <c r="H173" s="217">
        <f>IF(AND($A173&lt;&gt;"",'Project Overview'!D170=""),1,0)</f>
        <v>0</v>
      </c>
      <c r="I173" s="217">
        <f>IF(AND($A173&lt;&gt;"",'Project Overview'!F170=""),1,0)</f>
        <v>0</v>
      </c>
      <c r="J173" s="217">
        <f>IF(AND($A173&lt;&gt;"",OR('Project Overview'!I170="ESCO",'Project Overview'!I170="EPC",'Project Overview'!I170="ESCO BUYOUT"),'Project Overview'!K170=""),1,0)</f>
        <v>0</v>
      </c>
      <c r="K173" s="217">
        <f>IF(AND($A173&lt;&gt;"",'Project Overview'!M170=""),1,0)</f>
        <v>0</v>
      </c>
      <c r="L173" s="217">
        <f>IF(AND($A173&lt;&gt;"",'Project Overview'!U170=""),1,0)</f>
        <v>0</v>
      </c>
      <c r="M173" s="217">
        <f>IF(OR($A173="",'Project Overview'!O170="",'Project Overview'!O170="?"),1,0)</f>
        <v>0</v>
      </c>
      <c r="N173" s="217">
        <f>IF(OR($A173="",'Project Overview'!P170="", 'Project Overview'!P170="?"),1,0)</f>
        <v>0</v>
      </c>
      <c r="O173" s="217">
        <f t="shared" si="39"/>
        <v>0</v>
      </c>
      <c r="P173" s="217" t="str">
        <f t="shared" si="38"/>
        <v>OK</v>
      </c>
    </row>
    <row r="174" spans="1:16" hidden="1" x14ac:dyDescent="0.3">
      <c r="A174" s="217" t="str">
        <f>""&amp;'Project Overview'!A171</f>
        <v>166</v>
      </c>
      <c r="B174" s="218" t="str">
        <f>'Project Overview'!B171</f>
        <v>Hotel Pombalense</v>
      </c>
      <c r="C174" s="218" t="str">
        <f>'Project Overview'!C171</f>
        <v>Hotel Pombalense, S.A</v>
      </c>
      <c r="D174" s="221" t="str">
        <f>'Project Overview'!R171</f>
        <v>ACTIVE</v>
      </c>
      <c r="E174" s="221" t="str">
        <f ca="1">'Project Overview'!Y171</f>
        <v>no</v>
      </c>
      <c r="F174" s="217">
        <f t="shared" si="36"/>
        <v>0</v>
      </c>
      <c r="G174" s="217">
        <f t="shared" si="37"/>
        <v>0</v>
      </c>
      <c r="H174" s="217">
        <f>IF(AND($A174&lt;&gt;"",'Project Overview'!D171=""),1,0)</f>
        <v>0</v>
      </c>
      <c r="I174" s="217">
        <f>IF(AND($A174&lt;&gt;"",'Project Overview'!F171=""),1,0)</f>
        <v>0</v>
      </c>
      <c r="J174" s="217">
        <f>IF(AND($A174&lt;&gt;"",OR('Project Overview'!I171="ESCO",'Project Overview'!I171="EPC",'Project Overview'!I171="ESCO BUYOUT"),'Project Overview'!K171=""),1,0)</f>
        <v>0</v>
      </c>
      <c r="K174" s="217">
        <f>IF(AND($A174&lt;&gt;"",'Project Overview'!M171=""),1,0)</f>
        <v>0</v>
      </c>
      <c r="L174" s="217">
        <f>IF(AND($A174&lt;&gt;"",'Project Overview'!U171=""),1,0)</f>
        <v>0</v>
      </c>
      <c r="M174" s="217">
        <f>IF(OR($A174="",'Project Overview'!O171="",'Project Overview'!O171="?"),1,0)</f>
        <v>0</v>
      </c>
      <c r="N174" s="217">
        <f>IF(OR($A174="",'Project Overview'!P171="", 'Project Overview'!P171="?"),1,0)</f>
        <v>0</v>
      </c>
      <c r="O174" s="217">
        <f t="shared" si="39"/>
        <v>0</v>
      </c>
      <c r="P174" s="217" t="str">
        <f t="shared" si="38"/>
        <v>OK</v>
      </c>
    </row>
    <row r="175" spans="1:16" ht="43.2" hidden="1" x14ac:dyDescent="0.3">
      <c r="A175" s="217" t="str">
        <f>""&amp;'Project Overview'!A172</f>
        <v>167</v>
      </c>
      <c r="B175" s="218" t="str">
        <f>'Project Overview'!B172</f>
        <v>Freskus World</v>
      </c>
      <c r="C175" s="218" t="str">
        <f>'Project Overview'!C172</f>
        <v>Hortofinal - Produção e Comércio de Produtos Hortícolas, Lda</v>
      </c>
      <c r="D175" s="221" t="str">
        <f>'Project Overview'!R172</f>
        <v>ACTIVE</v>
      </c>
      <c r="E175" s="221" t="str">
        <f ca="1">'Project Overview'!Y172</f>
        <v>no</v>
      </c>
      <c r="F175" s="217">
        <f t="shared" si="36"/>
        <v>0</v>
      </c>
      <c r="G175" s="217">
        <f t="shared" si="37"/>
        <v>0</v>
      </c>
      <c r="H175" s="217">
        <f>IF(AND($A175&lt;&gt;"",'Project Overview'!D172=""),1,0)</f>
        <v>0</v>
      </c>
      <c r="I175" s="217">
        <f>IF(AND($A175&lt;&gt;"",'Project Overview'!F172=""),1,0)</f>
        <v>0</v>
      </c>
      <c r="J175" s="217">
        <f>IF(AND($A175&lt;&gt;"",OR('Project Overview'!I172="ESCO",'Project Overview'!I172="EPC",'Project Overview'!I172="ESCO BUYOUT"),'Project Overview'!K172=""),1,0)</f>
        <v>0</v>
      </c>
      <c r="K175" s="217">
        <f>IF(AND($A175&lt;&gt;"",'Project Overview'!M172=""),1,0)</f>
        <v>0</v>
      </c>
      <c r="L175" s="217">
        <f>IF(AND($A175&lt;&gt;"",'Project Overview'!U172=""),1,0)</f>
        <v>0</v>
      </c>
      <c r="M175" s="217">
        <f>IF(OR($A175="",'Project Overview'!O172="",'Project Overview'!O172="?"),1,0)</f>
        <v>0</v>
      </c>
      <c r="N175" s="217">
        <f>IF(OR($A175="",'Project Overview'!P172="", 'Project Overview'!P172="?"),1,0)</f>
        <v>0</v>
      </c>
      <c r="O175" s="217">
        <f t="shared" si="39"/>
        <v>0</v>
      </c>
      <c r="P175" s="217" t="str">
        <f t="shared" si="38"/>
        <v>OK</v>
      </c>
    </row>
    <row r="176" spans="1:16" ht="28.8" hidden="1" x14ac:dyDescent="0.3">
      <c r="A176" s="217" t="str">
        <f>""&amp;'Project Overview'!A173</f>
        <v>168</v>
      </c>
      <c r="B176" s="218" t="str">
        <f>'Project Overview'!B173</f>
        <v>Fundação Maria Luísa Ruas</v>
      </c>
      <c r="C176" s="218" t="str">
        <f>'Project Overview'!C173</f>
        <v>Fundação Maria Luísa Ruas</v>
      </c>
      <c r="D176" s="221" t="str">
        <f>'Project Overview'!R173</f>
        <v>ACTIVE</v>
      </c>
      <c r="E176" s="221" t="str">
        <f ca="1">'Project Overview'!Y173</f>
        <v>no</v>
      </c>
      <c r="F176" s="217">
        <f t="shared" si="36"/>
        <v>0</v>
      </c>
      <c r="G176" s="217">
        <f t="shared" si="37"/>
        <v>0</v>
      </c>
      <c r="H176" s="217">
        <f>IF(AND($A176&lt;&gt;"",'Project Overview'!D173=""),1,0)</f>
        <v>0</v>
      </c>
      <c r="I176" s="217">
        <f>IF(AND($A176&lt;&gt;"",'Project Overview'!F173=""),1,0)</f>
        <v>0</v>
      </c>
      <c r="J176" s="217">
        <f>IF(AND($A176&lt;&gt;"",OR('Project Overview'!I173="ESCO",'Project Overview'!I173="EPC",'Project Overview'!I173="ESCO BUYOUT"),'Project Overview'!K173=""),1,0)</f>
        <v>0</v>
      </c>
      <c r="K176" s="217">
        <f>IF(AND($A176&lt;&gt;"",'Project Overview'!M173=""),1,0)</f>
        <v>0</v>
      </c>
      <c r="L176" s="217">
        <f>IF(AND($A176&lt;&gt;"",'Project Overview'!U173=""),1,0)</f>
        <v>0</v>
      </c>
      <c r="M176" s="217">
        <f>IF(OR($A176="",'Project Overview'!O173="",'Project Overview'!O173="?"),1,0)</f>
        <v>0</v>
      </c>
      <c r="N176" s="217">
        <f>IF(OR($A176="",'Project Overview'!P173="", 'Project Overview'!P173="?"),1,0)</f>
        <v>0</v>
      </c>
      <c r="O176" s="217">
        <f t="shared" si="39"/>
        <v>0</v>
      </c>
      <c r="P176" s="217" t="str">
        <f t="shared" si="38"/>
        <v>OK</v>
      </c>
    </row>
    <row r="177" spans="1:16" ht="28.8" hidden="1" x14ac:dyDescent="0.3">
      <c r="A177" s="217" t="str">
        <f>""&amp;'Project Overview'!A174</f>
        <v>169</v>
      </c>
      <c r="B177" s="218" t="str">
        <f>'Project Overview'!B174</f>
        <v>SCM Fronteira</v>
      </c>
      <c r="C177" s="218" t="str">
        <f>'Project Overview'!C174</f>
        <v>Santa Casa da Misericórdia de Fronteira</v>
      </c>
      <c r="D177" s="221" t="str">
        <f>'Project Overview'!R174</f>
        <v>ACTIVE</v>
      </c>
      <c r="E177" s="221" t="str">
        <f ca="1">'Project Overview'!Y174</f>
        <v>no</v>
      </c>
      <c r="F177" s="217">
        <f t="shared" si="36"/>
        <v>0</v>
      </c>
      <c r="G177" s="217">
        <f t="shared" si="37"/>
        <v>0</v>
      </c>
      <c r="H177" s="217">
        <f>IF(AND($A177&lt;&gt;"",'Project Overview'!D174=""),1,0)</f>
        <v>0</v>
      </c>
      <c r="I177" s="217">
        <f>IF(AND($A177&lt;&gt;"",'Project Overview'!F174=""),1,0)</f>
        <v>0</v>
      </c>
      <c r="J177" s="217">
        <f>IF(AND($A177&lt;&gt;"",OR('Project Overview'!I174="ESCO",'Project Overview'!I174="EPC",'Project Overview'!I174="ESCO BUYOUT"),'Project Overview'!K174=""),1,0)</f>
        <v>0</v>
      </c>
      <c r="K177" s="217">
        <f>IF(AND($A177&lt;&gt;"",'Project Overview'!M174=""),1,0)</f>
        <v>0</v>
      </c>
      <c r="L177" s="217">
        <f>IF(AND($A177&lt;&gt;"",'Project Overview'!U174=""),1,0)</f>
        <v>0</v>
      </c>
      <c r="M177" s="217">
        <f>IF(OR($A177="",'Project Overview'!O174="",'Project Overview'!O174="?"),1,0)</f>
        <v>0</v>
      </c>
      <c r="N177" s="217">
        <f>IF(OR($A177="",'Project Overview'!P174="", 'Project Overview'!P174="?"),1,0)</f>
        <v>0</v>
      </c>
      <c r="O177" s="217">
        <f t="shared" si="39"/>
        <v>0</v>
      </c>
      <c r="P177" s="217" t="str">
        <f t="shared" si="38"/>
        <v>OK</v>
      </c>
    </row>
    <row r="178" spans="1:16" ht="28.8" hidden="1" x14ac:dyDescent="0.3">
      <c r="A178" s="217" t="str">
        <f>""&amp;'Project Overview'!A175</f>
        <v>170</v>
      </c>
      <c r="B178" s="218" t="str">
        <f>'Project Overview'!B175</f>
        <v>Centro de dia - Vale de Maceiras</v>
      </c>
      <c r="C178" s="218">
        <f>'Project Overview'!C175</f>
        <v>0</v>
      </c>
      <c r="D178" s="221" t="str">
        <f>'Project Overview'!R175</f>
        <v>ACTIVE</v>
      </c>
      <c r="E178" s="221" t="str">
        <f ca="1">'Project Overview'!Y175</f>
        <v>no</v>
      </c>
      <c r="F178" s="217">
        <f t="shared" si="36"/>
        <v>0</v>
      </c>
      <c r="G178" s="217">
        <f t="shared" si="37"/>
        <v>0</v>
      </c>
      <c r="H178" s="217">
        <f>IF(AND($A178&lt;&gt;"",'Project Overview'!D175=""),1,0)</f>
        <v>1</v>
      </c>
      <c r="I178" s="217">
        <f>IF(AND($A178&lt;&gt;"",'Project Overview'!F175=""),1,0)</f>
        <v>0</v>
      </c>
      <c r="J178" s="217">
        <f>IF(AND($A178&lt;&gt;"",OR('Project Overview'!I175="ESCO",'Project Overview'!I175="EPC",'Project Overview'!I175="ESCO BUYOUT"),'Project Overview'!K175=""),1,0)</f>
        <v>0</v>
      </c>
      <c r="K178" s="217">
        <f>IF(AND($A178&lt;&gt;"",'Project Overview'!M175=""),1,0)</f>
        <v>0</v>
      </c>
      <c r="L178" s="217">
        <f>IF(AND($A178&lt;&gt;"",'Project Overview'!U175=""),1,0)</f>
        <v>0</v>
      </c>
      <c r="M178" s="217">
        <f>IF(OR($A178="",'Project Overview'!O175="",'Project Overview'!O175="?"),1,0)</f>
        <v>0</v>
      </c>
      <c r="N178" s="217">
        <f>IF(OR($A178="",'Project Overview'!P175="", 'Project Overview'!P175="?"),1,0)</f>
        <v>0</v>
      </c>
      <c r="O178" s="217">
        <f t="shared" si="39"/>
        <v>1</v>
      </c>
      <c r="P178" s="217" t="str">
        <f t="shared" si="38"/>
        <v>REVER</v>
      </c>
    </row>
    <row r="179" spans="1:16" ht="28.8" hidden="1" x14ac:dyDescent="0.3">
      <c r="A179" s="217" t="str">
        <f>""&amp;'Project Overview'!A176</f>
        <v>171</v>
      </c>
      <c r="B179" s="218" t="str">
        <f>'Project Overview'!B176</f>
        <v>Santos Júlios - Metal Distendido</v>
      </c>
      <c r="C179" s="218" t="str">
        <f>'Project Overview'!C176</f>
        <v>Santos Júlios - Metal Distendido, Lda</v>
      </c>
      <c r="D179" s="221" t="str">
        <f>'Project Overview'!R176</f>
        <v>ACTIVE</v>
      </c>
      <c r="E179" s="221" t="str">
        <f ca="1">'Project Overview'!Y176</f>
        <v>no</v>
      </c>
      <c r="F179" s="217">
        <f t="shared" si="36"/>
        <v>0</v>
      </c>
      <c r="G179" s="217">
        <f t="shared" si="37"/>
        <v>0</v>
      </c>
      <c r="H179" s="217">
        <f>IF(AND($A179&lt;&gt;"",'Project Overview'!D176=""),1,0)</f>
        <v>0</v>
      </c>
      <c r="I179" s="217">
        <f>IF(AND($A179&lt;&gt;"",'Project Overview'!F176=""),1,0)</f>
        <v>0</v>
      </c>
      <c r="J179" s="217">
        <f>IF(AND($A179&lt;&gt;"",OR('Project Overview'!I176="ESCO",'Project Overview'!I176="EPC",'Project Overview'!I176="ESCO BUYOUT"),'Project Overview'!K176=""),1,0)</f>
        <v>0</v>
      </c>
      <c r="K179" s="217">
        <f>IF(AND($A179&lt;&gt;"",'Project Overview'!M176=""),1,0)</f>
        <v>0</v>
      </c>
      <c r="L179" s="217">
        <f>IF(AND($A179&lt;&gt;"",'Project Overview'!U176=""),1,0)</f>
        <v>0</v>
      </c>
      <c r="M179" s="217">
        <f>IF(OR($A179="",'Project Overview'!O176="",'Project Overview'!O176="?"),1,0)</f>
        <v>0</v>
      </c>
      <c r="N179" s="217">
        <f>IF(OR($A179="",'Project Overview'!P176="", 'Project Overview'!P176="?"),1,0)</f>
        <v>0</v>
      </c>
      <c r="O179" s="217">
        <f t="shared" si="39"/>
        <v>0</v>
      </c>
      <c r="P179" s="217" t="str">
        <f t="shared" si="38"/>
        <v>OK</v>
      </c>
    </row>
    <row r="180" spans="1:16" hidden="1" x14ac:dyDescent="0.3">
      <c r="A180" s="217" t="str">
        <f>""&amp;'Project Overview'!A177</f>
        <v>172</v>
      </c>
      <c r="B180" s="218" t="str">
        <f>'Project Overview'!B177</f>
        <v>CPS RONFE</v>
      </c>
      <c r="C180" s="218" t="str">
        <f>'Project Overview'!C177</f>
        <v>Centro Paroquial de Ronfe</v>
      </c>
      <c r="D180" s="221" t="str">
        <f>'Project Overview'!R177</f>
        <v>ACTIVE</v>
      </c>
      <c r="E180" s="221" t="str">
        <f ca="1">'Project Overview'!Y177</f>
        <v>no</v>
      </c>
      <c r="F180" s="217">
        <f t="shared" si="36"/>
        <v>0</v>
      </c>
      <c r="G180" s="217">
        <f t="shared" si="37"/>
        <v>0</v>
      </c>
      <c r="H180" s="217">
        <f>IF(AND($A180&lt;&gt;"",'Project Overview'!D177=""),1,0)</f>
        <v>0</v>
      </c>
      <c r="I180" s="217">
        <f>IF(AND($A180&lt;&gt;"",'Project Overview'!F177=""),1,0)</f>
        <v>0</v>
      </c>
      <c r="J180" s="217">
        <f>IF(AND($A180&lt;&gt;"",OR('Project Overview'!I177="ESCO",'Project Overview'!I177="EPC",'Project Overview'!I177="ESCO BUYOUT"),'Project Overview'!K177=""),1,0)</f>
        <v>0</v>
      </c>
      <c r="K180" s="217">
        <f>IF(AND($A180&lt;&gt;"",'Project Overview'!M177=""),1,0)</f>
        <v>0</v>
      </c>
      <c r="L180" s="217">
        <f>IF(AND($A180&lt;&gt;"",'Project Overview'!U177=""),1,0)</f>
        <v>0</v>
      </c>
      <c r="M180" s="217">
        <f>IF(OR($A180="",'Project Overview'!O177="",'Project Overview'!O177="?"),1,0)</f>
        <v>0</v>
      </c>
      <c r="N180" s="217">
        <f>IF(OR($A180="",'Project Overview'!P177="", 'Project Overview'!P177="?"),1,0)</f>
        <v>0</v>
      </c>
      <c r="O180" s="217">
        <f t="shared" si="39"/>
        <v>0</v>
      </c>
      <c r="P180" s="217" t="str">
        <f t="shared" si="38"/>
        <v>OK</v>
      </c>
    </row>
    <row r="181" spans="1:16" ht="28.8" hidden="1" x14ac:dyDescent="0.3">
      <c r="A181" s="217" t="str">
        <f>""&amp;'Project Overview'!A178</f>
        <v>173</v>
      </c>
      <c r="B181" s="218" t="str">
        <f>'Project Overview'!B178</f>
        <v>J. Ferreira &amp; Oliveira - Empresa</v>
      </c>
      <c r="C181" s="218" t="str">
        <f>'Project Overview'!C178</f>
        <v>J. Ferreira &amp; Oliveira Lda.</v>
      </c>
      <c r="D181" s="221" t="str">
        <f>'Project Overview'!R178</f>
        <v>ACTIVE</v>
      </c>
      <c r="E181" s="221" t="str">
        <f ca="1">'Project Overview'!Y178</f>
        <v>no</v>
      </c>
      <c r="F181" s="217">
        <f t="shared" si="36"/>
        <v>0</v>
      </c>
      <c r="G181" s="217">
        <f t="shared" si="37"/>
        <v>0</v>
      </c>
      <c r="H181" s="217">
        <f>IF(AND($A181&lt;&gt;"",'Project Overview'!D178=""),1,0)</f>
        <v>0</v>
      </c>
      <c r="I181" s="217">
        <f>IF(AND($A181&lt;&gt;"",'Project Overview'!F178=""),1,0)</f>
        <v>0</v>
      </c>
      <c r="J181" s="217">
        <f>IF(AND($A181&lt;&gt;"",OR('Project Overview'!I178="ESCO",'Project Overview'!I178="EPC",'Project Overview'!I178="ESCO BUYOUT"),'Project Overview'!K178=""),1,0)</f>
        <v>0</v>
      </c>
      <c r="K181" s="217">
        <f>IF(AND($A181&lt;&gt;"",'Project Overview'!M178=""),1,0)</f>
        <v>0</v>
      </c>
      <c r="L181" s="217">
        <f>IF(AND($A181&lt;&gt;"",'Project Overview'!U178=""),1,0)</f>
        <v>1</v>
      </c>
      <c r="M181" s="217">
        <f>IF(OR($A181="",'Project Overview'!O178="",'Project Overview'!O178="?"),1,0)</f>
        <v>0</v>
      </c>
      <c r="N181" s="217">
        <f>IF(OR($A181="",'Project Overview'!P178="", 'Project Overview'!P178="?"),1,0)</f>
        <v>1</v>
      </c>
      <c r="O181" s="217">
        <f t="shared" si="39"/>
        <v>2</v>
      </c>
      <c r="P181" s="217" t="str">
        <f t="shared" si="38"/>
        <v>REVER</v>
      </c>
    </row>
    <row r="182" spans="1:16" ht="28.8" hidden="1" x14ac:dyDescent="0.3">
      <c r="A182" s="217" t="str">
        <f>""&amp;'Project Overview'!A179</f>
        <v>174</v>
      </c>
      <c r="B182" s="218" t="str">
        <f>'Project Overview'!B179</f>
        <v>J. Ferreira &amp; Oliveira - Casa Andrea</v>
      </c>
      <c r="C182" s="218" t="str">
        <f>'Project Overview'!C179</f>
        <v>J. Ferreira &amp; Oliveira Lda.</v>
      </c>
      <c r="D182" s="221" t="str">
        <f>'Project Overview'!R179</f>
        <v>ACTIVE</v>
      </c>
      <c r="E182" s="221" t="str">
        <f ca="1">'Project Overview'!Y179</f>
        <v>no</v>
      </c>
      <c r="F182" s="217">
        <f t="shared" si="36"/>
        <v>0</v>
      </c>
      <c r="G182" s="217">
        <f t="shared" si="37"/>
        <v>0</v>
      </c>
      <c r="H182" s="217">
        <f>IF(AND($A182&lt;&gt;"",'Project Overview'!D179=""),1,0)</f>
        <v>0</v>
      </c>
      <c r="I182" s="217">
        <f>IF(AND($A182&lt;&gt;"",'Project Overview'!F179=""),1,0)</f>
        <v>0</v>
      </c>
      <c r="J182" s="217">
        <f>IF(AND($A182&lt;&gt;"",OR('Project Overview'!I179="ESCO",'Project Overview'!I179="EPC",'Project Overview'!I179="ESCO BUYOUT"),'Project Overview'!K179=""),1,0)</f>
        <v>0</v>
      </c>
      <c r="K182" s="217">
        <f>IF(AND($A182&lt;&gt;"",'Project Overview'!M179=""),1,0)</f>
        <v>0</v>
      </c>
      <c r="L182" s="217">
        <f>IF(AND($A182&lt;&gt;"",'Project Overview'!U179=""),1,0)</f>
        <v>1</v>
      </c>
      <c r="M182" s="217">
        <f>IF(OR($A182="",'Project Overview'!O179="",'Project Overview'!O179="?"),1,0)</f>
        <v>0</v>
      </c>
      <c r="N182" s="217">
        <f>IF(OR($A182="",'Project Overview'!P179="", 'Project Overview'!P179="?"),1,0)</f>
        <v>1</v>
      </c>
      <c r="O182" s="217">
        <f t="shared" si="39"/>
        <v>2</v>
      </c>
      <c r="P182" s="217" t="str">
        <f t="shared" si="38"/>
        <v>REVER</v>
      </c>
    </row>
    <row r="183" spans="1:16" ht="28.8" hidden="1" x14ac:dyDescent="0.3">
      <c r="A183" s="217" t="str">
        <f>""&amp;'Project Overview'!A180</f>
        <v>175</v>
      </c>
      <c r="B183" s="218" t="str">
        <f>'Project Overview'!B180</f>
        <v>J. Ferreira &amp; Oliveira - Casa Eliana</v>
      </c>
      <c r="C183" s="218" t="str">
        <f>'Project Overview'!C180</f>
        <v>J. Ferreira &amp; Oliveira Lda.</v>
      </c>
      <c r="D183" s="221" t="str">
        <f>'Project Overview'!R180</f>
        <v>ACTIVE</v>
      </c>
      <c r="E183" s="221" t="str">
        <f ca="1">'Project Overview'!Y180</f>
        <v>no</v>
      </c>
      <c r="F183" s="217">
        <f t="shared" si="36"/>
        <v>0</v>
      </c>
      <c r="G183" s="217">
        <f t="shared" si="37"/>
        <v>0</v>
      </c>
      <c r="H183" s="217">
        <f>IF(AND($A183&lt;&gt;"",'Project Overview'!D180=""),1,0)</f>
        <v>0</v>
      </c>
      <c r="I183" s="217">
        <f>IF(AND($A183&lt;&gt;"",'Project Overview'!F180=""),1,0)</f>
        <v>0</v>
      </c>
      <c r="J183" s="217">
        <f>IF(AND($A183&lt;&gt;"",OR('Project Overview'!I180="ESCO",'Project Overview'!I180="EPC",'Project Overview'!I180="ESCO BUYOUT"),'Project Overview'!K180=""),1,0)</f>
        <v>0</v>
      </c>
      <c r="K183" s="217">
        <f>IF(AND($A183&lt;&gt;"",'Project Overview'!M180=""),1,0)</f>
        <v>0</v>
      </c>
      <c r="L183" s="217">
        <f>IF(AND($A183&lt;&gt;"",'Project Overview'!U180=""),1,0)</f>
        <v>1</v>
      </c>
      <c r="M183" s="217">
        <f>IF(OR($A183="",'Project Overview'!O180="",'Project Overview'!O180="?"),1,0)</f>
        <v>0</v>
      </c>
      <c r="N183" s="217">
        <f>IF(OR($A183="",'Project Overview'!P180="", 'Project Overview'!P180="?"),1,0)</f>
        <v>1</v>
      </c>
      <c r="O183" s="217">
        <f t="shared" si="39"/>
        <v>2</v>
      </c>
      <c r="P183" s="217" t="str">
        <f t="shared" si="38"/>
        <v>REVER</v>
      </c>
    </row>
    <row r="184" spans="1:16" hidden="1" x14ac:dyDescent="0.3">
      <c r="A184" s="217" t="str">
        <f>""&amp;'Project Overview'!A181</f>
        <v>176</v>
      </c>
      <c r="B184" s="218" t="str">
        <f>'Project Overview'!B181</f>
        <v>Entre Vinhas e Mar</v>
      </c>
      <c r="C184" s="218" t="str">
        <f>'Project Overview'!C181</f>
        <v>Entre Vinhas e Mar</v>
      </c>
      <c r="D184" s="221" t="str">
        <f>'Project Overview'!R181</f>
        <v>ACTIVE</v>
      </c>
      <c r="E184" s="221" t="str">
        <f ca="1">'Project Overview'!Y181</f>
        <v>no</v>
      </c>
      <c r="F184" s="217">
        <f t="shared" si="36"/>
        <v>0</v>
      </c>
      <c r="G184" s="217">
        <f t="shared" si="37"/>
        <v>0</v>
      </c>
      <c r="H184" s="217">
        <f>IF(AND($A184&lt;&gt;"",'Project Overview'!D181=""),1,0)</f>
        <v>0</v>
      </c>
      <c r="I184" s="217">
        <f>IF(AND($A184&lt;&gt;"",'Project Overview'!F181=""),1,0)</f>
        <v>0</v>
      </c>
      <c r="J184" s="217">
        <f>IF(AND($A184&lt;&gt;"",OR('Project Overview'!I181="ESCO",'Project Overview'!I181="EPC",'Project Overview'!I181="ESCO BUYOUT"),'Project Overview'!K181=""),1,0)</f>
        <v>0</v>
      </c>
      <c r="K184" s="217">
        <f>IF(AND($A184&lt;&gt;"",'Project Overview'!M181=""),1,0)</f>
        <v>0</v>
      </c>
      <c r="L184" s="217">
        <f>IF(AND($A184&lt;&gt;"",'Project Overview'!U181=""),1,0)</f>
        <v>0</v>
      </c>
      <c r="M184" s="217">
        <f>IF(OR($A184="",'Project Overview'!O181="",'Project Overview'!O181="?"),1,0)</f>
        <v>0</v>
      </c>
      <c r="N184" s="217">
        <f>IF(OR($A184="",'Project Overview'!P181="", 'Project Overview'!P181="?"),1,0)</f>
        <v>0</v>
      </c>
      <c r="O184" s="217">
        <f t="shared" si="39"/>
        <v>0</v>
      </c>
      <c r="P184" s="217" t="str">
        <f t="shared" si="38"/>
        <v>OK</v>
      </c>
    </row>
    <row r="185" spans="1:16" ht="43.2" hidden="1" x14ac:dyDescent="0.3">
      <c r="A185" s="217" t="str">
        <f>""&amp;'Project Overview'!A182</f>
        <v>177</v>
      </c>
      <c r="B185" s="218" t="str">
        <f>'Project Overview'!B182</f>
        <v>Parabólica</v>
      </c>
      <c r="C185" s="218" t="str">
        <f>'Project Overview'!C182</f>
        <v>Parabólica - Reparações e Manutenções de Veiculos, Lda</v>
      </c>
      <c r="D185" s="221" t="str">
        <f>'Project Overview'!R182</f>
        <v>ACTIVE</v>
      </c>
      <c r="E185" s="221" t="str">
        <f ca="1">'Project Overview'!Y182</f>
        <v>no</v>
      </c>
      <c r="F185" s="217">
        <f t="shared" si="36"/>
        <v>0</v>
      </c>
      <c r="G185" s="217">
        <f t="shared" si="37"/>
        <v>0</v>
      </c>
      <c r="H185" s="217">
        <f>IF(AND($A185&lt;&gt;"",'Project Overview'!D182=""),1,0)</f>
        <v>0</v>
      </c>
      <c r="I185" s="217">
        <f>IF(AND($A185&lt;&gt;"",'Project Overview'!F182=""),1,0)</f>
        <v>0</v>
      </c>
      <c r="J185" s="217">
        <f>IF(AND($A185&lt;&gt;"",OR('Project Overview'!I182="ESCO",'Project Overview'!I182="EPC",'Project Overview'!I182="ESCO BUYOUT"),'Project Overview'!K182=""),1,0)</f>
        <v>0</v>
      </c>
      <c r="K185" s="217">
        <f>IF(AND($A185&lt;&gt;"",'Project Overview'!M182=""),1,0)</f>
        <v>0</v>
      </c>
      <c r="L185" s="217">
        <f>IF(AND($A185&lt;&gt;"",'Project Overview'!U182=""),1,0)</f>
        <v>0</v>
      </c>
      <c r="M185" s="217">
        <f>IF(OR($A185="",'Project Overview'!O182="",'Project Overview'!O182="?"),1,0)</f>
        <v>0</v>
      </c>
      <c r="N185" s="217">
        <f>IF(OR($A185="",'Project Overview'!P182="", 'Project Overview'!P182="?"),1,0)</f>
        <v>1</v>
      </c>
      <c r="O185" s="217">
        <f t="shared" si="39"/>
        <v>1</v>
      </c>
      <c r="P185" s="217" t="str">
        <f t="shared" si="38"/>
        <v>REVER</v>
      </c>
    </row>
    <row r="186" spans="1:16" hidden="1" x14ac:dyDescent="0.3">
      <c r="A186" s="217" t="str">
        <f>""&amp;'Project Overview'!A183</f>
        <v>178</v>
      </c>
      <c r="B186" s="218" t="str">
        <f>'Project Overview'!B183</f>
        <v>Alegrivárias</v>
      </c>
      <c r="C186" s="218" t="str">
        <f>'Project Overview'!C183</f>
        <v>Alegrivárias, Lda.</v>
      </c>
      <c r="D186" s="221" t="str">
        <f>'Project Overview'!R183</f>
        <v>ACTIVE</v>
      </c>
      <c r="E186" s="221" t="str">
        <f ca="1">'Project Overview'!Y183</f>
        <v>no</v>
      </c>
      <c r="F186" s="217">
        <f t="shared" si="36"/>
        <v>0</v>
      </c>
      <c r="G186" s="217">
        <f t="shared" si="37"/>
        <v>0</v>
      </c>
      <c r="H186" s="217">
        <f>IF(AND($A186&lt;&gt;"",'Project Overview'!D183=""),1,0)</f>
        <v>0</v>
      </c>
      <c r="I186" s="217">
        <f>IF(AND($A186&lt;&gt;"",'Project Overview'!F183=""),1,0)</f>
        <v>0</v>
      </c>
      <c r="J186" s="217">
        <f>IF(AND($A186&lt;&gt;"",OR('Project Overview'!I183="ESCO",'Project Overview'!I183="EPC",'Project Overview'!I183="ESCO BUYOUT"),'Project Overview'!K183=""),1,0)</f>
        <v>0</v>
      </c>
      <c r="K186" s="217">
        <f>IF(AND($A186&lt;&gt;"",'Project Overview'!M183=""),1,0)</f>
        <v>0</v>
      </c>
      <c r="L186" s="217">
        <f>IF(AND($A186&lt;&gt;"",'Project Overview'!U183=""),1,0)</f>
        <v>0</v>
      </c>
      <c r="M186" s="217">
        <f>IF(OR($A186="",'Project Overview'!O183="",'Project Overview'!O183="?"),1,0)</f>
        <v>0</v>
      </c>
      <c r="N186" s="217">
        <f>IF(OR($A186="",'Project Overview'!P183="", 'Project Overview'!P183="?"),1,0)</f>
        <v>0</v>
      </c>
      <c r="O186" s="217">
        <f t="shared" si="39"/>
        <v>0</v>
      </c>
      <c r="P186" s="217" t="str">
        <f t="shared" si="38"/>
        <v>OK</v>
      </c>
    </row>
    <row r="187" spans="1:16" ht="28.8" hidden="1" x14ac:dyDescent="0.3">
      <c r="A187" s="217" t="str">
        <f>""&amp;'Project Overview'!A184</f>
        <v>179</v>
      </c>
      <c r="B187" s="218" t="str">
        <f>'Project Overview'!B184</f>
        <v>Herdade da Maia</v>
      </c>
      <c r="C187" s="218" t="str">
        <f>'Project Overview'!C184</f>
        <v>Sociedade Industrial da Herdade da Maia</v>
      </c>
      <c r="D187" s="221" t="str">
        <f>'Project Overview'!R184</f>
        <v>ACTIVE</v>
      </c>
      <c r="E187" s="221" t="str">
        <f ca="1">'Project Overview'!Y184</f>
        <v>no</v>
      </c>
      <c r="F187" s="217">
        <f t="shared" si="36"/>
        <v>0</v>
      </c>
      <c r="G187" s="217">
        <f t="shared" si="37"/>
        <v>0</v>
      </c>
      <c r="H187" s="217">
        <f>IF(AND($A187&lt;&gt;"",'Project Overview'!D184=""),1,0)</f>
        <v>0</v>
      </c>
      <c r="I187" s="217">
        <f>IF(AND($A187&lt;&gt;"",'Project Overview'!F184=""),1,0)</f>
        <v>0</v>
      </c>
      <c r="J187" s="217">
        <f>IF(AND($A187&lt;&gt;"",OR('Project Overview'!I184="ESCO",'Project Overview'!I184="EPC",'Project Overview'!I184="ESCO BUYOUT"),'Project Overview'!K184=""),1,0)</f>
        <v>0</v>
      </c>
      <c r="K187" s="217">
        <f>IF(AND($A187&lt;&gt;"",'Project Overview'!M184=""),1,0)</f>
        <v>0</v>
      </c>
      <c r="L187" s="217">
        <f>IF(AND($A187&lt;&gt;"",'Project Overview'!U184=""),1,0)</f>
        <v>1</v>
      </c>
      <c r="M187" s="217">
        <f>IF(OR($A187="",'Project Overview'!O184="",'Project Overview'!O184="?"),1,0)</f>
        <v>0</v>
      </c>
      <c r="N187" s="217">
        <f>IF(OR($A187="",'Project Overview'!P184="", 'Project Overview'!P184="?"),1,0)</f>
        <v>0</v>
      </c>
      <c r="O187" s="217">
        <f t="shared" si="39"/>
        <v>1</v>
      </c>
      <c r="P187" s="217" t="str">
        <f t="shared" si="38"/>
        <v>REVER</v>
      </c>
    </row>
    <row r="188" spans="1:16" ht="43.2" hidden="1" x14ac:dyDescent="0.3">
      <c r="A188" s="217" t="str">
        <f>""&amp;'Project Overview'!A185</f>
        <v>180</v>
      </c>
      <c r="B188" s="218" t="str">
        <f>'Project Overview'!B185</f>
        <v>António Evaristo Gonçalves - Quinta Galvoa</v>
      </c>
      <c r="C188" s="218" t="str">
        <f>'Project Overview'!C185</f>
        <v>António Evaristo Gonçalves - Quinta Galvoa</v>
      </c>
      <c r="D188" s="221" t="str">
        <f>'Project Overview'!R185</f>
        <v>ACTIVE</v>
      </c>
      <c r="E188" s="221" t="str">
        <f ca="1">'Project Overview'!Y185</f>
        <v>yes</v>
      </c>
      <c r="F188" s="217">
        <f t="shared" ref="F188:F191" si="42">IF(OR($A188="",$B188=""),1,0)</f>
        <v>0</v>
      </c>
      <c r="G188" s="217">
        <f t="shared" ref="G188:G191" si="43">IF($C188="",1,0)</f>
        <v>0</v>
      </c>
      <c r="H188" s="217">
        <f>IF(AND($A188&lt;&gt;"",'Project Overview'!D185=""),1,0)</f>
        <v>0</v>
      </c>
      <c r="I188" s="217">
        <f>IF(AND($A188&lt;&gt;"",'Project Overview'!F185=""),1,0)</f>
        <v>0</v>
      </c>
      <c r="J188" s="217">
        <f>IF(AND($A188&lt;&gt;"",OR('Project Overview'!I185="ESCO",'Project Overview'!I185="EPC",'Project Overview'!I185="ESCO BUYOUT"),'Project Overview'!K185=""),1,0)</f>
        <v>0</v>
      </c>
      <c r="K188" s="217">
        <f>IF(AND($A188&lt;&gt;"",'Project Overview'!M185=""),1,0)</f>
        <v>0</v>
      </c>
      <c r="L188" s="217">
        <f>IF(AND($A188&lt;&gt;"",'Project Overview'!U185=""),1,0)</f>
        <v>0</v>
      </c>
      <c r="M188" s="217">
        <f>IF(OR($A188="",'Project Overview'!O185="",'Project Overview'!O185="?"),1,0)</f>
        <v>0</v>
      </c>
      <c r="N188" s="217">
        <f>IF(OR($A188="",'Project Overview'!P185="", 'Project Overview'!P185="?"),1,0)</f>
        <v>0</v>
      </c>
      <c r="O188" s="217">
        <f t="shared" si="39"/>
        <v>0</v>
      </c>
      <c r="P188" s="217" t="str">
        <f t="shared" si="38"/>
        <v>OK</v>
      </c>
    </row>
    <row r="189" spans="1:16" ht="28.8" hidden="1" x14ac:dyDescent="0.3">
      <c r="A189" s="217" t="str">
        <f>""&amp;'Project Overview'!A186</f>
        <v>181</v>
      </c>
      <c r="B189" s="218" t="str">
        <f>'Project Overview'!B186</f>
        <v>Luís Baptista Gonçalves</v>
      </c>
      <c r="C189" s="218" t="str">
        <f>'Project Overview'!C186</f>
        <v>Luís Batista Gonçalves</v>
      </c>
      <c r="D189" s="221" t="str">
        <f>'Project Overview'!R186</f>
        <v>ACTIVE</v>
      </c>
      <c r="E189" s="221" t="str">
        <f ca="1">'Project Overview'!Y186</f>
        <v>yes</v>
      </c>
      <c r="F189" s="217">
        <f t="shared" si="42"/>
        <v>0</v>
      </c>
      <c r="G189" s="217">
        <f t="shared" si="43"/>
        <v>0</v>
      </c>
      <c r="H189" s="217">
        <f>IF(AND($A189&lt;&gt;"",'Project Overview'!D186=""),1,0)</f>
        <v>0</v>
      </c>
      <c r="I189" s="217">
        <f>IF(AND($A189&lt;&gt;"",'Project Overview'!F186=""),1,0)</f>
        <v>0</v>
      </c>
      <c r="J189" s="217">
        <f>IF(AND($A189&lt;&gt;"",OR('Project Overview'!I186="ESCO",'Project Overview'!I186="EPC",'Project Overview'!I186="ESCO BUYOUT"),'Project Overview'!K186=""),1,0)</f>
        <v>0</v>
      </c>
      <c r="K189" s="217">
        <f>IF(AND($A189&lt;&gt;"",'Project Overview'!M186=""),1,0)</f>
        <v>0</v>
      </c>
      <c r="L189" s="217">
        <f>IF(AND($A189&lt;&gt;"",'Project Overview'!U186=""),1,0)</f>
        <v>0</v>
      </c>
      <c r="M189" s="217">
        <f>IF(OR($A189="",'Project Overview'!O186="",'Project Overview'!O186="?"),1,0)</f>
        <v>0</v>
      </c>
      <c r="N189" s="217">
        <f>IF(OR($A189="",'Project Overview'!P186="", 'Project Overview'!P186="?"),1,0)</f>
        <v>0</v>
      </c>
      <c r="O189" s="217">
        <f t="shared" si="39"/>
        <v>0</v>
      </c>
      <c r="P189" s="217" t="str">
        <f t="shared" si="38"/>
        <v>OK</v>
      </c>
    </row>
    <row r="190" spans="1:16" hidden="1" x14ac:dyDescent="0.3">
      <c r="A190" s="217" t="str">
        <f>""&amp;'Project Overview'!A187</f>
        <v>182</v>
      </c>
      <c r="B190" s="218" t="str">
        <f>'Project Overview'!B187</f>
        <v>Santos &amp; Ferreira</v>
      </c>
      <c r="C190" s="218" t="str">
        <f>'Project Overview'!C187</f>
        <v>Santos &amp; Ferreira, Lda.</v>
      </c>
      <c r="D190" s="221" t="str">
        <f>'Project Overview'!R187</f>
        <v>ACTIVE</v>
      </c>
      <c r="E190" s="221" t="str">
        <f ca="1">'Project Overview'!Y187</f>
        <v>yes</v>
      </c>
      <c r="F190" s="217">
        <f t="shared" si="42"/>
        <v>0</v>
      </c>
      <c r="G190" s="217">
        <f t="shared" si="43"/>
        <v>0</v>
      </c>
      <c r="H190" s="217">
        <f>IF(AND($A190&lt;&gt;"",'Project Overview'!D187=""),1,0)</f>
        <v>0</v>
      </c>
      <c r="I190" s="217">
        <f>IF(AND($A190&lt;&gt;"",'Project Overview'!F187=""),1,0)</f>
        <v>0</v>
      </c>
      <c r="J190" s="217">
        <f>IF(AND($A190&lt;&gt;"",OR('Project Overview'!I187="ESCO",'Project Overview'!I187="EPC",'Project Overview'!I187="ESCO BUYOUT"),'Project Overview'!K187=""),1,0)</f>
        <v>0</v>
      </c>
      <c r="K190" s="217">
        <f>IF(AND($A190&lt;&gt;"",'Project Overview'!M187=""),1,0)</f>
        <v>0</v>
      </c>
      <c r="L190" s="217">
        <f>IF(AND($A190&lt;&gt;"",'Project Overview'!U187=""),1,0)</f>
        <v>0</v>
      </c>
      <c r="M190" s="217">
        <f>IF(OR($A190="",'Project Overview'!O187="",'Project Overview'!O187="?"),1,0)</f>
        <v>0</v>
      </c>
      <c r="N190" s="217">
        <f>IF(OR($A190="",'Project Overview'!P187="", 'Project Overview'!P187="?"),1,0)</f>
        <v>0</v>
      </c>
      <c r="O190" s="217">
        <f t="shared" si="39"/>
        <v>0</v>
      </c>
      <c r="P190" s="217" t="str">
        <f t="shared" si="38"/>
        <v>OK</v>
      </c>
    </row>
    <row r="191" spans="1:16" x14ac:dyDescent="0.3">
      <c r="A191" s="217" t="str">
        <f>""&amp;'Project Overview'!A188</f>
        <v>183</v>
      </c>
      <c r="B191" s="218" t="str">
        <f>'Project Overview'!B188</f>
        <v>Intermarche Sesimbra</v>
      </c>
      <c r="C191" s="218" t="str">
        <f>'Project Overview'!C188</f>
        <v>Intermarche Sesimbra</v>
      </c>
      <c r="D191" s="221" t="str">
        <f>'Project Overview'!R188</f>
        <v>ACTIVE</v>
      </c>
      <c r="E191" s="221" t="str">
        <f ca="1">'Project Overview'!Y188</f>
        <v>yes</v>
      </c>
      <c r="F191" s="217">
        <f t="shared" si="42"/>
        <v>0</v>
      </c>
      <c r="G191" s="217">
        <f t="shared" si="43"/>
        <v>0</v>
      </c>
      <c r="H191" s="217">
        <f>IF(AND($A191&lt;&gt;"",'Project Overview'!D188=""),1,0)</f>
        <v>0</v>
      </c>
      <c r="I191" s="217">
        <f>IF(AND($A191&lt;&gt;"",'Project Overview'!F188=""),1,0)</f>
        <v>0</v>
      </c>
      <c r="J191" s="217">
        <f>IF(AND($A191&lt;&gt;"",OR('Project Overview'!I188="ESCO",'Project Overview'!I188="EPC",'Project Overview'!I188="ESCO BUYOUT"),'Project Overview'!K188=""),1,0)</f>
        <v>0</v>
      </c>
      <c r="K191" s="217">
        <f>IF(AND($A191&lt;&gt;"",'Project Overview'!M188=""),1,0)</f>
        <v>0</v>
      </c>
      <c r="L191" s="217">
        <f>IF(AND($A191&lt;&gt;"",'Project Overview'!U188=""),1,0)</f>
        <v>1</v>
      </c>
      <c r="M191" s="217">
        <f>IF(OR($A191="",'Project Overview'!O188="",'Project Overview'!O188="?"),1,0)</f>
        <v>0</v>
      </c>
      <c r="N191" s="217">
        <f>IF(OR($A191="",'Project Overview'!P188="", 'Project Overview'!P188="?"),1,0)</f>
        <v>0</v>
      </c>
      <c r="O191" s="217">
        <f t="shared" si="39"/>
        <v>1</v>
      </c>
      <c r="P191" s="217" t="str">
        <f t="shared" si="38"/>
        <v>REVER</v>
      </c>
    </row>
    <row r="192" spans="1:16" hidden="1" x14ac:dyDescent="0.3">
      <c r="A192" s="217" t="str">
        <f>""&amp;'Project Overview'!A189</f>
        <v>184</v>
      </c>
      <c r="B192" s="218" t="str">
        <f>'Project Overview'!B189</f>
        <v xml:space="preserve"> LATI Setubal (EPC)</v>
      </c>
      <c r="C192" s="218" t="str">
        <f>'Project Overview'!C189</f>
        <v>LATI Setúbal</v>
      </c>
      <c r="D192" s="221" t="str">
        <f>'Project Overview'!R189</f>
        <v>ACTIVE</v>
      </c>
      <c r="E192" s="221" t="str">
        <f ca="1">'Project Overview'!Y189</f>
        <v>no</v>
      </c>
      <c r="F192" s="217">
        <f t="shared" si="36"/>
        <v>0</v>
      </c>
      <c r="G192" s="217">
        <f t="shared" si="37"/>
        <v>0</v>
      </c>
      <c r="H192" s="217">
        <f>IF(AND($A192&lt;&gt;"",'Project Overview'!D189=""),1,0)</f>
        <v>0</v>
      </c>
      <c r="I192" s="217">
        <f>IF(AND($A192&lt;&gt;"",'Project Overview'!F189=""),1,0)</f>
        <v>0</v>
      </c>
      <c r="J192" s="217">
        <f>IF(AND($A192&lt;&gt;"",OR('Project Overview'!I189="ESCO",'Project Overview'!I189="EPC",'Project Overview'!I189="ESCO BUYOUT"),'Project Overview'!K189=""),1,0)</f>
        <v>0</v>
      </c>
      <c r="K192" s="217">
        <f>IF(AND($A192&lt;&gt;"",'Project Overview'!M189=""),1,0)</f>
        <v>0</v>
      </c>
      <c r="L192" s="217">
        <f>IF(AND($A192&lt;&gt;"",'Project Overview'!U189=""),1,0)</f>
        <v>1</v>
      </c>
      <c r="M192" s="217">
        <f>IF(OR($A192="",'Project Overview'!O189="",'Project Overview'!O189="?"),1,0)</f>
        <v>0</v>
      </c>
      <c r="N192" s="217">
        <f>IF(OR($A192="",'Project Overview'!P189="", 'Project Overview'!P189="?"),1,0)</f>
        <v>1</v>
      </c>
      <c r="O192" s="217">
        <f t="shared" si="39"/>
        <v>2</v>
      </c>
      <c r="P192" s="217" t="str">
        <f t="shared" si="38"/>
        <v>REVER</v>
      </c>
    </row>
    <row r="193" spans="1:16" ht="28.8" hidden="1" x14ac:dyDescent="0.3">
      <c r="A193" s="217" t="str">
        <f>""&amp;'Project Overview'!A190</f>
        <v>185</v>
      </c>
      <c r="B193" s="218" t="str">
        <f>'Project Overview'!B190</f>
        <v xml:space="preserve"> APPACDM Portalegre (EPC)</v>
      </c>
      <c r="C193" s="218" t="str">
        <f>'Project Overview'!C190</f>
        <v>APPACDM de Portalegre</v>
      </c>
      <c r="D193" s="221" t="str">
        <f>'Project Overview'!R190</f>
        <v>ACTIVE</v>
      </c>
      <c r="E193" s="221" t="str">
        <f ca="1">'Project Overview'!Y190</f>
        <v>no</v>
      </c>
      <c r="F193" s="217">
        <f t="shared" si="36"/>
        <v>0</v>
      </c>
      <c r="G193" s="217">
        <f t="shared" si="37"/>
        <v>0</v>
      </c>
      <c r="H193" s="217">
        <f>IF(AND($A193&lt;&gt;"",'Project Overview'!D190=""),1,0)</f>
        <v>0</v>
      </c>
      <c r="I193" s="217">
        <f>IF(AND($A193&lt;&gt;"",'Project Overview'!F190=""),1,0)</f>
        <v>0</v>
      </c>
      <c r="J193" s="217">
        <f>IF(AND($A193&lt;&gt;"",OR('Project Overview'!I190="ESCO",'Project Overview'!I190="EPC",'Project Overview'!I190="ESCO BUYOUT"),'Project Overview'!K190=""),1,0)</f>
        <v>0</v>
      </c>
      <c r="K193" s="217">
        <f>IF(AND($A193&lt;&gt;"",'Project Overview'!M190=""),1,0)</f>
        <v>0</v>
      </c>
      <c r="L193" s="217">
        <f>IF(AND($A193&lt;&gt;"",'Project Overview'!U190=""),1,0)</f>
        <v>1</v>
      </c>
      <c r="M193" s="217">
        <f>IF(OR($A193="",'Project Overview'!O190="",'Project Overview'!O190="?"),1,0)</f>
        <v>0</v>
      </c>
      <c r="N193" s="217">
        <f>IF(OR($A193="",'Project Overview'!P190="", 'Project Overview'!P190="?"),1,0)</f>
        <v>1</v>
      </c>
      <c r="O193" s="217">
        <f t="shared" si="39"/>
        <v>2</v>
      </c>
      <c r="P193" s="217" t="str">
        <f t="shared" si="38"/>
        <v>REVER</v>
      </c>
    </row>
    <row r="194" spans="1:16" ht="28.8" hidden="1" x14ac:dyDescent="0.3">
      <c r="A194" s="217" t="str">
        <f>""&amp;'Project Overview'!A191</f>
        <v>186</v>
      </c>
      <c r="B194" s="218" t="str">
        <f>'Project Overview'!B191</f>
        <v xml:space="preserve"> Casa Agrofeliz (EPC)</v>
      </c>
      <c r="C194" s="218" t="str">
        <f>'Project Overview'!C191</f>
        <v>Sociedade Agricola Casa Agrofeliz</v>
      </c>
      <c r="D194" s="221" t="str">
        <f>'Project Overview'!R191</f>
        <v>ACTIVE</v>
      </c>
      <c r="E194" s="221" t="str">
        <f ca="1">'Project Overview'!Y191</f>
        <v>no</v>
      </c>
      <c r="F194" s="217">
        <f t="shared" si="36"/>
        <v>0</v>
      </c>
      <c r="G194" s="217">
        <f t="shared" si="37"/>
        <v>0</v>
      </c>
      <c r="H194" s="217">
        <f>IF(AND($A194&lt;&gt;"",'Project Overview'!D191=""),1,0)</f>
        <v>0</v>
      </c>
      <c r="I194" s="217">
        <f>IF(AND($A194&lt;&gt;"",'Project Overview'!F191=""),1,0)</f>
        <v>0</v>
      </c>
      <c r="J194" s="217">
        <f>IF(AND($A194&lt;&gt;"",OR('Project Overview'!I191="ESCO",'Project Overview'!I191="EPC",'Project Overview'!I191="ESCO BUYOUT"),'Project Overview'!K191=""),1,0)</f>
        <v>0</v>
      </c>
      <c r="K194" s="217">
        <f>IF(AND($A194&lt;&gt;"",'Project Overview'!M191=""),1,0)</f>
        <v>0</v>
      </c>
      <c r="L194" s="217">
        <f>IF(AND($A194&lt;&gt;"",'Project Overview'!U191=""),1,0)</f>
        <v>0</v>
      </c>
      <c r="M194" s="217">
        <f>IF(OR($A194="",'Project Overview'!O191="",'Project Overview'!O191="?"),1,0)</f>
        <v>0</v>
      </c>
      <c r="N194" s="217">
        <f>IF(OR($A194="",'Project Overview'!P191="", 'Project Overview'!P191="?"),1,0)</f>
        <v>1</v>
      </c>
      <c r="O194" s="217">
        <f t="shared" si="39"/>
        <v>1</v>
      </c>
      <c r="P194" s="217" t="str">
        <f t="shared" si="38"/>
        <v>REVER</v>
      </c>
    </row>
    <row r="195" spans="1:16" ht="28.8" hidden="1" x14ac:dyDescent="0.3">
      <c r="A195" s="217" t="str">
        <f>""&amp;'Project Overview'!A192</f>
        <v>187</v>
      </c>
      <c r="B195" s="218" t="str">
        <f>'Project Overview'!B192</f>
        <v xml:space="preserve"> SCM Alenquer (EPC)</v>
      </c>
      <c r="C195" s="218" t="str">
        <f>'Project Overview'!C192</f>
        <v>Santa Casa da Mesericórdia de Alenquer</v>
      </c>
      <c r="D195" s="221" t="str">
        <f>'Project Overview'!R192</f>
        <v>ACTIVE</v>
      </c>
      <c r="E195" s="221" t="str">
        <f ca="1">'Project Overview'!Y192</f>
        <v>no</v>
      </c>
      <c r="F195" s="217">
        <f t="shared" si="36"/>
        <v>0</v>
      </c>
      <c r="G195" s="217">
        <f t="shared" si="37"/>
        <v>0</v>
      </c>
      <c r="H195" s="217">
        <f>IF(AND($A195&lt;&gt;"",'Project Overview'!D192=""),1,0)</f>
        <v>0</v>
      </c>
      <c r="I195" s="217">
        <f>IF(AND($A195&lt;&gt;"",'Project Overview'!F192=""),1,0)</f>
        <v>0</v>
      </c>
      <c r="J195" s="217">
        <f>IF(AND($A195&lt;&gt;"",OR('Project Overview'!I192="ESCO",'Project Overview'!I192="EPC",'Project Overview'!I192="ESCO BUYOUT"),'Project Overview'!K192=""),1,0)</f>
        <v>0</v>
      </c>
      <c r="K195" s="217">
        <f>IF(AND($A195&lt;&gt;"",'Project Overview'!M192=""),1,0)</f>
        <v>0</v>
      </c>
      <c r="L195" s="217">
        <f>IF(AND($A195&lt;&gt;"",'Project Overview'!U192=""),1,0)</f>
        <v>1</v>
      </c>
      <c r="M195" s="217">
        <f>IF(OR($A195="",'Project Overview'!O192="",'Project Overview'!O192="?"),1,0)</f>
        <v>0</v>
      </c>
      <c r="N195" s="217">
        <f>IF(OR($A195="",'Project Overview'!P192="", 'Project Overview'!P192="?"),1,0)</f>
        <v>1</v>
      </c>
      <c r="O195" s="217">
        <f t="shared" si="39"/>
        <v>2</v>
      </c>
      <c r="P195" s="217" t="str">
        <f t="shared" si="38"/>
        <v>REVER</v>
      </c>
    </row>
    <row r="196" spans="1:16" ht="28.8" hidden="1" x14ac:dyDescent="0.3">
      <c r="A196" s="217" t="str">
        <f>""&amp;'Project Overview'!A193</f>
        <v>188</v>
      </c>
      <c r="B196" s="218" t="str">
        <f>'Project Overview'!B193</f>
        <v xml:space="preserve"> CSP Santo Aleixo (EPC)</v>
      </c>
      <c r="C196" s="218" t="str">
        <f>'Project Overview'!C193</f>
        <v>Centro Social Paroquial de Santo Aleixo</v>
      </c>
      <c r="D196" s="221" t="str">
        <f>'Project Overview'!R193</f>
        <v>ACTIVE</v>
      </c>
      <c r="E196" s="221" t="str">
        <f ca="1">'Project Overview'!Y193</f>
        <v>no</v>
      </c>
      <c r="F196" s="217">
        <f t="shared" si="36"/>
        <v>0</v>
      </c>
      <c r="G196" s="217">
        <f t="shared" si="37"/>
        <v>0</v>
      </c>
      <c r="H196" s="217">
        <f>IF(AND($A196&lt;&gt;"",'Project Overview'!D193=""),1,0)</f>
        <v>0</v>
      </c>
      <c r="I196" s="217">
        <f>IF(AND($A196&lt;&gt;"",'Project Overview'!F193=""),1,0)</f>
        <v>0</v>
      </c>
      <c r="J196" s="217">
        <f>IF(AND($A196&lt;&gt;"",OR('Project Overview'!I193="ESCO",'Project Overview'!I193="EPC",'Project Overview'!I193="ESCO BUYOUT"),'Project Overview'!K193=""),1,0)</f>
        <v>0</v>
      </c>
      <c r="K196" s="217">
        <f>IF(AND($A196&lt;&gt;"",'Project Overview'!M193=""),1,0)</f>
        <v>0</v>
      </c>
      <c r="L196" s="217">
        <f>IF(AND($A196&lt;&gt;"",'Project Overview'!U193=""),1,0)</f>
        <v>1</v>
      </c>
      <c r="M196" s="217">
        <f>IF(OR($A196="",'Project Overview'!O193="",'Project Overview'!O193="?"),1,0)</f>
        <v>0</v>
      </c>
      <c r="N196" s="217">
        <f>IF(OR($A196="",'Project Overview'!P193="", 'Project Overview'!P193="?"),1,0)</f>
        <v>1</v>
      </c>
      <c r="O196" s="217">
        <f t="shared" si="39"/>
        <v>2</v>
      </c>
      <c r="P196" s="217" t="str">
        <f t="shared" si="38"/>
        <v>REVER</v>
      </c>
    </row>
    <row r="197" spans="1:16" ht="28.8" hidden="1" x14ac:dyDescent="0.3">
      <c r="A197" s="217" t="str">
        <f>""&amp;'Project Overview'!A194</f>
        <v>189</v>
      </c>
      <c r="B197" s="218" t="str">
        <f>'Project Overview'!B194</f>
        <v xml:space="preserve"> Obra Social Jean mile Anizan (EPC)</v>
      </c>
      <c r="C197" s="218" t="str">
        <f>'Project Overview'!C194</f>
        <v>Fundação Jean Émilie Anizan</v>
      </c>
      <c r="D197" s="221" t="str">
        <f>'Project Overview'!R194</f>
        <v>ACTIVE</v>
      </c>
      <c r="E197" s="221" t="str">
        <f ca="1">'Project Overview'!Y194</f>
        <v>no</v>
      </c>
      <c r="F197" s="217">
        <f t="shared" ref="F197:F260" si="44">IF(AND($A197&lt;&gt;"",$B197=""),1,0)</f>
        <v>0</v>
      </c>
      <c r="G197" s="217">
        <f t="shared" ref="G197:G260" si="45">IF(AND($A197&lt;&gt;"",$C197=""),1,0)</f>
        <v>0</v>
      </c>
      <c r="H197" s="217">
        <f>IF(AND($A197&lt;&gt;"",'Project Overview'!D194=""),1,0)</f>
        <v>0</v>
      </c>
      <c r="I197" s="217">
        <f>IF(AND($A197&lt;&gt;"",'Project Overview'!F194=""),1,0)</f>
        <v>0</v>
      </c>
      <c r="J197" s="217">
        <f>IF(AND($A197&lt;&gt;"",OR('Project Overview'!I194="ESCO",'Project Overview'!I194="EPC",'Project Overview'!I194="ESCO BUYOUT"),'Project Overview'!K194=""),1,0)</f>
        <v>0</v>
      </c>
      <c r="K197" s="217">
        <f>IF(AND($A197&lt;&gt;"",'Project Overview'!M194=""),1,0)</f>
        <v>0</v>
      </c>
      <c r="L197" s="217">
        <f>IF(AND($A197&lt;&gt;"",'Project Overview'!U194=""),1,0)</f>
        <v>1</v>
      </c>
      <c r="M197" s="217">
        <f>IF(OR($A197="",'Project Overview'!O194="",'Project Overview'!O194="?"),1,0)</f>
        <v>0</v>
      </c>
      <c r="N197" s="217">
        <f>IF(OR($A197="",'Project Overview'!P194="", 'Project Overview'!P194="?"),1,0)</f>
        <v>1</v>
      </c>
      <c r="O197" s="217">
        <f t="shared" si="39"/>
        <v>2</v>
      </c>
      <c r="P197" s="217" t="str">
        <f t="shared" ref="P197:P260" si="46">IF($A197="","",IF($O197=0,"OK","REVER"))</f>
        <v>REVER</v>
      </c>
    </row>
    <row r="198" spans="1:16" ht="43.2" hidden="1" x14ac:dyDescent="0.3">
      <c r="A198" s="217" t="str">
        <f>""&amp;'Project Overview'!A195</f>
        <v>190</v>
      </c>
      <c r="B198" s="218" t="str">
        <f>'Project Overview'!B195</f>
        <v xml:space="preserve"> Projeto Estacado Reguengo (Valada) (EPC)</v>
      </c>
      <c r="C198" s="218" t="str">
        <f>'Project Overview'!C195</f>
        <v>Marco António Braulino Nunes</v>
      </c>
      <c r="D198" s="221" t="str">
        <f>'Project Overview'!R195</f>
        <v>ACTIVE</v>
      </c>
      <c r="E198" s="221" t="str">
        <f ca="1">'Project Overview'!Y195</f>
        <v>no</v>
      </c>
      <c r="F198" s="217">
        <f t="shared" si="44"/>
        <v>0</v>
      </c>
      <c r="G198" s="217">
        <f t="shared" si="45"/>
        <v>0</v>
      </c>
      <c r="H198" s="217">
        <f>IF(AND($A198&lt;&gt;"",'Project Overview'!D195=""),1,0)</f>
        <v>0</v>
      </c>
      <c r="I198" s="217">
        <f>IF(AND($A198&lt;&gt;"",'Project Overview'!F195=""),1,0)</f>
        <v>0</v>
      </c>
      <c r="J198" s="217">
        <f>IF(AND($A198&lt;&gt;"",OR('Project Overview'!I195="ESCO",'Project Overview'!I195="EPC",'Project Overview'!I195="ESCO BUYOUT"),'Project Overview'!K195=""),1,0)</f>
        <v>0</v>
      </c>
      <c r="K198" s="217">
        <f>IF(AND($A198&lt;&gt;"",'Project Overview'!M195=""),1,0)</f>
        <v>0</v>
      </c>
      <c r="L198" s="217">
        <f>IF(AND($A198&lt;&gt;"",'Project Overview'!U195=""),1,0)</f>
        <v>1</v>
      </c>
      <c r="M198" s="217">
        <f>IF(OR($A198="",'Project Overview'!O195="",'Project Overview'!O195="?"),1,0)</f>
        <v>0</v>
      </c>
      <c r="N198" s="217">
        <f>IF(OR($A198="",'Project Overview'!P195="", 'Project Overview'!P195="?"),1,0)</f>
        <v>0</v>
      </c>
      <c r="O198" s="217">
        <f t="shared" ref="O198:O261" si="47">SUM(F198:N198)</f>
        <v>1</v>
      </c>
      <c r="P198" s="217" t="str">
        <f t="shared" si="46"/>
        <v>REVER</v>
      </c>
    </row>
    <row r="199" spans="1:16" ht="28.8" hidden="1" x14ac:dyDescent="0.3">
      <c r="A199" s="217" t="str">
        <f>""&amp;'Project Overview'!A196</f>
        <v>191</v>
      </c>
      <c r="B199" s="218" t="str">
        <f>'Project Overview'!B196</f>
        <v xml:space="preserve"> Projeto Estacado Xilau (EPC)</v>
      </c>
      <c r="C199" s="218">
        <f>'Project Overview'!C196</f>
        <v>0</v>
      </c>
      <c r="D199" s="221" t="str">
        <f>'Project Overview'!R196</f>
        <v>ACTIVE</v>
      </c>
      <c r="E199" s="221" t="str">
        <f ca="1">'Project Overview'!Y196</f>
        <v>no</v>
      </c>
      <c r="F199" s="217">
        <f t="shared" si="44"/>
        <v>0</v>
      </c>
      <c r="G199" s="217">
        <f t="shared" si="45"/>
        <v>0</v>
      </c>
      <c r="H199" s="217">
        <f>IF(AND($A199&lt;&gt;"",'Project Overview'!D196=""),1,0)</f>
        <v>0</v>
      </c>
      <c r="I199" s="217">
        <f>IF(AND($A199&lt;&gt;"",'Project Overview'!F196=""),1,0)</f>
        <v>0</v>
      </c>
      <c r="J199" s="217">
        <f>IF(AND($A199&lt;&gt;"",OR('Project Overview'!I196="ESCO",'Project Overview'!I196="EPC",'Project Overview'!I196="ESCO BUYOUT"),'Project Overview'!K196=""),1,0)</f>
        <v>0</v>
      </c>
      <c r="K199" s="217">
        <f>IF(AND($A199&lt;&gt;"",'Project Overview'!M196=""),1,0)</f>
        <v>0</v>
      </c>
      <c r="L199" s="217">
        <f>IF(AND($A199&lt;&gt;"",'Project Overview'!U196=""),1,0)</f>
        <v>1</v>
      </c>
      <c r="M199" s="217">
        <f>IF(OR($A199="",'Project Overview'!O196="",'Project Overview'!O196="?"),1,0)</f>
        <v>0</v>
      </c>
      <c r="N199" s="217">
        <f>IF(OR($A199="",'Project Overview'!P196="", 'Project Overview'!P196="?"),1,0)</f>
        <v>1</v>
      </c>
      <c r="O199" s="217">
        <f t="shared" si="47"/>
        <v>2</v>
      </c>
      <c r="P199" s="217" t="str">
        <f t="shared" si="46"/>
        <v>REVER</v>
      </c>
    </row>
    <row r="200" spans="1:16" ht="28.8" hidden="1" x14ac:dyDescent="0.3">
      <c r="A200" s="217" t="str">
        <f>""&amp;'Project Overview'!A197</f>
        <v>192</v>
      </c>
      <c r="B200" s="218" t="str">
        <f>'Project Overview'!B197</f>
        <v xml:space="preserve"> BV Cabo Ruivo (EPC)</v>
      </c>
      <c r="C200" s="218" t="str">
        <f>'Project Overview'!C197</f>
        <v>Associação Humanitária Cabo Ruivo</v>
      </c>
      <c r="D200" s="221" t="str">
        <f>'Project Overview'!R197</f>
        <v>ACTIVE</v>
      </c>
      <c r="E200" s="221" t="str">
        <f ca="1">'Project Overview'!Y197</f>
        <v>no</v>
      </c>
      <c r="F200" s="217">
        <f t="shared" si="44"/>
        <v>0</v>
      </c>
      <c r="G200" s="217">
        <f t="shared" si="45"/>
        <v>0</v>
      </c>
      <c r="H200" s="217">
        <f>IF(AND($A200&lt;&gt;"",'Project Overview'!D197=""),1,0)</f>
        <v>0</v>
      </c>
      <c r="I200" s="217">
        <f>IF(AND($A200&lt;&gt;"",'Project Overview'!F197=""),1,0)</f>
        <v>0</v>
      </c>
      <c r="J200" s="217">
        <f>IF(AND($A200&lt;&gt;"",OR('Project Overview'!I197="ESCO",'Project Overview'!I197="EPC",'Project Overview'!I197="ESCO BUYOUT"),'Project Overview'!K197=""),1,0)</f>
        <v>0</v>
      </c>
      <c r="K200" s="217">
        <f>IF(AND($A200&lt;&gt;"",'Project Overview'!M197=""),1,0)</f>
        <v>0</v>
      </c>
      <c r="L200" s="217">
        <f>IF(AND($A200&lt;&gt;"",'Project Overview'!U197=""),1,0)</f>
        <v>1</v>
      </c>
      <c r="M200" s="217">
        <f>IF(OR($A200="",'Project Overview'!O197="",'Project Overview'!O197="?"),1,0)</f>
        <v>1</v>
      </c>
      <c r="N200" s="217">
        <f>IF(OR($A200="",'Project Overview'!P197="", 'Project Overview'!P197="?"),1,0)</f>
        <v>1</v>
      </c>
      <c r="O200" s="217">
        <f t="shared" si="47"/>
        <v>3</v>
      </c>
      <c r="P200" s="217" t="str">
        <f t="shared" si="46"/>
        <v>REVER</v>
      </c>
    </row>
    <row r="201" spans="1:16" ht="28.8" hidden="1" x14ac:dyDescent="0.3">
      <c r="A201" s="217" t="str">
        <f>""&amp;'Project Overview'!A198</f>
        <v>193</v>
      </c>
      <c r="B201" s="218" t="str">
        <f>'Project Overview'!B198</f>
        <v xml:space="preserve"> SCM Resende (EPC)</v>
      </c>
      <c r="C201" s="218" t="str">
        <f>'Project Overview'!C198</f>
        <v>Irmandade Santa Casa da Misericórdia de Resende</v>
      </c>
      <c r="D201" s="221" t="str">
        <f>'Project Overview'!R198</f>
        <v>ACTIVE</v>
      </c>
      <c r="E201" s="221" t="str">
        <f ca="1">'Project Overview'!Y198</f>
        <v>no</v>
      </c>
      <c r="F201" s="217">
        <f t="shared" si="44"/>
        <v>0</v>
      </c>
      <c r="G201" s="217">
        <f t="shared" si="45"/>
        <v>0</v>
      </c>
      <c r="H201" s="217">
        <f>IF(AND($A201&lt;&gt;"",'Project Overview'!D198=""),1,0)</f>
        <v>0</v>
      </c>
      <c r="I201" s="217">
        <f>IF(AND($A201&lt;&gt;"",'Project Overview'!F198=""),1,0)</f>
        <v>0</v>
      </c>
      <c r="J201" s="217">
        <f>IF(AND($A201&lt;&gt;"",OR('Project Overview'!I198="ESCO",'Project Overview'!I198="EPC",'Project Overview'!I198="ESCO BUYOUT"),'Project Overview'!K198=""),1,0)</f>
        <v>0</v>
      </c>
      <c r="K201" s="217">
        <f>IF(AND($A201&lt;&gt;"",'Project Overview'!M198=""),1,0)</f>
        <v>0</v>
      </c>
      <c r="L201" s="217">
        <f>IF(AND($A201&lt;&gt;"",'Project Overview'!U198=""),1,0)</f>
        <v>1</v>
      </c>
      <c r="M201" s="217">
        <f>IF(OR($A201="",'Project Overview'!O198="",'Project Overview'!O198="?"),1,0)</f>
        <v>0</v>
      </c>
      <c r="N201" s="217">
        <f>IF(OR($A201="",'Project Overview'!P198="", 'Project Overview'!P198="?"),1,0)</f>
        <v>1</v>
      </c>
      <c r="O201" s="217">
        <f t="shared" si="47"/>
        <v>2</v>
      </c>
      <c r="P201" s="217" t="str">
        <f t="shared" si="46"/>
        <v>REVER</v>
      </c>
    </row>
    <row r="202" spans="1:16" ht="28.8" hidden="1" x14ac:dyDescent="0.3">
      <c r="A202" s="217" t="str">
        <f>""&amp;'Project Overview'!A199</f>
        <v>194</v>
      </c>
      <c r="B202" s="218" t="str">
        <f>'Project Overview'!B199</f>
        <v xml:space="preserve"> Manuel Barbosa &amp; Filhos (EPC)</v>
      </c>
      <c r="C202" s="218" t="str">
        <f>'Project Overview'!C199</f>
        <v>Manuel Barbosa &amp; Filho Lda.</v>
      </c>
      <c r="D202" s="221" t="str">
        <f>'Project Overview'!R199</f>
        <v>ACTIVE</v>
      </c>
      <c r="E202" s="221" t="str">
        <f ca="1">'Project Overview'!Y199</f>
        <v>no</v>
      </c>
      <c r="F202" s="217">
        <f t="shared" si="44"/>
        <v>0</v>
      </c>
      <c r="G202" s="217">
        <f t="shared" si="45"/>
        <v>0</v>
      </c>
      <c r="H202" s="217">
        <f>IF(AND($A202&lt;&gt;"",'Project Overview'!D199=""),1,0)</f>
        <v>0</v>
      </c>
      <c r="I202" s="217">
        <f>IF(AND($A202&lt;&gt;"",'Project Overview'!F199=""),1,0)</f>
        <v>0</v>
      </c>
      <c r="J202" s="217">
        <f>IF(AND($A202&lt;&gt;"",OR('Project Overview'!I199="ESCO",'Project Overview'!I199="EPC",'Project Overview'!I199="ESCO BUYOUT"),'Project Overview'!K199=""),1,0)</f>
        <v>0</v>
      </c>
      <c r="K202" s="217">
        <f>IF(AND($A202&lt;&gt;"",'Project Overview'!M199=""),1,0)</f>
        <v>1</v>
      </c>
      <c r="L202" s="217">
        <f>IF(AND($A202&lt;&gt;"",'Project Overview'!U199=""),1,0)</f>
        <v>0</v>
      </c>
      <c r="M202" s="217">
        <f>IF(OR($A202="",'Project Overview'!O199="",'Project Overview'!O199="?"),1,0)</f>
        <v>1</v>
      </c>
      <c r="N202" s="217">
        <f>IF(OR($A202="",'Project Overview'!P199="", 'Project Overview'!P199="?"),1,0)</f>
        <v>1</v>
      </c>
      <c r="O202" s="217">
        <f t="shared" si="47"/>
        <v>3</v>
      </c>
      <c r="P202" s="217" t="str">
        <f t="shared" si="46"/>
        <v>REVER</v>
      </c>
    </row>
    <row r="203" spans="1:16" ht="28.8" x14ac:dyDescent="0.3">
      <c r="A203" s="217" t="str">
        <f>""&amp;'Project Overview'!A200</f>
        <v>195</v>
      </c>
      <c r="B203" s="218" t="str">
        <f>'Project Overview'!B200</f>
        <v xml:space="preserve"> ITM Oliveira do Douro (EPC)</v>
      </c>
      <c r="C203" s="218" t="str">
        <f>'Project Overview'!C200</f>
        <v>Intermarché de Oliveira do Douro</v>
      </c>
      <c r="D203" s="221" t="str">
        <f>'Project Overview'!R200</f>
        <v>ACTIVE</v>
      </c>
      <c r="E203" s="221" t="str">
        <f ca="1">'Project Overview'!Y200</f>
        <v>yes</v>
      </c>
      <c r="F203" s="217">
        <f>IF(OR($A203="",$B203=""),1,0)</f>
        <v>0</v>
      </c>
      <c r="G203" s="217">
        <f>IF($C203="",1,0)</f>
        <v>0</v>
      </c>
      <c r="H203" s="217">
        <f>IF(AND($A203&lt;&gt;"",'Project Overview'!D200=""),1,0)</f>
        <v>0</v>
      </c>
      <c r="I203" s="217">
        <f>IF(AND($A203&lt;&gt;"",'Project Overview'!F200=""),1,0)</f>
        <v>0</v>
      </c>
      <c r="J203" s="217">
        <f>IF(AND($A203&lt;&gt;"",OR('Project Overview'!I200="ESCO",'Project Overview'!I200="EPC",'Project Overview'!I200="ESCO BUYOUT"),'Project Overview'!K200=""),1,0)</f>
        <v>0</v>
      </c>
      <c r="K203" s="217">
        <f>IF(AND($A203&lt;&gt;"",'Project Overview'!M200=""),1,0)</f>
        <v>0</v>
      </c>
      <c r="L203" s="217">
        <f>IF(AND($A203&lt;&gt;"",'Project Overview'!U200=""),1,0)</f>
        <v>0</v>
      </c>
      <c r="M203" s="217">
        <f>IF(OR($A203="",'Project Overview'!O200="",'Project Overview'!O200="?"),1,0)</f>
        <v>0</v>
      </c>
      <c r="N203" s="217">
        <f>IF(OR($A203="",'Project Overview'!P200="", 'Project Overview'!P200="?"),1,0)</f>
        <v>1</v>
      </c>
      <c r="O203" s="217">
        <f t="shared" si="47"/>
        <v>1</v>
      </c>
      <c r="P203" s="217" t="str">
        <f t="shared" si="46"/>
        <v>REVER</v>
      </c>
    </row>
    <row r="204" spans="1:16" ht="28.8" hidden="1" x14ac:dyDescent="0.3">
      <c r="A204" s="217" t="str">
        <f>""&amp;'Project Overview'!A201</f>
        <v>196</v>
      </c>
      <c r="B204" s="218" t="str">
        <f>'Project Overview'!B201</f>
        <v xml:space="preserve"> APDP Lisboa (EPC)</v>
      </c>
      <c r="C204" s="218" t="str">
        <f>'Project Overview'!C201</f>
        <v>Associação Protectora dos Diabéticos de Portugal</v>
      </c>
      <c r="D204" s="221" t="str">
        <f>'Project Overview'!R201</f>
        <v>ACTIVE</v>
      </c>
      <c r="E204" s="221" t="str">
        <f ca="1">'Project Overview'!Y201</f>
        <v>no</v>
      </c>
      <c r="F204" s="217">
        <f t="shared" si="44"/>
        <v>0</v>
      </c>
      <c r="G204" s="217">
        <f t="shared" si="45"/>
        <v>0</v>
      </c>
      <c r="H204" s="217">
        <f>IF(AND($A204&lt;&gt;"",'Project Overview'!D201=""),1,0)</f>
        <v>0</v>
      </c>
      <c r="I204" s="217">
        <f>IF(AND($A204&lt;&gt;"",'Project Overview'!F201=""),1,0)</f>
        <v>0</v>
      </c>
      <c r="J204" s="217">
        <f>IF(AND($A204&lt;&gt;"",OR('Project Overview'!I201="ESCO",'Project Overview'!I201="EPC",'Project Overview'!I201="ESCO BUYOUT"),'Project Overview'!K201=""),1,0)</f>
        <v>0</v>
      </c>
      <c r="K204" s="217">
        <f>IF(AND($A204&lt;&gt;"",'Project Overview'!M201=""),1,0)</f>
        <v>0</v>
      </c>
      <c r="L204" s="217">
        <f>IF(AND($A204&lt;&gt;"",'Project Overview'!U201=""),1,0)</f>
        <v>0</v>
      </c>
      <c r="M204" s="217">
        <f>IF(OR($A204="",'Project Overview'!O201="",'Project Overview'!O201="?"),1,0)</f>
        <v>0</v>
      </c>
      <c r="N204" s="217">
        <f>IF(OR($A204="",'Project Overview'!P201="", 'Project Overview'!P201="?"),1,0)</f>
        <v>1</v>
      </c>
      <c r="O204" s="217">
        <f t="shared" si="47"/>
        <v>1</v>
      </c>
      <c r="P204" s="217" t="str">
        <f t="shared" si="46"/>
        <v>REVER</v>
      </c>
    </row>
    <row r="205" spans="1:16" hidden="1" x14ac:dyDescent="0.3">
      <c r="A205" s="217" t="str">
        <f>""&amp;'Project Overview'!A202</f>
        <v>197</v>
      </c>
      <c r="B205" s="218" t="str">
        <f>'Project Overview'!B202</f>
        <v xml:space="preserve"> Lar Sol &amp; Mar (EPC)</v>
      </c>
      <c r="C205" s="218" t="str">
        <f>'Project Overview'!C202</f>
        <v>Lar Sol &amp; Mar</v>
      </c>
      <c r="D205" s="221" t="str">
        <f>'Project Overview'!R202</f>
        <v>ACTIVE</v>
      </c>
      <c r="E205" s="221" t="str">
        <f ca="1">'Project Overview'!Y202</f>
        <v>no</v>
      </c>
      <c r="F205" s="217">
        <f t="shared" si="44"/>
        <v>0</v>
      </c>
      <c r="G205" s="217">
        <f t="shared" si="45"/>
        <v>0</v>
      </c>
      <c r="H205" s="217">
        <f>IF(AND($A205&lt;&gt;"",'Project Overview'!D202=""),1,0)</f>
        <v>0</v>
      </c>
      <c r="I205" s="217">
        <f>IF(AND($A205&lt;&gt;"",'Project Overview'!F202=""),1,0)</f>
        <v>0</v>
      </c>
      <c r="J205" s="217">
        <f>IF(AND($A205&lt;&gt;"",OR('Project Overview'!I202="ESCO",'Project Overview'!I202="EPC",'Project Overview'!I202="ESCO BUYOUT"),'Project Overview'!K202=""),1,0)</f>
        <v>0</v>
      </c>
      <c r="K205" s="217">
        <f>IF(AND($A205&lt;&gt;"",'Project Overview'!M202=""),1,0)</f>
        <v>0</v>
      </c>
      <c r="L205" s="217">
        <f>IF(AND($A205&lt;&gt;"",'Project Overview'!U202=""),1,0)</f>
        <v>0</v>
      </c>
      <c r="M205" s="217">
        <f>IF(OR($A205="",'Project Overview'!O202="",'Project Overview'!O202="?"),1,0)</f>
        <v>0</v>
      </c>
      <c r="N205" s="217">
        <f>IF(OR($A205="",'Project Overview'!P202="", 'Project Overview'!P202="?"),1,0)</f>
        <v>1</v>
      </c>
      <c r="O205" s="217">
        <f t="shared" si="47"/>
        <v>1</v>
      </c>
      <c r="P205" s="217" t="str">
        <f t="shared" si="46"/>
        <v>REVER</v>
      </c>
    </row>
    <row r="206" spans="1:16" ht="28.8" hidden="1" x14ac:dyDescent="0.3">
      <c r="A206" s="217" t="str">
        <f>""&amp;'Project Overview'!A203</f>
        <v>198</v>
      </c>
      <c r="B206" s="218" t="str">
        <f>'Project Overview'!B203</f>
        <v xml:space="preserve"> Barros CNC </v>
      </c>
      <c r="C206" s="218" t="str">
        <f>'Project Overview'!C203</f>
        <v>Barros CNC - Ântimo &amp; Barros</v>
      </c>
      <c r="D206" s="221" t="str">
        <f>'Project Overview'!R203</f>
        <v>ACTIVE</v>
      </c>
      <c r="E206" s="221" t="str">
        <f ca="1">'Project Overview'!Y203</f>
        <v>no</v>
      </c>
      <c r="F206" s="217">
        <f t="shared" si="44"/>
        <v>0</v>
      </c>
      <c r="G206" s="217">
        <f t="shared" si="45"/>
        <v>0</v>
      </c>
      <c r="H206" s="217">
        <f>IF(AND($A206&lt;&gt;"",'Project Overview'!D203=""),1,0)</f>
        <v>0</v>
      </c>
      <c r="I206" s="217">
        <f>IF(AND($A206&lt;&gt;"",'Project Overview'!F203=""),1,0)</f>
        <v>0</v>
      </c>
      <c r="J206" s="217">
        <f>IF(AND($A206&lt;&gt;"",OR('Project Overview'!I203="ESCO",'Project Overview'!I203="EPC",'Project Overview'!I203="ESCO BUYOUT"),'Project Overview'!K203=""),1,0)</f>
        <v>0</v>
      </c>
      <c r="K206" s="217">
        <f>IF(AND($A206&lt;&gt;"",'Project Overview'!M203=""),1,0)</f>
        <v>0</v>
      </c>
      <c r="L206" s="217">
        <f>IF(AND($A206&lt;&gt;"",'Project Overview'!U203=""),1,0)</f>
        <v>0</v>
      </c>
      <c r="M206" s="217">
        <f>IF(OR($A206="",'Project Overview'!O203="",'Project Overview'!O203="?"),1,0)</f>
        <v>0</v>
      </c>
      <c r="N206" s="217">
        <f>IF(OR($A206="",'Project Overview'!P203="", 'Project Overview'!P203="?"),1,0)</f>
        <v>1</v>
      </c>
      <c r="O206" s="217">
        <f t="shared" si="47"/>
        <v>1</v>
      </c>
      <c r="P206" s="217" t="str">
        <f t="shared" si="46"/>
        <v>REVER</v>
      </c>
    </row>
    <row r="207" spans="1:16" ht="43.2" hidden="1" x14ac:dyDescent="0.3">
      <c r="A207" s="217" t="str">
        <f>""&amp;'Project Overview'!A204</f>
        <v>199</v>
      </c>
      <c r="B207" s="218" t="str">
        <f>'Project Overview'!B204</f>
        <v>Pessegueiro do Vouga 1</v>
      </c>
      <c r="C207" s="218" t="str">
        <f>'Project Overview'!C204</f>
        <v>Associação Pró Cidadão Deficiente Integrado - Pessegueiro do Vouga</v>
      </c>
      <c r="D207" s="221" t="str">
        <f>'Project Overview'!R204</f>
        <v>ACTIVE</v>
      </c>
      <c r="E207" s="221" t="str">
        <f ca="1">'Project Overview'!Y204</f>
        <v>no</v>
      </c>
      <c r="F207" s="217">
        <f t="shared" si="44"/>
        <v>0</v>
      </c>
      <c r="G207" s="217">
        <f t="shared" si="45"/>
        <v>0</v>
      </c>
      <c r="H207" s="217">
        <f>IF(AND($A207&lt;&gt;"",'Project Overview'!D204=""),1,0)</f>
        <v>0</v>
      </c>
      <c r="I207" s="217">
        <f>IF(AND($A207&lt;&gt;"",'Project Overview'!F204=""),1,0)</f>
        <v>0</v>
      </c>
      <c r="J207" s="217">
        <f>IF(AND($A207&lt;&gt;"",OR('Project Overview'!I204="ESCO",'Project Overview'!I204="EPC",'Project Overview'!I204="ESCO BUYOUT"),'Project Overview'!K204=""),1,0)</f>
        <v>0</v>
      </c>
      <c r="K207" s="217">
        <f>IF(AND($A207&lt;&gt;"",'Project Overview'!M204=""),1,0)</f>
        <v>0</v>
      </c>
      <c r="L207" s="217">
        <f>IF(AND($A207&lt;&gt;"",'Project Overview'!U204=""),1,0)</f>
        <v>0</v>
      </c>
      <c r="M207" s="217">
        <f>IF(OR($A207="",'Project Overview'!O204="",'Project Overview'!O204="?"),1,0)</f>
        <v>0</v>
      </c>
      <c r="N207" s="217">
        <f>IF(OR($A207="",'Project Overview'!P204="", 'Project Overview'!P204="?"),1,0)</f>
        <v>1</v>
      </c>
      <c r="O207" s="217">
        <f t="shared" si="47"/>
        <v>1</v>
      </c>
      <c r="P207" s="217" t="str">
        <f t="shared" si="46"/>
        <v>REVER</v>
      </c>
    </row>
    <row r="208" spans="1:16" ht="43.2" hidden="1" x14ac:dyDescent="0.3">
      <c r="A208" s="217" t="str">
        <f>""&amp;'Project Overview'!A205</f>
        <v>200</v>
      </c>
      <c r="B208" s="218" t="str">
        <f>'Project Overview'!B205</f>
        <v>APCDI Pessegueiro do Vouga 2 (EPC)</v>
      </c>
      <c r="C208" s="218" t="str">
        <f>'Project Overview'!C205</f>
        <v>Associação Pró Cidadão Deficiente Integrado - Pessegueiro do Vouga</v>
      </c>
      <c r="D208" s="221" t="str">
        <f>'Project Overview'!R205</f>
        <v>ACTIVE</v>
      </c>
      <c r="E208" s="221" t="str">
        <f ca="1">'Project Overview'!Y205</f>
        <v>no</v>
      </c>
      <c r="F208" s="217">
        <f t="shared" si="44"/>
        <v>0</v>
      </c>
      <c r="G208" s="217">
        <f t="shared" si="45"/>
        <v>0</v>
      </c>
      <c r="H208" s="217">
        <f>IF(AND($A208&lt;&gt;"",'Project Overview'!D205=""),1,0)</f>
        <v>0</v>
      </c>
      <c r="I208" s="217">
        <f>IF(AND($A208&lt;&gt;"",'Project Overview'!F205=""),1,0)</f>
        <v>0</v>
      </c>
      <c r="J208" s="217">
        <f>IF(AND($A208&lt;&gt;"",OR('Project Overview'!I205="ESCO",'Project Overview'!I205="EPC",'Project Overview'!I205="ESCO BUYOUT"),'Project Overview'!K205=""),1,0)</f>
        <v>0</v>
      </c>
      <c r="K208" s="217">
        <f>IF(AND($A208&lt;&gt;"",'Project Overview'!M205=""),1,0)</f>
        <v>0</v>
      </c>
      <c r="L208" s="217">
        <f>IF(AND($A208&lt;&gt;"",'Project Overview'!U205=""),1,0)</f>
        <v>0</v>
      </c>
      <c r="M208" s="217">
        <f>IF(OR($A208="",'Project Overview'!O205="",'Project Overview'!O205="?"),1,0)</f>
        <v>0</v>
      </c>
      <c r="N208" s="217">
        <f>IF(OR($A208="",'Project Overview'!P205="", 'Project Overview'!P205="?"),1,0)</f>
        <v>1</v>
      </c>
      <c r="O208" s="217">
        <f t="shared" si="47"/>
        <v>1</v>
      </c>
      <c r="P208" s="217" t="str">
        <f t="shared" si="46"/>
        <v>REVER</v>
      </c>
    </row>
    <row r="209" spans="1:16" ht="28.8" hidden="1" x14ac:dyDescent="0.3">
      <c r="A209" s="217" t="str">
        <f>""&amp;'Project Overview'!A206</f>
        <v>201</v>
      </c>
      <c r="B209" s="218" t="str">
        <f>'Project Overview'!B206</f>
        <v>Colvi 3 (EPC)</v>
      </c>
      <c r="C209" s="218" t="str">
        <f>'Project Overview'!C206</f>
        <v>Colvi - Sociedade Agrícola LDA</v>
      </c>
      <c r="D209" s="221" t="str">
        <f>'Project Overview'!R206</f>
        <v>ACTIVE</v>
      </c>
      <c r="E209" s="221" t="str">
        <f ca="1">'Project Overview'!Y206</f>
        <v>no</v>
      </c>
      <c r="F209" s="217">
        <f t="shared" si="44"/>
        <v>0</v>
      </c>
      <c r="G209" s="217">
        <f t="shared" si="45"/>
        <v>0</v>
      </c>
      <c r="H209" s="217">
        <f>IF(AND($A209&lt;&gt;"",'Project Overview'!D206=""),1,0)</f>
        <v>0</v>
      </c>
      <c r="I209" s="217">
        <f>IF(AND($A209&lt;&gt;"",'Project Overview'!F206=""),1,0)</f>
        <v>0</v>
      </c>
      <c r="J209" s="217">
        <f>IF(AND($A209&lt;&gt;"",OR('Project Overview'!I206="ESCO",'Project Overview'!I206="EPC",'Project Overview'!I206="ESCO BUYOUT"),'Project Overview'!K206=""),1,0)</f>
        <v>0</v>
      </c>
      <c r="K209" s="217">
        <f>IF(AND($A209&lt;&gt;"",'Project Overview'!M206=""),1,0)</f>
        <v>0</v>
      </c>
      <c r="L209" s="217">
        <f>IF(AND($A209&lt;&gt;"",'Project Overview'!U206=""),1,0)</f>
        <v>0</v>
      </c>
      <c r="M209" s="217">
        <f>IF(OR($A209="",'Project Overview'!O206="",'Project Overview'!O206="?"),1,0)</f>
        <v>0</v>
      </c>
      <c r="N209" s="217">
        <f>IF(OR($A209="",'Project Overview'!P206="", 'Project Overview'!P206="?"),1,0)</f>
        <v>1</v>
      </c>
      <c r="O209" s="217">
        <f t="shared" si="47"/>
        <v>1</v>
      </c>
      <c r="P209" s="217" t="str">
        <f t="shared" si="46"/>
        <v>REVER</v>
      </c>
    </row>
    <row r="210" spans="1:16" ht="43.2" x14ac:dyDescent="0.3">
      <c r="A210" s="217" t="str">
        <f>""&amp;'Project Overview'!A207</f>
        <v>202</v>
      </c>
      <c r="B210" s="218" t="str">
        <f>'Project Overview'!B207</f>
        <v>BV Camarate</v>
      </c>
      <c r="C210" s="218" t="str">
        <f>'Project Overview'!C207</f>
        <v>Associação Humanitária dos Bombeiros Voluntários de Camarate</v>
      </c>
      <c r="D210" s="221" t="str">
        <f>'Project Overview'!R207</f>
        <v>ACTIVE</v>
      </c>
      <c r="E210" s="221" t="str">
        <f ca="1">'Project Overview'!Y207</f>
        <v>yes</v>
      </c>
      <c r="F210" s="217">
        <f>IF(OR($A210="",$B210=""),1,0)</f>
        <v>0</v>
      </c>
      <c r="G210" s="217">
        <f>IF($C210="",1,0)</f>
        <v>0</v>
      </c>
      <c r="H210" s="217">
        <f>IF(AND($A210&lt;&gt;"",'Project Overview'!D207=""),1,0)</f>
        <v>0</v>
      </c>
      <c r="I210" s="217">
        <f>IF(AND($A210&lt;&gt;"",'Project Overview'!F207=""),1,0)</f>
        <v>0</v>
      </c>
      <c r="J210" s="217">
        <f>IF(AND($A210&lt;&gt;"",OR('Project Overview'!I207="ESCO",'Project Overview'!I207="EPC",'Project Overview'!I207="ESCO BUYOUT"),'Project Overview'!K207=""),1,0)</f>
        <v>0</v>
      </c>
      <c r="K210" s="217">
        <f>IF(AND($A210&lt;&gt;"",'Project Overview'!M207=""),1,0)</f>
        <v>0</v>
      </c>
      <c r="L210" s="217">
        <f>IF(AND($A210&lt;&gt;"",'Project Overview'!U207=""),1,0)</f>
        <v>0</v>
      </c>
      <c r="M210" s="217">
        <f>IF(OR($A210="",'Project Overview'!O207="",'Project Overview'!O207="?"),1,0)</f>
        <v>0</v>
      </c>
      <c r="N210" s="217">
        <f>IF(OR($A210="",'Project Overview'!P207="", 'Project Overview'!P207="?"),1,0)</f>
        <v>1</v>
      </c>
      <c r="O210" s="217">
        <f t="shared" si="47"/>
        <v>1</v>
      </c>
      <c r="P210" s="217" t="str">
        <f t="shared" si="46"/>
        <v>REVER</v>
      </c>
    </row>
    <row r="211" spans="1:16" ht="28.8" hidden="1" x14ac:dyDescent="0.3">
      <c r="A211" s="217" t="str">
        <f>""&amp;'Project Overview'!A208</f>
        <v>203</v>
      </c>
      <c r="B211" s="218" t="str">
        <f>'Project Overview'!B208</f>
        <v>IberOleff Pombal</v>
      </c>
      <c r="C211" s="218" t="str">
        <f>'Project Overview'!C208</f>
        <v>Iber-Oleff - Componentes Tecnicos Em Plástico, S.A.</v>
      </c>
      <c r="D211" s="221" t="str">
        <f>'Project Overview'!R208</f>
        <v>ON HOLD</v>
      </c>
      <c r="E211" s="221" t="str">
        <f ca="1">'Project Overview'!Y208</f>
        <v>no</v>
      </c>
      <c r="F211" s="217">
        <f t="shared" si="44"/>
        <v>0</v>
      </c>
      <c r="G211" s="217">
        <f t="shared" si="45"/>
        <v>0</v>
      </c>
      <c r="H211" s="217">
        <f>IF(AND($A211&lt;&gt;"",'Project Overview'!D208=""),1,0)</f>
        <v>0</v>
      </c>
      <c r="I211" s="217">
        <f>IF(AND($A211&lt;&gt;"",'Project Overview'!F208=""),1,0)</f>
        <v>0</v>
      </c>
      <c r="J211" s="217">
        <f>IF(AND($A211&lt;&gt;"",OR('Project Overview'!I208="ESCO",'Project Overview'!I208="EPC",'Project Overview'!I208="ESCO BUYOUT"),'Project Overview'!K208=""),1,0)</f>
        <v>0</v>
      </c>
      <c r="K211" s="217">
        <f>IF(AND($A211&lt;&gt;"",'Project Overview'!M208=""),1,0)</f>
        <v>1</v>
      </c>
      <c r="L211" s="217">
        <f>IF(AND($A211&lt;&gt;"",'Project Overview'!U208=""),1,0)</f>
        <v>1</v>
      </c>
      <c r="M211" s="217">
        <f>IF(OR($A211="",'Project Overview'!O208="",'Project Overview'!O208="?"),1,0)</f>
        <v>1</v>
      </c>
      <c r="N211" s="217">
        <f>IF(OR($A211="",'Project Overview'!P208="", 'Project Overview'!P208="?"),1,0)</f>
        <v>1</v>
      </c>
      <c r="O211" s="217">
        <f t="shared" si="47"/>
        <v>4</v>
      </c>
      <c r="P211" s="217" t="str">
        <f t="shared" si="46"/>
        <v>REVER</v>
      </c>
    </row>
    <row r="212" spans="1:16" ht="28.8" hidden="1" x14ac:dyDescent="0.3">
      <c r="A212" s="217" t="str">
        <f>""&amp;'Project Overview'!A209</f>
        <v>204</v>
      </c>
      <c r="B212" s="218" t="str">
        <f>'Project Overview'!B209</f>
        <v>Doceleia PROD</v>
      </c>
      <c r="C212" s="218" t="str">
        <f>'Project Overview'!C209</f>
        <v>Doceleia Doçaria Tradicional, Lda</v>
      </c>
      <c r="D212" s="221" t="str">
        <f>'Project Overview'!R209</f>
        <v>ACTIVE</v>
      </c>
      <c r="E212" s="221" t="str">
        <f ca="1">'Project Overview'!Y209</f>
        <v>no</v>
      </c>
      <c r="F212" s="217">
        <f t="shared" si="44"/>
        <v>0</v>
      </c>
      <c r="G212" s="217">
        <f t="shared" si="45"/>
        <v>0</v>
      </c>
      <c r="H212" s="217">
        <f>IF(AND($A212&lt;&gt;"",'Project Overview'!D209=""),1,0)</f>
        <v>0</v>
      </c>
      <c r="I212" s="217">
        <f>IF(AND($A212&lt;&gt;"",'Project Overview'!F209=""),1,0)</f>
        <v>0</v>
      </c>
      <c r="J212" s="217">
        <f>IF(AND($A212&lt;&gt;"",OR('Project Overview'!I209="ESCO",'Project Overview'!I209="EPC",'Project Overview'!I209="ESCO BUYOUT"),'Project Overview'!K209=""),1,0)</f>
        <v>0</v>
      </c>
      <c r="K212" s="217">
        <f>IF(AND($A212&lt;&gt;"",'Project Overview'!M209=""),1,0)</f>
        <v>1</v>
      </c>
      <c r="L212" s="217">
        <f>IF(AND($A212&lt;&gt;"",'Project Overview'!U209=""),1,0)</f>
        <v>0</v>
      </c>
      <c r="M212" s="217">
        <f>IF(OR($A212="",'Project Overview'!O209="",'Project Overview'!O209="?"),1,0)</f>
        <v>0</v>
      </c>
      <c r="N212" s="217">
        <f>IF(OR($A212="",'Project Overview'!P209="", 'Project Overview'!P209="?"),1,0)</f>
        <v>1</v>
      </c>
      <c r="O212" s="217">
        <f t="shared" si="47"/>
        <v>2</v>
      </c>
      <c r="P212" s="217" t="str">
        <f t="shared" si="46"/>
        <v>REVER</v>
      </c>
    </row>
    <row r="213" spans="1:16" ht="43.2" x14ac:dyDescent="0.3">
      <c r="A213" s="217" t="str">
        <f>""&amp;'Project Overview'!A210</f>
        <v>205</v>
      </c>
      <c r="B213" s="218" t="str">
        <f>'Project Overview'!B210</f>
        <v>AHBV Pinhal Novo</v>
      </c>
      <c r="C213" s="218" t="str">
        <f>'Project Overview'!C210</f>
        <v>Associação Humanitária dos Bombeiros Voluntários de Pinhal Novo</v>
      </c>
      <c r="D213" s="222" t="str">
        <f>'Project Overview'!R210</f>
        <v>ACTIVE</v>
      </c>
      <c r="E213" s="221" t="str">
        <f ca="1">'Project Overview'!Y210</f>
        <v>yes</v>
      </c>
      <c r="F213" s="217">
        <f t="shared" ref="F213:F215" si="48">IF(OR($A213="",$B213=""),1,0)</f>
        <v>0</v>
      </c>
      <c r="G213" s="217">
        <f t="shared" ref="G213:G215" si="49">IF($C213="",1,0)</f>
        <v>0</v>
      </c>
      <c r="H213" s="217">
        <f>IF(AND($A213&lt;&gt;"",'Project Overview'!D210=""),1,0)</f>
        <v>0</v>
      </c>
      <c r="I213" s="217">
        <f>IF(AND($A213&lt;&gt;"",'Project Overview'!F210=""),1,0)</f>
        <v>0</v>
      </c>
      <c r="J213" s="217">
        <f>IF(AND($A213&lt;&gt;"",OR('Project Overview'!I210="ESCO",'Project Overview'!I210="EPC",'Project Overview'!I210="ESCO BUYOUT"),'Project Overview'!K210=""),1,0)</f>
        <v>0</v>
      </c>
      <c r="K213" s="217">
        <f>IF(AND($A213&lt;&gt;"",'Project Overview'!M210=""),1,0)</f>
        <v>0</v>
      </c>
      <c r="L213" s="217">
        <f>IF(AND($A213&lt;&gt;"",'Project Overview'!U210=""),1,0)</f>
        <v>0</v>
      </c>
      <c r="M213" s="217">
        <f>IF(OR($A213="",'Project Overview'!O210="",'Project Overview'!O210="?"),1,0)</f>
        <v>0</v>
      </c>
      <c r="N213" s="217">
        <f>IF(OR($A213="",'Project Overview'!P210="", 'Project Overview'!P210="?"),1,0)</f>
        <v>1</v>
      </c>
      <c r="O213" s="217">
        <f t="shared" si="47"/>
        <v>1</v>
      </c>
      <c r="P213" s="217" t="str">
        <f t="shared" si="46"/>
        <v>REVER</v>
      </c>
    </row>
    <row r="214" spans="1:16" ht="43.2" x14ac:dyDescent="0.3">
      <c r="A214" s="217" t="str">
        <f>""&amp;'Project Overview'!A211</f>
        <v>206</v>
      </c>
      <c r="B214" s="218" t="str">
        <f>'Project Overview'!B211</f>
        <v>AHBV Lagos (EPC)</v>
      </c>
      <c r="C214" s="218" t="str">
        <f>'Project Overview'!C211</f>
        <v>Associação Humanitária dos Bombeiros Voluntários de Lagos</v>
      </c>
      <c r="D214" s="222" t="str">
        <f>'Project Overview'!R211</f>
        <v>ACTIVE</v>
      </c>
      <c r="E214" s="221" t="str">
        <f ca="1">'Project Overview'!Y211</f>
        <v>yes</v>
      </c>
      <c r="F214" s="217">
        <f t="shared" si="48"/>
        <v>0</v>
      </c>
      <c r="G214" s="217">
        <f t="shared" si="49"/>
        <v>0</v>
      </c>
      <c r="H214" s="217">
        <f>IF(AND($A214&lt;&gt;"",'Project Overview'!D211=""),1,0)</f>
        <v>0</v>
      </c>
      <c r="I214" s="217">
        <f>IF(AND($A214&lt;&gt;"",'Project Overview'!F211=""),1,0)</f>
        <v>0</v>
      </c>
      <c r="J214" s="217">
        <f>IF(AND($A214&lt;&gt;"",OR('Project Overview'!I211="ESCO",'Project Overview'!I211="EPC",'Project Overview'!I211="ESCO BUYOUT"),'Project Overview'!K211=""),1,0)</f>
        <v>0</v>
      </c>
      <c r="K214" s="217">
        <f>IF(AND($A214&lt;&gt;"",'Project Overview'!M211=""),1,0)</f>
        <v>0</v>
      </c>
      <c r="L214" s="217">
        <f>IF(AND($A214&lt;&gt;"",'Project Overview'!U211=""),1,0)</f>
        <v>0</v>
      </c>
      <c r="M214" s="217">
        <f>IF(OR($A214="",'Project Overview'!O211="",'Project Overview'!O211="?"),1,0)</f>
        <v>0</v>
      </c>
      <c r="N214" s="217">
        <f>IF(OR($A214="",'Project Overview'!P211="", 'Project Overview'!P211="?"),1,0)</f>
        <v>1</v>
      </c>
      <c r="O214" s="217">
        <f t="shared" si="47"/>
        <v>1</v>
      </c>
      <c r="P214" s="217" t="str">
        <f t="shared" si="46"/>
        <v>REVER</v>
      </c>
    </row>
    <row r="215" spans="1:16" ht="28.8" x14ac:dyDescent="0.3">
      <c r="A215" s="217" t="str">
        <f>""&amp;'Project Overview'!A212</f>
        <v>207</v>
      </c>
      <c r="B215" s="218" t="str">
        <f>'Project Overview'!B212</f>
        <v>CS Padre José Filipe Rodrigues</v>
      </c>
      <c r="C215" s="218" t="str">
        <f>'Project Overview'!C212</f>
        <v>Centro Social Padre Jose Filipe Rodrigues</v>
      </c>
      <c r="D215" s="222" t="str">
        <f>'Project Overview'!R212</f>
        <v>ACTIVE</v>
      </c>
      <c r="E215" s="221" t="str">
        <f ca="1">'Project Overview'!Y212</f>
        <v>yes</v>
      </c>
      <c r="F215" s="217">
        <f t="shared" si="48"/>
        <v>0</v>
      </c>
      <c r="G215" s="217">
        <f t="shared" si="49"/>
        <v>0</v>
      </c>
      <c r="H215" s="217">
        <f>IF(AND($A215&lt;&gt;"",'Project Overview'!D212=""),1,0)</f>
        <v>0</v>
      </c>
      <c r="I215" s="217">
        <f>IF(AND($A215&lt;&gt;"",'Project Overview'!F212=""),1,0)</f>
        <v>0</v>
      </c>
      <c r="J215" s="217">
        <f>IF(AND($A215&lt;&gt;"",OR('Project Overview'!I212="ESCO",'Project Overview'!I212="EPC",'Project Overview'!I212="ESCO BUYOUT"),'Project Overview'!K212=""),1,0)</f>
        <v>0</v>
      </c>
      <c r="K215" s="217">
        <f>IF(AND($A215&lt;&gt;"",'Project Overview'!M212=""),1,0)</f>
        <v>0</v>
      </c>
      <c r="L215" s="217">
        <f>IF(AND($A215&lt;&gt;"",'Project Overview'!U212=""),1,0)</f>
        <v>0</v>
      </c>
      <c r="M215" s="217">
        <f>IF(OR($A215="",'Project Overview'!O212="",'Project Overview'!O212="?"),1,0)</f>
        <v>0</v>
      </c>
      <c r="N215" s="217">
        <f>IF(OR($A215="",'Project Overview'!P212="", 'Project Overview'!P212="?"),1,0)</f>
        <v>1</v>
      </c>
      <c r="O215" s="217">
        <f t="shared" si="47"/>
        <v>1</v>
      </c>
      <c r="P215" s="217" t="str">
        <f t="shared" si="46"/>
        <v>REVER</v>
      </c>
    </row>
    <row r="216" spans="1:16" ht="43.2" hidden="1" x14ac:dyDescent="0.3">
      <c r="A216" s="217" t="str">
        <f>""&amp;'Project Overview'!A213</f>
        <v>208</v>
      </c>
      <c r="B216" s="218" t="str">
        <f>'Project Overview'!B213</f>
        <v>Biocaracol Paulo &amp; Isabel Fragoso lda (EPC)</v>
      </c>
      <c r="C216" s="218" t="str">
        <f>'Project Overview'!C213</f>
        <v>Biocaracol</v>
      </c>
      <c r="D216" s="222" t="str">
        <f>'Project Overview'!R213</f>
        <v>ACTIVE</v>
      </c>
      <c r="E216" s="221" t="str">
        <f ca="1">'Project Overview'!Y213</f>
        <v>no</v>
      </c>
      <c r="F216" s="217">
        <f t="shared" si="44"/>
        <v>0</v>
      </c>
      <c r="G216" s="217">
        <f t="shared" si="45"/>
        <v>0</v>
      </c>
      <c r="H216" s="217">
        <f>IF(AND($A216&lt;&gt;"",'Project Overview'!D213=""),1,0)</f>
        <v>0</v>
      </c>
      <c r="I216" s="217">
        <f>IF(AND($A216&lt;&gt;"",'Project Overview'!F213=""),1,0)</f>
        <v>0</v>
      </c>
      <c r="J216" s="217">
        <f>IF(AND($A216&lt;&gt;"",OR('Project Overview'!I213="ESCO",'Project Overview'!I213="EPC",'Project Overview'!I213="ESCO BUYOUT"),'Project Overview'!K213=""),1,0)</f>
        <v>0</v>
      </c>
      <c r="K216" s="217">
        <f>IF(AND($A216&lt;&gt;"",'Project Overview'!M213=""),1,0)</f>
        <v>1</v>
      </c>
      <c r="L216" s="217">
        <f>IF(AND($A216&lt;&gt;"",'Project Overview'!U213=""),1,0)</f>
        <v>0</v>
      </c>
      <c r="M216" s="217">
        <f>IF(OR($A216="",'Project Overview'!O213="",'Project Overview'!O213="?"),1,0)</f>
        <v>0</v>
      </c>
      <c r="N216" s="217">
        <f>IF(OR($A216="",'Project Overview'!P213="", 'Project Overview'!P213="?"),1,0)</f>
        <v>1</v>
      </c>
      <c r="O216" s="217">
        <f t="shared" si="47"/>
        <v>2</v>
      </c>
      <c r="P216" s="217" t="str">
        <f t="shared" si="46"/>
        <v>REVER</v>
      </c>
    </row>
    <row r="217" spans="1:16" ht="43.2" hidden="1" x14ac:dyDescent="0.3">
      <c r="A217" s="217" t="str">
        <f>""&amp;'Project Overview'!A214</f>
        <v>209</v>
      </c>
      <c r="B217" s="218" t="str">
        <f>'Project Overview'!B214</f>
        <v>Regency Salgados Hotel &amp; SPA (EPC)</v>
      </c>
      <c r="C217" s="218" t="str">
        <f>'Project Overview'!C214</f>
        <v>Hotel Praia Dos Salgados - Invest. E Explorações Turísticas, S.A</v>
      </c>
      <c r="D217" s="222" t="str">
        <f>'Project Overview'!R214</f>
        <v>ACTIVE</v>
      </c>
      <c r="E217" s="221" t="str">
        <f ca="1">'Project Overview'!Y214</f>
        <v>no</v>
      </c>
      <c r="F217" s="217">
        <f t="shared" si="44"/>
        <v>0</v>
      </c>
      <c r="G217" s="217">
        <f t="shared" si="45"/>
        <v>0</v>
      </c>
      <c r="H217" s="217">
        <f>IF(AND($A217&lt;&gt;"",'Project Overview'!D214=""),1,0)</f>
        <v>0</v>
      </c>
      <c r="I217" s="217">
        <f>IF(AND($A217&lt;&gt;"",'Project Overview'!F214=""),1,0)</f>
        <v>0</v>
      </c>
      <c r="J217" s="217">
        <f>IF(AND($A217&lt;&gt;"",OR('Project Overview'!I214="ESCO",'Project Overview'!I214="EPC",'Project Overview'!I214="ESCO BUYOUT"),'Project Overview'!K214=""),1,0)</f>
        <v>0</v>
      </c>
      <c r="K217" s="217">
        <f>IF(AND($A217&lt;&gt;"",'Project Overview'!M214=""),1,0)</f>
        <v>1</v>
      </c>
      <c r="L217" s="217">
        <f>IF(AND($A217&lt;&gt;"",'Project Overview'!U214=""),1,0)</f>
        <v>0</v>
      </c>
      <c r="M217" s="217">
        <f>IF(OR($A217="",'Project Overview'!O214="",'Project Overview'!O214="?"),1,0)</f>
        <v>0</v>
      </c>
      <c r="N217" s="217">
        <f>IF(OR($A217="",'Project Overview'!P214="", 'Project Overview'!P214="?"),1,0)</f>
        <v>1</v>
      </c>
      <c r="O217" s="217">
        <f t="shared" si="47"/>
        <v>2</v>
      </c>
      <c r="P217" s="217" t="str">
        <f t="shared" si="46"/>
        <v>REVER</v>
      </c>
    </row>
    <row r="218" spans="1:16" ht="28.8" hidden="1" x14ac:dyDescent="0.3">
      <c r="A218" s="217" t="str">
        <f>""&amp;'Project Overview'!A215</f>
        <v>210</v>
      </c>
      <c r="B218" s="218" t="str">
        <f>'Project Overview'!B215</f>
        <v xml:space="preserve"> VCMC Industrias de Cozinha</v>
      </c>
      <c r="C218" s="218" t="str">
        <f>'Project Overview'!C215</f>
        <v>VCMC - Indústria de Cozinhas Lda.</v>
      </c>
      <c r="D218" s="222" t="str">
        <f>'Project Overview'!R215</f>
        <v>ACTIVE</v>
      </c>
      <c r="E218" s="221" t="str">
        <f ca="1">'Project Overview'!Y215</f>
        <v>no</v>
      </c>
      <c r="F218" s="217">
        <f t="shared" si="44"/>
        <v>0</v>
      </c>
      <c r="G218" s="217">
        <f t="shared" si="45"/>
        <v>0</v>
      </c>
      <c r="H218" s="217">
        <f>IF(AND($A218&lt;&gt;"",'Project Overview'!D215=""),1,0)</f>
        <v>0</v>
      </c>
      <c r="I218" s="217">
        <f>IF(AND($A218&lt;&gt;"",'Project Overview'!F215=""),1,0)</f>
        <v>0</v>
      </c>
      <c r="J218" s="217">
        <f>IF(AND($A218&lt;&gt;"",OR('Project Overview'!I215="ESCO",'Project Overview'!I215="EPC",'Project Overview'!I215="ESCO BUYOUT"),'Project Overview'!K215=""),1,0)</f>
        <v>0</v>
      </c>
      <c r="K218" s="217">
        <f>IF(AND($A218&lt;&gt;"",'Project Overview'!M215=""),1,0)</f>
        <v>1</v>
      </c>
      <c r="L218" s="217">
        <f>IF(AND($A218&lt;&gt;"",'Project Overview'!U215=""),1,0)</f>
        <v>0</v>
      </c>
      <c r="M218" s="217">
        <f>IF(OR($A218="",'Project Overview'!O215="",'Project Overview'!O215="?"),1,0)</f>
        <v>0</v>
      </c>
      <c r="N218" s="217">
        <f>IF(OR($A218="",'Project Overview'!P215="", 'Project Overview'!P215="?"),1,0)</f>
        <v>1</v>
      </c>
      <c r="O218" s="217">
        <f t="shared" si="47"/>
        <v>2</v>
      </c>
      <c r="P218" s="217" t="str">
        <f t="shared" si="46"/>
        <v>REVER</v>
      </c>
    </row>
    <row r="219" spans="1:16" ht="28.8" hidden="1" x14ac:dyDescent="0.3">
      <c r="A219" s="217" t="str">
        <f>""&amp;'Project Overview'!A216</f>
        <v>211</v>
      </c>
      <c r="B219" s="218" t="str">
        <f>'Project Overview'!B216</f>
        <v xml:space="preserve"> Lourinha e Filhos (EPC)</v>
      </c>
      <c r="C219" s="218" t="str">
        <f>'Project Overview'!C216</f>
        <v>Lourinha &amp; Filhos, Lda</v>
      </c>
      <c r="D219" s="222" t="str">
        <f>'Project Overview'!R216</f>
        <v>ACTIVE</v>
      </c>
      <c r="E219" s="221" t="str">
        <f ca="1">'Project Overview'!Y216</f>
        <v>no</v>
      </c>
      <c r="F219" s="217">
        <f t="shared" si="44"/>
        <v>0</v>
      </c>
      <c r="G219" s="217">
        <f t="shared" si="45"/>
        <v>0</v>
      </c>
      <c r="H219" s="217">
        <f>IF(AND($A219&lt;&gt;"",'Project Overview'!D216=""),1,0)</f>
        <v>0</v>
      </c>
      <c r="I219" s="217">
        <f>IF(AND($A219&lt;&gt;"",'Project Overview'!F216=""),1,0)</f>
        <v>0</v>
      </c>
      <c r="J219" s="217">
        <f>IF(AND($A219&lt;&gt;"",OR('Project Overview'!I216="ESCO",'Project Overview'!I216="EPC",'Project Overview'!I216="ESCO BUYOUT"),'Project Overview'!K216=""),1,0)</f>
        <v>0</v>
      </c>
      <c r="K219" s="217">
        <f>IF(AND($A219&lt;&gt;"",'Project Overview'!M216=""),1,0)</f>
        <v>1</v>
      </c>
      <c r="L219" s="217">
        <f>IF(AND($A219&lt;&gt;"",'Project Overview'!U216=""),1,0)</f>
        <v>0</v>
      </c>
      <c r="M219" s="217">
        <f>IF(OR($A219="",'Project Overview'!O216="",'Project Overview'!O216="?"),1,0)</f>
        <v>0</v>
      </c>
      <c r="N219" s="217">
        <f>IF(OR($A219="",'Project Overview'!P216="", 'Project Overview'!P216="?"),1,0)</f>
        <v>1</v>
      </c>
      <c r="O219" s="217">
        <f t="shared" si="47"/>
        <v>2</v>
      </c>
      <c r="P219" s="217" t="str">
        <f t="shared" si="46"/>
        <v>REVER</v>
      </c>
    </row>
    <row r="220" spans="1:16" ht="28.8" hidden="1" x14ac:dyDescent="0.3">
      <c r="A220" s="217" t="str">
        <f>""&amp;'Project Overview'!A217</f>
        <v>212</v>
      </c>
      <c r="B220" s="218" t="str">
        <f>'Project Overview'!B217</f>
        <v>Mitromol</v>
      </c>
      <c r="C220" s="218" t="str">
        <f>'Project Overview'!C217</f>
        <v>Mitromol - Metalomecânica, Lda</v>
      </c>
      <c r="D220" s="222" t="str">
        <f>'Project Overview'!R217</f>
        <v>CANCELLED</v>
      </c>
      <c r="E220" s="221" t="str">
        <f ca="1">'Project Overview'!Y217</f>
        <v>no</v>
      </c>
      <c r="F220" s="217">
        <f t="shared" si="44"/>
        <v>0</v>
      </c>
      <c r="G220" s="217">
        <f t="shared" si="45"/>
        <v>0</v>
      </c>
      <c r="H220" s="217">
        <f>IF(AND($A220&lt;&gt;"",'Project Overview'!D217=""),1,0)</f>
        <v>0</v>
      </c>
      <c r="I220" s="217">
        <f>IF(AND($A220&lt;&gt;"",'Project Overview'!F217=""),1,0)</f>
        <v>0</v>
      </c>
      <c r="J220" s="217">
        <f>IF(AND($A220&lt;&gt;"",OR('Project Overview'!I217="ESCO",'Project Overview'!I217="EPC",'Project Overview'!I217="ESCO BUYOUT"),'Project Overview'!K217=""),1,0)</f>
        <v>0</v>
      </c>
      <c r="K220" s="217">
        <f>IF(AND($A220&lt;&gt;"",'Project Overview'!M217=""),1,0)</f>
        <v>1</v>
      </c>
      <c r="L220" s="217">
        <f>IF(AND($A220&lt;&gt;"",'Project Overview'!U217=""),1,0)</f>
        <v>0</v>
      </c>
      <c r="M220" s="217">
        <f>IF(OR($A220="",'Project Overview'!O217="",'Project Overview'!O217="?"),1,0)</f>
        <v>0</v>
      </c>
      <c r="N220" s="217">
        <f>IF(OR($A220="",'Project Overview'!P217="", 'Project Overview'!P217="?"),1,0)</f>
        <v>1</v>
      </c>
      <c r="O220" s="217">
        <f t="shared" si="47"/>
        <v>2</v>
      </c>
      <c r="P220" s="217" t="str">
        <f t="shared" si="46"/>
        <v>REVER</v>
      </c>
    </row>
    <row r="221" spans="1:16" ht="28.8" hidden="1" x14ac:dyDescent="0.3">
      <c r="A221" s="217" t="str">
        <f>""&amp;'Project Overview'!A218</f>
        <v>213</v>
      </c>
      <c r="B221" s="218" t="str">
        <f>'Project Overview'!B218</f>
        <v>Alirações</v>
      </c>
      <c r="C221" s="218" t="str">
        <f>'Project Overview'!C218</f>
        <v>Alirações - Rações para Animais, Sa</v>
      </c>
      <c r="D221" s="222" t="str">
        <f>'Project Overview'!R218</f>
        <v>ACTIVE</v>
      </c>
      <c r="E221" s="221" t="str">
        <f ca="1">'Project Overview'!Y218</f>
        <v>no</v>
      </c>
      <c r="F221" s="217">
        <f t="shared" si="44"/>
        <v>0</v>
      </c>
      <c r="G221" s="217">
        <f t="shared" si="45"/>
        <v>0</v>
      </c>
      <c r="H221" s="217">
        <f>IF(AND($A221&lt;&gt;"",'Project Overview'!D218=""),1,0)</f>
        <v>0</v>
      </c>
      <c r="I221" s="217">
        <f>IF(AND($A221&lt;&gt;"",'Project Overview'!F218=""),1,0)</f>
        <v>0</v>
      </c>
      <c r="J221" s="217">
        <f>IF(AND($A221&lt;&gt;"",OR('Project Overview'!I218="ESCO",'Project Overview'!I218="EPC",'Project Overview'!I218="ESCO BUYOUT"),'Project Overview'!K218=""),1,0)</f>
        <v>0</v>
      </c>
      <c r="K221" s="217">
        <f>IF(AND($A221&lt;&gt;"",'Project Overview'!M218=""),1,0)</f>
        <v>1</v>
      </c>
      <c r="L221" s="217">
        <f>IF(AND($A221&lt;&gt;"",'Project Overview'!U218=""),1,0)</f>
        <v>0</v>
      </c>
      <c r="M221" s="217">
        <f>IF(OR($A221="",'Project Overview'!O218="",'Project Overview'!O218="?"),1,0)</f>
        <v>0</v>
      </c>
      <c r="N221" s="217">
        <f>IF(OR($A221="",'Project Overview'!P218="", 'Project Overview'!P218="?"),1,0)</f>
        <v>1</v>
      </c>
      <c r="O221" s="217">
        <f t="shared" si="47"/>
        <v>2</v>
      </c>
      <c r="P221" s="217" t="str">
        <f t="shared" si="46"/>
        <v>REVER</v>
      </c>
    </row>
    <row r="222" spans="1:16" hidden="1" x14ac:dyDescent="0.3">
      <c r="A222" s="217" t="str">
        <f>""&amp;'Project Overview'!A219</f>
        <v>214</v>
      </c>
      <c r="B222" s="218" t="str">
        <f>'Project Overview'!B219</f>
        <v>ELS Expansão</v>
      </c>
      <c r="C222" s="218" t="str">
        <f>'Project Overview'!C219</f>
        <v>Estevão Luís Salvado</v>
      </c>
      <c r="D222" s="222" t="str">
        <f>'Project Overview'!R219</f>
        <v>ACTIVE</v>
      </c>
      <c r="E222" s="221" t="str">
        <f ca="1">'Project Overview'!Y219</f>
        <v>no</v>
      </c>
      <c r="F222" s="217">
        <f t="shared" si="44"/>
        <v>0</v>
      </c>
      <c r="G222" s="217">
        <f t="shared" si="45"/>
        <v>0</v>
      </c>
      <c r="H222" s="217">
        <f>IF(AND($A222&lt;&gt;"",'Project Overview'!D219=""),1,0)</f>
        <v>0</v>
      </c>
      <c r="I222" s="217">
        <f>IF(AND($A222&lt;&gt;"",'Project Overview'!F219=""),1,0)</f>
        <v>0</v>
      </c>
      <c r="J222" s="217">
        <f>IF(AND($A222&lt;&gt;"",OR('Project Overview'!I219="ESCO",'Project Overview'!I219="EPC",'Project Overview'!I219="ESCO BUYOUT"),'Project Overview'!K219=""),1,0)</f>
        <v>0</v>
      </c>
      <c r="K222" s="217">
        <f>IF(AND($A222&lt;&gt;"",'Project Overview'!M219=""),1,0)</f>
        <v>1</v>
      </c>
      <c r="L222" s="217">
        <f>IF(AND($A222&lt;&gt;"",'Project Overview'!U219=""),1,0)</f>
        <v>1</v>
      </c>
      <c r="M222" s="217">
        <f>IF(OR($A222="",'Project Overview'!O219="",'Project Overview'!O219="?"),1,0)</f>
        <v>0</v>
      </c>
      <c r="N222" s="217">
        <f>IF(OR($A222="",'Project Overview'!P219="", 'Project Overview'!P219="?"),1,0)</f>
        <v>1</v>
      </c>
      <c r="O222" s="217">
        <f t="shared" si="47"/>
        <v>3</v>
      </c>
      <c r="P222" s="217" t="str">
        <f t="shared" si="46"/>
        <v>REVER</v>
      </c>
    </row>
    <row r="223" spans="1:16" ht="28.8" hidden="1" x14ac:dyDescent="0.3">
      <c r="A223" s="217" t="str">
        <f>""&amp;'Project Overview'!A220</f>
        <v>215</v>
      </c>
      <c r="B223" s="218" t="str">
        <f>'Project Overview'!B220</f>
        <v>Midalpa</v>
      </c>
      <c r="C223" s="218" t="str">
        <f>'Project Overview'!C220</f>
        <v>Midalpa - Mobiliário e Decoração, Lda.</v>
      </c>
      <c r="D223" s="222" t="str">
        <f>'Project Overview'!R220</f>
        <v>ACTIVE</v>
      </c>
      <c r="E223" s="221" t="str">
        <f ca="1">'Project Overview'!Y220</f>
        <v>yes</v>
      </c>
      <c r="F223" s="217">
        <f t="shared" si="44"/>
        <v>0</v>
      </c>
      <c r="G223" s="217">
        <f t="shared" si="45"/>
        <v>0</v>
      </c>
      <c r="H223" s="217">
        <f>IF(AND($A223&lt;&gt;"",'Project Overview'!D220=""),1,0)</f>
        <v>0</v>
      </c>
      <c r="I223" s="217">
        <f>IF(AND($A223&lt;&gt;"",'Project Overview'!F220=""),1,0)</f>
        <v>0</v>
      </c>
      <c r="J223" s="217">
        <f>IF(AND($A223&lt;&gt;"",OR('Project Overview'!I220="ESCO",'Project Overview'!I220="EPC",'Project Overview'!I220="ESCO BUYOUT"),'Project Overview'!K220=""),1,0)</f>
        <v>0</v>
      </c>
      <c r="K223" s="217">
        <f>IF(AND($A223&lt;&gt;"",'Project Overview'!M220=""),1,0)</f>
        <v>0</v>
      </c>
      <c r="L223" s="217">
        <f>IF(AND($A223&lt;&gt;"",'Project Overview'!U220=""),1,0)</f>
        <v>0</v>
      </c>
      <c r="M223" s="217">
        <f>IF(OR($A223="",'Project Overview'!O220="",'Project Overview'!O220="?"),1,0)</f>
        <v>0</v>
      </c>
      <c r="N223" s="217">
        <f>IF(OR($A223="",'Project Overview'!P220="", 'Project Overview'!P220="?"),1,0)</f>
        <v>0</v>
      </c>
      <c r="O223" s="217">
        <f t="shared" si="47"/>
        <v>0</v>
      </c>
      <c r="P223" s="217" t="str">
        <f t="shared" si="46"/>
        <v>OK</v>
      </c>
    </row>
    <row r="224" spans="1:16" ht="28.8" hidden="1" x14ac:dyDescent="0.3">
      <c r="A224" s="217" t="str">
        <f>""&amp;'Project Overview'!A221</f>
        <v>216</v>
      </c>
      <c r="B224" s="218" t="str">
        <f>'Project Overview'!B221</f>
        <v>Douropão</v>
      </c>
      <c r="C224" s="218" t="str">
        <f>'Project Overview'!C221</f>
        <v>Douropão - Agrup. Pan. Paivense</v>
      </c>
      <c r="D224" s="222" t="str">
        <f>'Project Overview'!R221</f>
        <v>ACTIVE</v>
      </c>
      <c r="E224" s="221" t="str">
        <f ca="1">'Project Overview'!Y221</f>
        <v>no</v>
      </c>
      <c r="F224" s="217">
        <f t="shared" si="44"/>
        <v>0</v>
      </c>
      <c r="G224" s="217">
        <f t="shared" si="45"/>
        <v>0</v>
      </c>
      <c r="H224" s="217">
        <f>IF(AND($A224&lt;&gt;"",'Project Overview'!D221=""),1,0)</f>
        <v>0</v>
      </c>
      <c r="I224" s="217">
        <f>IF(AND($A224&lt;&gt;"",'Project Overview'!F221=""),1,0)</f>
        <v>0</v>
      </c>
      <c r="J224" s="217">
        <f>IF(AND($A224&lt;&gt;"",OR('Project Overview'!I221="ESCO",'Project Overview'!I221="EPC",'Project Overview'!I221="ESCO BUYOUT"),'Project Overview'!K221=""),1,0)</f>
        <v>0</v>
      </c>
      <c r="K224" s="217">
        <f>IF(AND($A224&lt;&gt;"",'Project Overview'!M221=""),1,0)</f>
        <v>1</v>
      </c>
      <c r="L224" s="217">
        <f>IF(AND($A224&lt;&gt;"",'Project Overview'!U221=""),1,0)</f>
        <v>0</v>
      </c>
      <c r="M224" s="217">
        <f>IF(OR($A224="",'Project Overview'!O221="",'Project Overview'!O221="?"),1,0)</f>
        <v>0</v>
      </c>
      <c r="N224" s="217">
        <f>IF(OR($A224="",'Project Overview'!P221="", 'Project Overview'!P221="?"),1,0)</f>
        <v>1</v>
      </c>
      <c r="O224" s="217">
        <f t="shared" si="47"/>
        <v>2</v>
      </c>
      <c r="P224" s="217" t="str">
        <f t="shared" si="46"/>
        <v>REVER</v>
      </c>
    </row>
    <row r="225" spans="1:16" ht="28.8" hidden="1" x14ac:dyDescent="0.3">
      <c r="A225" s="217" t="str">
        <f>""&amp;'Project Overview'!A222</f>
        <v>217</v>
      </c>
      <c r="B225" s="218" t="str">
        <f>'Project Overview'!B222</f>
        <v>Vida Maior</v>
      </c>
      <c r="C225" s="218" t="str">
        <f>'Project Overview'!C222</f>
        <v>Centro Social e Recreativo e Cultural da Maceira</v>
      </c>
      <c r="D225" s="222" t="str">
        <f>'Project Overview'!R222</f>
        <v>ACTIVE</v>
      </c>
      <c r="E225" s="221" t="str">
        <f ca="1">'Project Overview'!Y222</f>
        <v>no</v>
      </c>
      <c r="F225" s="217">
        <f t="shared" si="44"/>
        <v>0</v>
      </c>
      <c r="G225" s="217">
        <f t="shared" si="45"/>
        <v>0</v>
      </c>
      <c r="H225" s="217">
        <f>IF(AND($A225&lt;&gt;"",'Project Overview'!D222=""),1,0)</f>
        <v>0</v>
      </c>
      <c r="I225" s="217">
        <f>IF(AND($A225&lt;&gt;"",'Project Overview'!F222=""),1,0)</f>
        <v>0</v>
      </c>
      <c r="J225" s="217">
        <f>IF(AND($A225&lt;&gt;"",OR('Project Overview'!I222="ESCO",'Project Overview'!I222="EPC",'Project Overview'!I222="ESCO BUYOUT"),'Project Overview'!K222=""),1,0)</f>
        <v>0</v>
      </c>
      <c r="K225" s="217">
        <f>IF(AND($A225&lt;&gt;"",'Project Overview'!M222=""),1,0)</f>
        <v>1</v>
      </c>
      <c r="L225" s="217">
        <f>IF(AND($A225&lt;&gt;"",'Project Overview'!U222=""),1,0)</f>
        <v>0</v>
      </c>
      <c r="M225" s="217">
        <f>IF(OR($A225="",'Project Overview'!O222="",'Project Overview'!O222="?"),1,0)</f>
        <v>0</v>
      </c>
      <c r="N225" s="217">
        <f>IF(OR($A225="",'Project Overview'!P222="", 'Project Overview'!P222="?"),1,0)</f>
        <v>0</v>
      </c>
      <c r="O225" s="217">
        <f t="shared" si="47"/>
        <v>1</v>
      </c>
      <c r="P225" s="217" t="str">
        <f t="shared" si="46"/>
        <v>REVER</v>
      </c>
    </row>
    <row r="226" spans="1:16" ht="43.2" hidden="1" x14ac:dyDescent="0.3">
      <c r="A226" s="217" t="str">
        <f>""&amp;'Project Overview'!A223</f>
        <v>218</v>
      </c>
      <c r="B226" s="218" t="str">
        <f>'Project Overview'!B223</f>
        <v>8ª Avenida</v>
      </c>
      <c r="C226" s="218" t="str">
        <f>'Project Overview'!C223</f>
        <v>8ª Avenida - Centro Comercial - Sic Imobiliária Fechada, S.A</v>
      </c>
      <c r="D226" s="222" t="str">
        <f>'Project Overview'!R223</f>
        <v>ACTIVE</v>
      </c>
      <c r="E226" s="221" t="str">
        <f ca="1">'Project Overview'!Y223</f>
        <v>yes</v>
      </c>
      <c r="F226" s="217">
        <f>IF(OR($A226="",$B226=""),1,0)</f>
        <v>0</v>
      </c>
      <c r="G226" s="217">
        <f>IF($C226="",1,0)</f>
        <v>0</v>
      </c>
      <c r="H226" s="217">
        <f>IF(AND($A226&lt;&gt;"",'Project Overview'!D223=""),1,0)</f>
        <v>0</v>
      </c>
      <c r="I226" s="217">
        <f>IF(AND($A226&lt;&gt;"",'Project Overview'!F223=""),1,0)</f>
        <v>0</v>
      </c>
      <c r="J226" s="217">
        <f>IF(AND($A226&lt;&gt;"",OR('Project Overview'!I223="ESCO",'Project Overview'!I223="EPC",'Project Overview'!I223="ESCO BUYOUT"),'Project Overview'!K223=""),1,0)</f>
        <v>0</v>
      </c>
      <c r="K226" s="217">
        <f>IF(AND($A226&lt;&gt;"",'Project Overview'!M223=""),1,0)</f>
        <v>0</v>
      </c>
      <c r="L226" s="217">
        <f>IF(AND($A226&lt;&gt;"",'Project Overview'!U223=""),1,0)</f>
        <v>0</v>
      </c>
      <c r="M226" s="217">
        <f>IF(OR($A226="",'Project Overview'!O223="",'Project Overview'!O223="?"),1,0)</f>
        <v>0</v>
      </c>
      <c r="N226" s="217">
        <f>IF(OR($A226="",'Project Overview'!P223="", 'Project Overview'!P223="?"),1,0)</f>
        <v>0</v>
      </c>
      <c r="O226" s="217">
        <f t="shared" si="47"/>
        <v>0</v>
      </c>
      <c r="P226" s="217" t="str">
        <f t="shared" si="46"/>
        <v>OK</v>
      </c>
    </row>
    <row r="227" spans="1:16" hidden="1" x14ac:dyDescent="0.3">
      <c r="A227" s="217" t="str">
        <f>""&amp;'Project Overview'!A224</f>
        <v>219</v>
      </c>
      <c r="B227" s="218" t="str">
        <f>'Project Overview'!B224</f>
        <v>Farmácia Santana 1</v>
      </c>
      <c r="C227" s="218" t="str">
        <f>'Project Overview'!C224</f>
        <v>Farmácia Santana 1</v>
      </c>
      <c r="D227" s="222" t="str">
        <f>'Project Overview'!R224</f>
        <v>ACTIVE</v>
      </c>
      <c r="E227" s="221" t="str">
        <f ca="1">'Project Overview'!Y224</f>
        <v>no</v>
      </c>
      <c r="F227" s="217">
        <f t="shared" si="44"/>
        <v>0</v>
      </c>
      <c r="G227" s="217">
        <f t="shared" si="45"/>
        <v>0</v>
      </c>
      <c r="H227" s="217">
        <f>IF(AND($A227&lt;&gt;"",'Project Overview'!D224=""),1,0)</f>
        <v>0</v>
      </c>
      <c r="I227" s="217">
        <f>IF(AND($A227&lt;&gt;"",'Project Overview'!F224=""),1,0)</f>
        <v>0</v>
      </c>
      <c r="J227" s="217">
        <f>IF(AND($A227&lt;&gt;"",OR('Project Overview'!I224="ESCO",'Project Overview'!I224="EPC",'Project Overview'!I224="ESCO BUYOUT"),'Project Overview'!K224=""),1,0)</f>
        <v>0</v>
      </c>
      <c r="K227" s="217">
        <f>IF(AND($A227&lt;&gt;"",'Project Overview'!M224=""),1,0)</f>
        <v>1</v>
      </c>
      <c r="L227" s="217">
        <f>IF(AND($A227&lt;&gt;"",'Project Overview'!U224=""),1,0)</f>
        <v>0</v>
      </c>
      <c r="M227" s="217">
        <f>IF(OR($A227="",'Project Overview'!O224="",'Project Overview'!O224="?"),1,0)</f>
        <v>0</v>
      </c>
      <c r="N227" s="217">
        <f>IF(OR($A227="",'Project Overview'!P224="", 'Project Overview'!P224="?"),1,0)</f>
        <v>1</v>
      </c>
      <c r="O227" s="217">
        <f t="shared" si="47"/>
        <v>2</v>
      </c>
      <c r="P227" s="217" t="str">
        <f t="shared" si="46"/>
        <v>REVER</v>
      </c>
    </row>
    <row r="228" spans="1:16" hidden="1" x14ac:dyDescent="0.3">
      <c r="A228" s="217" t="str">
        <f>""&amp;'Project Overview'!A225</f>
        <v>220</v>
      </c>
      <c r="B228" s="218" t="str">
        <f>'Project Overview'!B225</f>
        <v>Use and Reuse</v>
      </c>
      <c r="C228" s="218" t="str">
        <f>'Project Overview'!C225</f>
        <v>Use and Reuse, Lda</v>
      </c>
      <c r="D228" s="222" t="str">
        <f>'Project Overview'!R225</f>
        <v>ACTIVE</v>
      </c>
      <c r="E228" s="221" t="str">
        <f ca="1">'Project Overview'!Y225</f>
        <v>no</v>
      </c>
      <c r="F228" s="217">
        <f t="shared" si="44"/>
        <v>0</v>
      </c>
      <c r="G228" s="217">
        <f t="shared" si="45"/>
        <v>0</v>
      </c>
      <c r="H228" s="217">
        <f>IF(AND($A228&lt;&gt;"",'Project Overview'!D225=""),1,0)</f>
        <v>0</v>
      </c>
      <c r="I228" s="217">
        <f>IF(AND($A228&lt;&gt;"",'Project Overview'!F225=""),1,0)</f>
        <v>0</v>
      </c>
      <c r="J228" s="217">
        <f>IF(AND($A228&lt;&gt;"",OR('Project Overview'!I225="ESCO",'Project Overview'!I225="EPC",'Project Overview'!I225="ESCO BUYOUT"),'Project Overview'!K225=""),1,0)</f>
        <v>0</v>
      </c>
      <c r="K228" s="217">
        <f>IF(AND($A228&lt;&gt;"",'Project Overview'!M225=""),1,0)</f>
        <v>1</v>
      </c>
      <c r="L228" s="217">
        <f>IF(AND($A228&lt;&gt;"",'Project Overview'!U225=""),1,0)</f>
        <v>0</v>
      </c>
      <c r="M228" s="217">
        <f>IF(OR($A228="",'Project Overview'!O225="",'Project Overview'!O225="?"),1,0)</f>
        <v>0</v>
      </c>
      <c r="N228" s="217">
        <f>IF(OR($A228="",'Project Overview'!P225="", 'Project Overview'!P225="?"),1,0)</f>
        <v>0</v>
      </c>
      <c r="O228" s="217">
        <f t="shared" si="47"/>
        <v>1</v>
      </c>
      <c r="P228" s="217" t="str">
        <f t="shared" si="46"/>
        <v>REVER</v>
      </c>
    </row>
    <row r="229" spans="1:16" ht="28.8" hidden="1" x14ac:dyDescent="0.3">
      <c r="A229" s="217" t="str">
        <f>""&amp;'Project Overview'!A226</f>
        <v>221</v>
      </c>
      <c r="B229" s="218" t="str">
        <f>'Project Overview'!B226</f>
        <v>Quinta da Formiga</v>
      </c>
      <c r="C229" s="218" t="str">
        <f>'Project Overview'!C226</f>
        <v>Quinta da Formiga - condomínio</v>
      </c>
      <c r="D229" s="222" t="str">
        <f>'Project Overview'!R226</f>
        <v>ACTIVE</v>
      </c>
      <c r="E229" s="221" t="str">
        <f ca="1">'Project Overview'!Y226</f>
        <v>no</v>
      </c>
      <c r="F229" s="217">
        <f t="shared" si="44"/>
        <v>0</v>
      </c>
      <c r="G229" s="217">
        <f t="shared" si="45"/>
        <v>0</v>
      </c>
      <c r="H229" s="217">
        <f>IF(AND($A229&lt;&gt;"",'Project Overview'!D226=""),1,0)</f>
        <v>0</v>
      </c>
      <c r="I229" s="217">
        <f>IF(AND($A229&lt;&gt;"",'Project Overview'!F226=""),1,0)</f>
        <v>0</v>
      </c>
      <c r="J229" s="217">
        <f>IF(AND($A229&lt;&gt;"",OR('Project Overview'!I226="ESCO",'Project Overview'!I226="EPC",'Project Overview'!I226="ESCO BUYOUT"),'Project Overview'!K226=""),1,0)</f>
        <v>0</v>
      </c>
      <c r="K229" s="217">
        <f>IF(AND($A229&lt;&gt;"",'Project Overview'!M226=""),1,0)</f>
        <v>1</v>
      </c>
      <c r="L229" s="217">
        <f>IF(AND($A229&lt;&gt;"",'Project Overview'!U226=""),1,0)</f>
        <v>0</v>
      </c>
      <c r="M229" s="217">
        <f>IF(OR($A229="",'Project Overview'!O226="",'Project Overview'!O226="?"),1,0)</f>
        <v>1</v>
      </c>
      <c r="N229" s="217">
        <f>IF(OR($A229="",'Project Overview'!P226="", 'Project Overview'!P226="?"),1,0)</f>
        <v>1</v>
      </c>
      <c r="O229" s="217">
        <f t="shared" si="47"/>
        <v>3</v>
      </c>
      <c r="P229" s="217" t="str">
        <f t="shared" si="46"/>
        <v>REVER</v>
      </c>
    </row>
    <row r="230" spans="1:16" hidden="1" x14ac:dyDescent="0.3">
      <c r="A230" s="217" t="str">
        <f>""&amp;'Project Overview'!A227</f>
        <v>222</v>
      </c>
      <c r="B230" s="218" t="str">
        <f>'Project Overview'!B227</f>
        <v xml:space="preserve">VCP expansão </v>
      </c>
      <c r="C230" s="218">
        <f>'Project Overview'!C227</f>
        <v>0</v>
      </c>
      <c r="D230" s="222" t="str">
        <f>'Project Overview'!R227</f>
        <v>ON HOLD</v>
      </c>
      <c r="E230" s="221" t="str">
        <f ca="1">'Project Overview'!Y227</f>
        <v>no</v>
      </c>
      <c r="F230" s="217">
        <f t="shared" si="44"/>
        <v>0</v>
      </c>
      <c r="G230" s="217">
        <f t="shared" si="45"/>
        <v>0</v>
      </c>
      <c r="H230" s="217">
        <f>IF(AND($A230&lt;&gt;"",'Project Overview'!D227=""),1,0)</f>
        <v>1</v>
      </c>
      <c r="I230" s="217">
        <f>IF(AND($A230&lt;&gt;"",'Project Overview'!F227=""),1,0)</f>
        <v>1</v>
      </c>
      <c r="J230" s="217">
        <f>IF(AND($A230&lt;&gt;"",OR('Project Overview'!I227="ESCO",'Project Overview'!I227="EPC",'Project Overview'!I227="ESCO BUYOUT"),'Project Overview'!K227=""),1,0)</f>
        <v>1</v>
      </c>
      <c r="K230" s="217">
        <f>IF(AND($A230&lt;&gt;"",'Project Overview'!M227=""),1,0)</f>
        <v>1</v>
      </c>
      <c r="L230" s="217">
        <f>IF(AND($A230&lt;&gt;"",'Project Overview'!U227=""),1,0)</f>
        <v>1</v>
      </c>
      <c r="M230" s="217">
        <f>IF(OR($A230="",'Project Overview'!O227="",'Project Overview'!O227="?"),1,0)</f>
        <v>1</v>
      </c>
      <c r="N230" s="217">
        <f>IF(OR($A230="",'Project Overview'!P227="", 'Project Overview'!P227="?"),1,0)</f>
        <v>1</v>
      </c>
      <c r="O230" s="217">
        <f t="shared" si="47"/>
        <v>7</v>
      </c>
      <c r="P230" s="217" t="str">
        <f t="shared" si="46"/>
        <v>REVER</v>
      </c>
    </row>
    <row r="231" spans="1:16" ht="28.8" hidden="1" x14ac:dyDescent="0.3">
      <c r="A231" s="217" t="str">
        <f>""&amp;'Project Overview'!A228</f>
        <v>223</v>
      </c>
      <c r="B231" s="218" t="str">
        <f>'Project Overview'!B228</f>
        <v>Joaquim Pinheiro Santos Expansão</v>
      </c>
      <c r="C231" s="218">
        <f>'Project Overview'!C228</f>
        <v>0</v>
      </c>
      <c r="D231" s="222" t="str">
        <f>'Project Overview'!R228</f>
        <v>ON HOLD</v>
      </c>
      <c r="E231" s="221" t="str">
        <f ca="1">'Project Overview'!Y228</f>
        <v>no</v>
      </c>
      <c r="F231" s="217">
        <f t="shared" si="44"/>
        <v>0</v>
      </c>
      <c r="G231" s="217">
        <f t="shared" si="45"/>
        <v>0</v>
      </c>
      <c r="H231" s="217">
        <f>IF(AND($A231&lt;&gt;"",'Project Overview'!D228=""),1,0)</f>
        <v>1</v>
      </c>
      <c r="I231" s="217">
        <f>IF(AND($A231&lt;&gt;"",'Project Overview'!F228=""),1,0)</f>
        <v>1</v>
      </c>
      <c r="J231" s="217">
        <f>IF(AND($A231&lt;&gt;"",OR('Project Overview'!I228="ESCO",'Project Overview'!I228="EPC",'Project Overview'!I228="ESCO BUYOUT"),'Project Overview'!K228=""),1,0)</f>
        <v>1</v>
      </c>
      <c r="K231" s="217">
        <f>IF(AND($A231&lt;&gt;"",'Project Overview'!M228=""),1,0)</f>
        <v>1</v>
      </c>
      <c r="L231" s="217">
        <f>IF(AND($A231&lt;&gt;"",'Project Overview'!U228=""),1,0)</f>
        <v>1</v>
      </c>
      <c r="M231" s="217">
        <f>IF(OR($A231="",'Project Overview'!O228="",'Project Overview'!O228="?"),1,0)</f>
        <v>1</v>
      </c>
      <c r="N231" s="217">
        <f>IF(OR($A231="",'Project Overview'!P228="", 'Project Overview'!P228="?"),1,0)</f>
        <v>1</v>
      </c>
      <c r="O231" s="217">
        <f t="shared" si="47"/>
        <v>7</v>
      </c>
      <c r="P231" s="217" t="str">
        <f t="shared" si="46"/>
        <v>REVER</v>
      </c>
    </row>
    <row r="232" spans="1:16" ht="28.8" hidden="1" x14ac:dyDescent="0.3">
      <c r="A232" s="217" t="str">
        <f>""&amp;'Project Overview'!A229</f>
        <v>224</v>
      </c>
      <c r="B232" s="218" t="str">
        <f>'Project Overview'!B229</f>
        <v>Helear</v>
      </c>
      <c r="C232" s="218" t="str">
        <f>'Project Overview'!C229</f>
        <v>Helear Investimentos Hoteleiros Sa</v>
      </c>
      <c r="D232" s="222" t="str">
        <f>'Project Overview'!R229</f>
        <v>ACTIVE</v>
      </c>
      <c r="E232" s="221" t="str">
        <f ca="1">'Project Overview'!Y229</f>
        <v>no</v>
      </c>
      <c r="F232" s="217">
        <f t="shared" si="44"/>
        <v>0</v>
      </c>
      <c r="G232" s="217">
        <f t="shared" si="45"/>
        <v>0</v>
      </c>
      <c r="H232" s="217">
        <f>IF(AND($A232&lt;&gt;"",'Project Overview'!D229=""),1,0)</f>
        <v>0</v>
      </c>
      <c r="I232" s="217">
        <f>IF(AND($A232&lt;&gt;"",'Project Overview'!F229=""),1,0)</f>
        <v>0</v>
      </c>
      <c r="J232" s="217">
        <f>IF(AND($A232&lt;&gt;"",OR('Project Overview'!I229="ESCO",'Project Overview'!I229="EPC",'Project Overview'!I229="ESCO BUYOUT"),'Project Overview'!K229=""),1,0)</f>
        <v>0</v>
      </c>
      <c r="K232" s="217">
        <f>IF(AND($A232&lt;&gt;"",'Project Overview'!M229=""),1,0)</f>
        <v>1</v>
      </c>
      <c r="L232" s="217">
        <f>IF(AND($A232&lt;&gt;"",'Project Overview'!U229=""),1,0)</f>
        <v>0</v>
      </c>
      <c r="M232" s="217">
        <f>IF(OR($A232="",'Project Overview'!O229="",'Project Overview'!O229="?"),1,0)</f>
        <v>0</v>
      </c>
      <c r="N232" s="217">
        <f>IF(OR($A232="",'Project Overview'!P229="", 'Project Overview'!P229="?"),1,0)</f>
        <v>0</v>
      </c>
      <c r="O232" s="217">
        <f t="shared" si="47"/>
        <v>1</v>
      </c>
      <c r="P232" s="217" t="str">
        <f t="shared" si="46"/>
        <v>REVER</v>
      </c>
    </row>
    <row r="233" spans="1:16" ht="43.2" hidden="1" x14ac:dyDescent="0.3">
      <c r="A233" s="217" t="str">
        <f>""&amp;'Project Overview'!A230</f>
        <v>225</v>
      </c>
      <c r="B233" s="218" t="str">
        <f>'Project Overview'!B230</f>
        <v>Pavilhão Alto da Faia - CER Telheiras</v>
      </c>
      <c r="C233" s="218" t="str">
        <f>'Project Overview'!C230</f>
        <v>Associação Viver Telheiras - Centro de Convergência de Telheiras</v>
      </c>
      <c r="D233" s="222" t="str">
        <f>'Project Overview'!R230</f>
        <v>ACTIVE</v>
      </c>
      <c r="E233" s="221" t="str">
        <f ca="1">'Project Overview'!Y230</f>
        <v>no</v>
      </c>
      <c r="F233" s="217">
        <f t="shared" si="44"/>
        <v>0</v>
      </c>
      <c r="G233" s="217">
        <f t="shared" si="45"/>
        <v>0</v>
      </c>
      <c r="H233" s="217">
        <f>IF(AND($A233&lt;&gt;"",'Project Overview'!D230=""),1,0)</f>
        <v>0</v>
      </c>
      <c r="I233" s="217">
        <f>IF(AND($A233&lt;&gt;"",'Project Overview'!F230=""),1,0)</f>
        <v>0</v>
      </c>
      <c r="J233" s="217">
        <f>IF(AND($A233&lt;&gt;"",OR('Project Overview'!I230="ESCO",'Project Overview'!I230="EPC",'Project Overview'!I230="ESCO BUYOUT"),'Project Overview'!K230=""),1,0)</f>
        <v>0</v>
      </c>
      <c r="K233" s="217">
        <f>IF(AND($A233&lt;&gt;"",'Project Overview'!M230=""),1,0)</f>
        <v>1</v>
      </c>
      <c r="L233" s="217">
        <f>IF(AND($A233&lt;&gt;"",'Project Overview'!U230=""),1,0)</f>
        <v>0</v>
      </c>
      <c r="M233" s="217">
        <f>IF(OR($A233="",'Project Overview'!O230="",'Project Overview'!O230="?"),1,0)</f>
        <v>0</v>
      </c>
      <c r="N233" s="217">
        <f>IF(OR($A233="",'Project Overview'!P230="", 'Project Overview'!P230="?"),1,0)</f>
        <v>0</v>
      </c>
      <c r="O233" s="217">
        <f t="shared" si="47"/>
        <v>1</v>
      </c>
      <c r="P233" s="217" t="str">
        <f t="shared" si="46"/>
        <v>REVER</v>
      </c>
    </row>
    <row r="234" spans="1:16" ht="28.8" hidden="1" x14ac:dyDescent="0.3">
      <c r="A234" s="217" t="str">
        <f>""&amp;'Project Overview'!A231</f>
        <v>226</v>
      </c>
      <c r="B234" s="218" t="str">
        <f>'Project Overview'!B231</f>
        <v>Lopal</v>
      </c>
      <c r="C234" s="218" t="str">
        <f>'Project Overview'!C231</f>
        <v>Lopal Agricultura e Pecuária SA</v>
      </c>
      <c r="D234" s="222" t="str">
        <f>'Project Overview'!R231</f>
        <v>ACTIVE</v>
      </c>
      <c r="E234" s="221" t="str">
        <f ca="1">'Project Overview'!Y231</f>
        <v>no</v>
      </c>
      <c r="F234" s="217">
        <f t="shared" si="44"/>
        <v>0</v>
      </c>
      <c r="G234" s="217">
        <f t="shared" si="45"/>
        <v>0</v>
      </c>
      <c r="H234" s="217">
        <f>IF(AND($A234&lt;&gt;"",'Project Overview'!D231=""),1,0)</f>
        <v>0</v>
      </c>
      <c r="I234" s="217">
        <f>IF(AND($A234&lt;&gt;"",'Project Overview'!F231=""),1,0)</f>
        <v>0</v>
      </c>
      <c r="J234" s="217">
        <f>IF(AND($A234&lt;&gt;"",OR('Project Overview'!I231="ESCO",'Project Overview'!I231="EPC",'Project Overview'!I231="ESCO BUYOUT"),'Project Overview'!K231=""),1,0)</f>
        <v>0</v>
      </c>
      <c r="K234" s="217">
        <f>IF(AND($A234&lt;&gt;"",'Project Overview'!M231=""),1,0)</f>
        <v>1</v>
      </c>
      <c r="L234" s="217">
        <f>IF(AND($A234&lt;&gt;"",'Project Overview'!U231=""),1,0)</f>
        <v>0</v>
      </c>
      <c r="M234" s="217">
        <f>IF(OR($A234="",'Project Overview'!O231="",'Project Overview'!O231="?"),1,0)</f>
        <v>1</v>
      </c>
      <c r="N234" s="217">
        <f>IF(OR($A234="",'Project Overview'!P231="", 'Project Overview'!P231="?"),1,0)</f>
        <v>1</v>
      </c>
      <c r="O234" s="217">
        <f t="shared" si="47"/>
        <v>3</v>
      </c>
      <c r="P234" s="217" t="str">
        <f t="shared" si="46"/>
        <v>REVER</v>
      </c>
    </row>
    <row r="235" spans="1:16" ht="28.8" hidden="1" x14ac:dyDescent="0.3">
      <c r="A235" s="217" t="str">
        <f>""&amp;'Project Overview'!A232</f>
        <v>227</v>
      </c>
      <c r="B235" s="218" t="str">
        <f>'Project Overview'!B232</f>
        <v>Centro Bem Estar Social Minde</v>
      </c>
      <c r="C235" s="218" t="str">
        <f>'Project Overview'!C232</f>
        <v>Centro de Bem Estar Social de Minde</v>
      </c>
      <c r="D235" s="222" t="str">
        <f>'Project Overview'!R232</f>
        <v>ACTIVE</v>
      </c>
      <c r="E235" s="221" t="str">
        <f ca="1">'Project Overview'!Y232</f>
        <v>no</v>
      </c>
      <c r="F235" s="217">
        <f t="shared" si="44"/>
        <v>0</v>
      </c>
      <c r="G235" s="217">
        <f t="shared" si="45"/>
        <v>0</v>
      </c>
      <c r="H235" s="217">
        <f>IF(AND($A235&lt;&gt;"",'Project Overview'!D232=""),1,0)</f>
        <v>0</v>
      </c>
      <c r="I235" s="217">
        <f>IF(AND($A235&lt;&gt;"",'Project Overview'!F232=""),1,0)</f>
        <v>0</v>
      </c>
      <c r="J235" s="217">
        <f>IF(AND($A235&lt;&gt;"",OR('Project Overview'!I232="ESCO",'Project Overview'!I232="EPC",'Project Overview'!I232="ESCO BUYOUT"),'Project Overview'!K232=""),1,0)</f>
        <v>0</v>
      </c>
      <c r="K235" s="217">
        <f>IF(AND($A235&lt;&gt;"",'Project Overview'!M232=""),1,0)</f>
        <v>1</v>
      </c>
      <c r="L235" s="217">
        <f>IF(AND($A235&lt;&gt;"",'Project Overview'!U232=""),1,0)</f>
        <v>0</v>
      </c>
      <c r="M235" s="217">
        <f>IF(OR($A235="",'Project Overview'!O232="",'Project Overview'!O232="?"),1,0)</f>
        <v>0</v>
      </c>
      <c r="N235" s="217">
        <f>IF(OR($A235="",'Project Overview'!P232="", 'Project Overview'!P232="?"),1,0)</f>
        <v>0</v>
      </c>
      <c r="O235" s="217">
        <f t="shared" si="47"/>
        <v>1</v>
      </c>
      <c r="P235" s="217" t="str">
        <f t="shared" si="46"/>
        <v>REVER</v>
      </c>
    </row>
    <row r="236" spans="1:16" ht="28.8" hidden="1" x14ac:dyDescent="0.3">
      <c r="A236" s="217" t="str">
        <f>""&amp;'Project Overview'!A233</f>
        <v>228</v>
      </c>
      <c r="B236" s="218" t="str">
        <f>'Project Overview'!B233</f>
        <v>Bruno Miguel Rodrigues Carvalho</v>
      </c>
      <c r="C236" s="218" t="str">
        <f>'Project Overview'!C233</f>
        <v>Bruno Miguel Rodrigues Carvalho</v>
      </c>
      <c r="D236" s="222" t="str">
        <f>'Project Overview'!R233</f>
        <v>ACTIVE</v>
      </c>
      <c r="E236" s="221" t="str">
        <f ca="1">'Project Overview'!Y233</f>
        <v>no</v>
      </c>
      <c r="F236" s="217">
        <f t="shared" si="44"/>
        <v>0</v>
      </c>
      <c r="G236" s="217">
        <f t="shared" si="45"/>
        <v>0</v>
      </c>
      <c r="H236" s="217">
        <f>IF(AND($A236&lt;&gt;"",'Project Overview'!D233=""),1,0)</f>
        <v>0</v>
      </c>
      <c r="I236" s="217">
        <f>IF(AND($A236&lt;&gt;"",'Project Overview'!F233=""),1,0)</f>
        <v>0</v>
      </c>
      <c r="J236" s="217">
        <f>IF(AND($A236&lt;&gt;"",OR('Project Overview'!I233="ESCO",'Project Overview'!I233="EPC",'Project Overview'!I233="ESCO BUYOUT"),'Project Overview'!K233=""),1,0)</f>
        <v>0</v>
      </c>
      <c r="K236" s="217">
        <f>IF(AND($A236&lt;&gt;"",'Project Overview'!M233=""),1,0)</f>
        <v>1</v>
      </c>
      <c r="L236" s="217">
        <f>IF(AND($A236&lt;&gt;"",'Project Overview'!U233=""),1,0)</f>
        <v>0</v>
      </c>
      <c r="M236" s="217">
        <f>IF(OR($A236="",'Project Overview'!O233="",'Project Overview'!O233="?"),1,0)</f>
        <v>0</v>
      </c>
      <c r="N236" s="217">
        <f>IF(OR($A236="",'Project Overview'!P233="", 'Project Overview'!P233="?"),1,0)</f>
        <v>0</v>
      </c>
      <c r="O236" s="217">
        <f t="shared" si="47"/>
        <v>1</v>
      </c>
      <c r="P236" s="217" t="str">
        <f t="shared" si="46"/>
        <v>REVER</v>
      </c>
    </row>
    <row r="237" spans="1:16" ht="28.8" hidden="1" x14ac:dyDescent="0.3">
      <c r="A237" s="217" t="str">
        <f>""&amp;'Project Overview'!A234</f>
        <v>229</v>
      </c>
      <c r="B237" s="218" t="str">
        <f>'Project Overview'!B234</f>
        <v>Moviportas 1 expansão</v>
      </c>
      <c r="C237" s="218">
        <f>'Project Overview'!C234</f>
        <v>0</v>
      </c>
      <c r="D237" s="222" t="str">
        <f>'Project Overview'!R234</f>
        <v>ON HOLD</v>
      </c>
      <c r="E237" s="221" t="str">
        <f ca="1">'Project Overview'!Y234</f>
        <v>no</v>
      </c>
      <c r="F237" s="217">
        <f t="shared" si="44"/>
        <v>0</v>
      </c>
      <c r="G237" s="217">
        <f t="shared" si="45"/>
        <v>0</v>
      </c>
      <c r="H237" s="217">
        <f>IF(AND($A237&lt;&gt;"",'Project Overview'!D234=""),1,0)</f>
        <v>1</v>
      </c>
      <c r="I237" s="217">
        <f>IF(AND($A237&lt;&gt;"",'Project Overview'!F234=""),1,0)</f>
        <v>1</v>
      </c>
      <c r="J237" s="217">
        <f>IF(AND($A237&lt;&gt;"",OR('Project Overview'!I234="ESCO",'Project Overview'!I234="EPC",'Project Overview'!I234="ESCO BUYOUT"),'Project Overview'!K234=""),1,0)</f>
        <v>0</v>
      </c>
      <c r="K237" s="217">
        <f>IF(AND($A237&lt;&gt;"",'Project Overview'!M234=""),1,0)</f>
        <v>1</v>
      </c>
      <c r="L237" s="217">
        <f>IF(AND($A237&lt;&gt;"",'Project Overview'!U234=""),1,0)</f>
        <v>1</v>
      </c>
      <c r="M237" s="217">
        <f>IF(OR($A237="",'Project Overview'!O234="",'Project Overview'!O234="?"),1,0)</f>
        <v>1</v>
      </c>
      <c r="N237" s="217">
        <f>IF(OR($A237="",'Project Overview'!P234="", 'Project Overview'!P234="?"),1,0)</f>
        <v>1</v>
      </c>
      <c r="O237" s="217">
        <f t="shared" si="47"/>
        <v>6</v>
      </c>
      <c r="P237" s="217" t="str">
        <f t="shared" si="46"/>
        <v>REVER</v>
      </c>
    </row>
    <row r="238" spans="1:16" ht="28.8" hidden="1" x14ac:dyDescent="0.3">
      <c r="A238" s="217" t="str">
        <f>""&amp;'Project Overview'!A235</f>
        <v>230</v>
      </c>
      <c r="B238" s="218" t="str">
        <f>'Project Overview'!B235</f>
        <v>Moviportas 2 expansão</v>
      </c>
      <c r="C238" s="218">
        <f>'Project Overview'!C235</f>
        <v>0</v>
      </c>
      <c r="D238" s="222" t="str">
        <f>'Project Overview'!R235</f>
        <v>ON HOLD</v>
      </c>
      <c r="E238" s="221" t="str">
        <f ca="1">'Project Overview'!Y235</f>
        <v>no</v>
      </c>
      <c r="F238" s="217">
        <f t="shared" si="44"/>
        <v>0</v>
      </c>
      <c r="G238" s="217">
        <f t="shared" si="45"/>
        <v>0</v>
      </c>
      <c r="H238" s="217">
        <f>IF(AND($A238&lt;&gt;"",'Project Overview'!D235=""),1,0)</f>
        <v>1</v>
      </c>
      <c r="I238" s="217">
        <f>IF(AND($A238&lt;&gt;"",'Project Overview'!F235=""),1,0)</f>
        <v>1</v>
      </c>
      <c r="J238" s="217">
        <f>IF(AND($A238&lt;&gt;"",OR('Project Overview'!I235="ESCO",'Project Overview'!I235="EPC",'Project Overview'!I235="ESCO BUYOUT"),'Project Overview'!K235=""),1,0)</f>
        <v>0</v>
      </c>
      <c r="K238" s="217">
        <f>IF(AND($A238&lt;&gt;"",'Project Overview'!M235=""),1,0)</f>
        <v>1</v>
      </c>
      <c r="L238" s="217">
        <f>IF(AND($A238&lt;&gt;"",'Project Overview'!U235=""),1,0)</f>
        <v>1</v>
      </c>
      <c r="M238" s="217">
        <f>IF(OR($A238="",'Project Overview'!O235="",'Project Overview'!O235="?"),1,0)</f>
        <v>1</v>
      </c>
      <c r="N238" s="217">
        <f>IF(OR($A238="",'Project Overview'!P235="", 'Project Overview'!P235="?"),1,0)</f>
        <v>1</v>
      </c>
      <c r="O238" s="217">
        <f t="shared" si="47"/>
        <v>6</v>
      </c>
      <c r="P238" s="217" t="str">
        <f t="shared" si="46"/>
        <v>REVER</v>
      </c>
    </row>
    <row r="239" spans="1:16" hidden="1" x14ac:dyDescent="0.3">
      <c r="A239" s="217" t="str">
        <f>""&amp;'Project Overview'!A236</f>
        <v>231</v>
      </c>
      <c r="B239" s="218" t="str">
        <f>'Project Overview'!B236</f>
        <v>AHBV Vila Meã</v>
      </c>
      <c r="C239" s="218">
        <f>'Project Overview'!C236</f>
        <v>0</v>
      </c>
      <c r="D239" s="222" t="str">
        <f>'Project Overview'!R236</f>
        <v>ACTIVE</v>
      </c>
      <c r="E239" s="221" t="str">
        <f ca="1">'Project Overview'!Y236</f>
        <v>no</v>
      </c>
      <c r="F239" s="217">
        <f t="shared" si="44"/>
        <v>0</v>
      </c>
      <c r="G239" s="217">
        <f t="shared" si="45"/>
        <v>0</v>
      </c>
      <c r="H239" s="217">
        <f>IF(AND($A239&lt;&gt;"",'Project Overview'!D236=""),1,0)</f>
        <v>0</v>
      </c>
      <c r="I239" s="217">
        <f>IF(AND($A239&lt;&gt;"",'Project Overview'!F236=""),1,0)</f>
        <v>0</v>
      </c>
      <c r="J239" s="217">
        <f>IF(AND($A239&lt;&gt;"",OR('Project Overview'!I236="ESCO",'Project Overview'!I236="EPC",'Project Overview'!I236="ESCO BUYOUT"),'Project Overview'!K236=""),1,0)</f>
        <v>0</v>
      </c>
      <c r="K239" s="217">
        <f>IF(AND($A239&lt;&gt;"",'Project Overview'!M236=""),1,0)</f>
        <v>1</v>
      </c>
      <c r="L239" s="217">
        <f>IF(AND($A239&lt;&gt;"",'Project Overview'!U236=""),1,0)</f>
        <v>0</v>
      </c>
      <c r="M239" s="217">
        <f>IF(OR($A239="",'Project Overview'!O236="",'Project Overview'!O236="?"),1,0)</f>
        <v>0</v>
      </c>
      <c r="N239" s="217">
        <f>IF(OR($A239="",'Project Overview'!P236="", 'Project Overview'!P236="?"),1,0)</f>
        <v>0</v>
      </c>
      <c r="O239" s="217">
        <f t="shared" si="47"/>
        <v>1</v>
      </c>
      <c r="P239" s="217" t="str">
        <f t="shared" si="46"/>
        <v>REVER</v>
      </c>
    </row>
    <row r="240" spans="1:16" ht="43.2" hidden="1" x14ac:dyDescent="0.3">
      <c r="A240" s="217" t="str">
        <f>""&amp;'Project Overview'!A237</f>
        <v>232</v>
      </c>
      <c r="B240" s="218" t="str">
        <f>'Project Overview'!B237</f>
        <v>Bomfelx</v>
      </c>
      <c r="C240" s="218" t="str">
        <f>'Project Overview'!C237</f>
        <v>Bomflex - Sociedade Industrial De Fabrico De Colchões, S.A</v>
      </c>
      <c r="D240" s="222" t="str">
        <f>'Project Overview'!R237</f>
        <v>ON HOLD</v>
      </c>
      <c r="E240" s="221" t="str">
        <f ca="1">'Project Overview'!Y237</f>
        <v>no</v>
      </c>
      <c r="F240" s="217">
        <f t="shared" si="44"/>
        <v>0</v>
      </c>
      <c r="G240" s="217">
        <f t="shared" si="45"/>
        <v>0</v>
      </c>
      <c r="H240" s="217">
        <f>IF(AND($A240&lt;&gt;"",'Project Overview'!D237=""),1,0)</f>
        <v>0</v>
      </c>
      <c r="I240" s="217">
        <f>IF(AND($A240&lt;&gt;"",'Project Overview'!F237=""),1,0)</f>
        <v>0</v>
      </c>
      <c r="J240" s="217">
        <f>IF(AND($A240&lt;&gt;"",OR('Project Overview'!I237="ESCO",'Project Overview'!I237="EPC",'Project Overview'!I237="ESCO BUYOUT"),'Project Overview'!K237=""),1,0)</f>
        <v>0</v>
      </c>
      <c r="K240" s="217">
        <f>IF(AND($A240&lt;&gt;"",'Project Overview'!M237=""),1,0)</f>
        <v>1</v>
      </c>
      <c r="L240" s="217">
        <f>IF(AND($A240&lt;&gt;"",'Project Overview'!U237=""),1,0)</f>
        <v>0</v>
      </c>
      <c r="M240" s="217">
        <f>IF(OR($A240="",'Project Overview'!O237="",'Project Overview'!O237="?"),1,0)</f>
        <v>1</v>
      </c>
      <c r="N240" s="217">
        <f>IF(OR($A240="",'Project Overview'!P237="", 'Project Overview'!P237="?"),1,0)</f>
        <v>1</v>
      </c>
      <c r="O240" s="217">
        <f t="shared" si="47"/>
        <v>3</v>
      </c>
      <c r="P240" s="217" t="str">
        <f t="shared" si="46"/>
        <v>REVER</v>
      </c>
    </row>
    <row r="241" spans="1:16" ht="28.8" hidden="1" x14ac:dyDescent="0.3">
      <c r="A241" s="217" t="str">
        <f>""&amp;'Project Overview'!A238</f>
        <v>233</v>
      </c>
      <c r="B241" s="218" t="str">
        <f>'Project Overview'!B238</f>
        <v>Luxflor</v>
      </c>
      <c r="C241" s="218" t="str">
        <f>'Project Overview'!C238</f>
        <v>Luxflor importação e exportação de flores, lda</v>
      </c>
      <c r="D241" s="222" t="str">
        <f>'Project Overview'!R238</f>
        <v>ACTIVE</v>
      </c>
      <c r="E241" s="221" t="str">
        <f ca="1">'Project Overview'!Y238</f>
        <v>no</v>
      </c>
      <c r="F241" s="217">
        <f t="shared" si="44"/>
        <v>0</v>
      </c>
      <c r="G241" s="217">
        <f t="shared" si="45"/>
        <v>0</v>
      </c>
      <c r="H241" s="217">
        <f>IF(AND($A241&lt;&gt;"",'Project Overview'!D238=""),1,0)</f>
        <v>0</v>
      </c>
      <c r="I241" s="217">
        <f>IF(AND($A241&lt;&gt;"",'Project Overview'!F238=""),1,0)</f>
        <v>0</v>
      </c>
      <c r="J241" s="217">
        <f>IF(AND($A241&lt;&gt;"",OR('Project Overview'!I238="ESCO",'Project Overview'!I238="EPC",'Project Overview'!I238="ESCO BUYOUT"),'Project Overview'!K238=""),1,0)</f>
        <v>0</v>
      </c>
      <c r="K241" s="217">
        <f>IF(AND($A241&lt;&gt;"",'Project Overview'!M238=""),1,0)</f>
        <v>1</v>
      </c>
      <c r="L241" s="217">
        <f>IF(AND($A241&lt;&gt;"",'Project Overview'!U238=""),1,0)</f>
        <v>0</v>
      </c>
      <c r="M241" s="217">
        <f>IF(OR($A241="",'Project Overview'!O238="",'Project Overview'!O238="?"),1,0)</f>
        <v>0</v>
      </c>
      <c r="N241" s="217">
        <f>IF(OR($A241="",'Project Overview'!P238="", 'Project Overview'!P238="?"),1,0)</f>
        <v>0</v>
      </c>
      <c r="O241" s="217">
        <f t="shared" si="47"/>
        <v>1</v>
      </c>
      <c r="P241" s="217" t="str">
        <f t="shared" si="46"/>
        <v>REVER</v>
      </c>
    </row>
    <row r="242" spans="1:16" ht="28.8" hidden="1" x14ac:dyDescent="0.3">
      <c r="A242" s="217" t="str">
        <f>""&amp;'Project Overview'!A239</f>
        <v>234</v>
      </c>
      <c r="B242" s="218" t="str">
        <f>'Project Overview'!B239</f>
        <v>Oasis Elastomers</v>
      </c>
      <c r="C242" s="218" t="str">
        <f>'Project Overview'!C239</f>
        <v>Oasis Elastomers Industrial Lda</v>
      </c>
      <c r="D242" s="222" t="str">
        <f>'Project Overview'!R239</f>
        <v>ACTIVE</v>
      </c>
      <c r="E242" s="221" t="str">
        <f ca="1">'Project Overview'!Y239</f>
        <v>no</v>
      </c>
      <c r="F242" s="217">
        <f t="shared" si="44"/>
        <v>0</v>
      </c>
      <c r="G242" s="217">
        <f t="shared" si="45"/>
        <v>0</v>
      </c>
      <c r="H242" s="217">
        <f>IF(AND($A242&lt;&gt;"",'Project Overview'!D239=""),1,0)</f>
        <v>0</v>
      </c>
      <c r="I242" s="217">
        <f>IF(AND($A242&lt;&gt;"",'Project Overview'!F239=""),1,0)</f>
        <v>0</v>
      </c>
      <c r="J242" s="217">
        <f>IF(AND($A242&lt;&gt;"",OR('Project Overview'!I239="ESCO",'Project Overview'!I239="EPC",'Project Overview'!I239="ESCO BUYOUT"),'Project Overview'!K239=""),1,0)</f>
        <v>0</v>
      </c>
      <c r="K242" s="217">
        <f>IF(AND($A242&lt;&gt;"",'Project Overview'!M239=""),1,0)</f>
        <v>1</v>
      </c>
      <c r="L242" s="217">
        <f>IF(AND($A242&lt;&gt;"",'Project Overview'!U239=""),1,0)</f>
        <v>0</v>
      </c>
      <c r="M242" s="217">
        <f>IF(OR($A242="",'Project Overview'!O239="",'Project Overview'!O239="?"),1,0)</f>
        <v>1</v>
      </c>
      <c r="N242" s="217">
        <f>IF(OR($A242="",'Project Overview'!P239="", 'Project Overview'!P239="?"),1,0)</f>
        <v>1</v>
      </c>
      <c r="O242" s="217">
        <f t="shared" si="47"/>
        <v>3</v>
      </c>
      <c r="P242" s="217" t="str">
        <f t="shared" si="46"/>
        <v>REVER</v>
      </c>
    </row>
    <row r="243" spans="1:16" hidden="1" x14ac:dyDescent="0.3">
      <c r="A243" s="217" t="str">
        <f>""&amp;'Project Overview'!A240</f>
        <v>235</v>
      </c>
      <c r="B243" s="218" t="str">
        <f>'Project Overview'!B240</f>
        <v>Casa da Democracia</v>
      </c>
      <c r="C243" s="218">
        <f>'Project Overview'!C240</f>
        <v>0</v>
      </c>
      <c r="D243" s="222" t="str">
        <f>'Project Overview'!R240</f>
        <v>ON HOLD</v>
      </c>
      <c r="E243" s="221" t="str">
        <f ca="1">'Project Overview'!Y240</f>
        <v>no</v>
      </c>
      <c r="F243" s="217">
        <f t="shared" si="44"/>
        <v>0</v>
      </c>
      <c r="G243" s="217">
        <f t="shared" si="45"/>
        <v>0</v>
      </c>
      <c r="H243" s="217">
        <f>IF(AND($A243&lt;&gt;"",'Project Overview'!D240=""),1,0)</f>
        <v>1</v>
      </c>
      <c r="I243" s="217">
        <f>IF(AND($A243&lt;&gt;"",'Project Overview'!F240=""),1,0)</f>
        <v>1</v>
      </c>
      <c r="J243" s="217">
        <f>IF(AND($A243&lt;&gt;"",OR('Project Overview'!I240="ESCO",'Project Overview'!I240="EPC",'Project Overview'!I240="ESCO BUYOUT"),'Project Overview'!K240=""),1,0)</f>
        <v>0</v>
      </c>
      <c r="K243" s="217">
        <f>IF(AND($A243&lt;&gt;"",'Project Overview'!M240=""),1,0)</f>
        <v>1</v>
      </c>
      <c r="L243" s="217">
        <f>IF(AND($A243&lt;&gt;"",'Project Overview'!U240=""),1,0)</f>
        <v>1</v>
      </c>
      <c r="M243" s="217">
        <f>IF(OR($A243="",'Project Overview'!O240="",'Project Overview'!O240="?"),1,0)</f>
        <v>1</v>
      </c>
      <c r="N243" s="217">
        <f>IF(OR($A243="",'Project Overview'!P240="", 'Project Overview'!P240="?"),1,0)</f>
        <v>1</v>
      </c>
      <c r="O243" s="217">
        <f t="shared" si="47"/>
        <v>6</v>
      </c>
      <c r="P243" s="217" t="str">
        <f t="shared" si="46"/>
        <v>REVER</v>
      </c>
    </row>
    <row r="244" spans="1:16" x14ac:dyDescent="0.3">
      <c r="A244" s="217" t="str">
        <f>""&amp;'Project Overview'!A241</f>
        <v>236</v>
      </c>
      <c r="B244" s="218" t="str">
        <f>'Project Overview'!B241</f>
        <v>Azora Store</v>
      </c>
      <c r="C244" s="218" t="str">
        <f>'Project Overview'!C241</f>
        <v>Azora Store</v>
      </c>
      <c r="D244" s="222" t="str">
        <f>'Project Overview'!R241</f>
        <v>ACTIVE</v>
      </c>
      <c r="E244" s="221" t="str">
        <f ca="1">'Project Overview'!Y241</f>
        <v>yes</v>
      </c>
      <c r="F244" s="217">
        <f>IF(OR($A244="",$B244=""),1,0)</f>
        <v>0</v>
      </c>
      <c r="G244" s="217">
        <f>IF($C244="",1,0)</f>
        <v>0</v>
      </c>
      <c r="H244" s="217">
        <f>IF(AND($A244&lt;&gt;"",'Project Overview'!D241=""),1,0)</f>
        <v>0</v>
      </c>
      <c r="I244" s="217">
        <f>IF(AND($A244&lt;&gt;"",'Project Overview'!F241=""),1,0)</f>
        <v>0</v>
      </c>
      <c r="J244" s="217">
        <f>IF(AND($A244&lt;&gt;"",OR('Project Overview'!I241="ESCO",'Project Overview'!I241="EPC",'Project Overview'!I241="ESCO BUYOUT"),'Project Overview'!K241=""),1,0)</f>
        <v>0</v>
      </c>
      <c r="K244" s="217">
        <f>IF(AND($A244&lt;&gt;"",'Project Overview'!M241=""),1,0)</f>
        <v>0</v>
      </c>
      <c r="L244" s="217">
        <f>IF(AND($A244&lt;&gt;"",'Project Overview'!U241=""),1,0)</f>
        <v>0</v>
      </c>
      <c r="M244" s="217">
        <f>IF(OR($A244="",'Project Overview'!O241="",'Project Overview'!O241="?"),1,0)</f>
        <v>0</v>
      </c>
      <c r="N244" s="217">
        <f>IF(OR($A244="",'Project Overview'!P241="", 'Project Overview'!P241="?"),1,0)</f>
        <v>1</v>
      </c>
      <c r="O244" s="217">
        <f t="shared" si="47"/>
        <v>1</v>
      </c>
      <c r="P244" s="217" t="str">
        <f t="shared" si="46"/>
        <v>REVER</v>
      </c>
    </row>
    <row r="245" spans="1:16" hidden="1" x14ac:dyDescent="0.3">
      <c r="A245" s="217" t="str">
        <f>""&amp;'Project Overview'!A242</f>
        <v>237</v>
      </c>
      <c r="B245" s="218" t="str">
        <f>'Project Overview'!B242</f>
        <v>Kyotec</v>
      </c>
      <c r="C245" s="218">
        <f>'Project Overview'!C242</f>
        <v>0</v>
      </c>
      <c r="D245" s="222" t="str">
        <f>'Project Overview'!R242</f>
        <v>ACTIVE</v>
      </c>
      <c r="E245" s="221" t="str">
        <f ca="1">'Project Overview'!Y242</f>
        <v>no</v>
      </c>
      <c r="F245" s="217">
        <f t="shared" si="44"/>
        <v>0</v>
      </c>
      <c r="G245" s="217">
        <f t="shared" si="45"/>
        <v>0</v>
      </c>
      <c r="H245" s="217">
        <f>IF(AND($A245&lt;&gt;"",'Project Overview'!D242=""),1,0)</f>
        <v>1</v>
      </c>
      <c r="I245" s="217">
        <f>IF(AND($A245&lt;&gt;"",'Project Overview'!F242=""),1,0)</f>
        <v>1</v>
      </c>
      <c r="J245" s="217">
        <f>IF(AND($A245&lt;&gt;"",OR('Project Overview'!I242="ESCO",'Project Overview'!I242="EPC",'Project Overview'!I242="ESCO BUYOUT"),'Project Overview'!K242=""),1,0)</f>
        <v>0</v>
      </c>
      <c r="K245" s="217">
        <f>IF(AND($A245&lt;&gt;"",'Project Overview'!M242=""),1,0)</f>
        <v>1</v>
      </c>
      <c r="L245" s="217">
        <f>IF(AND($A245&lt;&gt;"",'Project Overview'!U242=""),1,0)</f>
        <v>1</v>
      </c>
      <c r="M245" s="217">
        <f>IF(OR($A245="",'Project Overview'!O242="",'Project Overview'!O242="?"),1,0)</f>
        <v>1</v>
      </c>
      <c r="N245" s="217">
        <f>IF(OR($A245="",'Project Overview'!P242="", 'Project Overview'!P242="?"),1,0)</f>
        <v>1</v>
      </c>
      <c r="O245" s="217">
        <f t="shared" si="47"/>
        <v>6</v>
      </c>
      <c r="P245" s="217" t="str">
        <f t="shared" si="46"/>
        <v>REVER</v>
      </c>
    </row>
    <row r="246" spans="1:16" ht="43.2" hidden="1" x14ac:dyDescent="0.3">
      <c r="A246" s="217" t="str">
        <f>""&amp;'Project Overview'!A243</f>
        <v>238</v>
      </c>
      <c r="B246" s="218" t="str">
        <f>'Project Overview'!B243</f>
        <v>Madeiras Importadas</v>
      </c>
      <c r="C246" s="218" t="str">
        <f>'Project Overview'!C243</f>
        <v xml:space="preserve">M.I. - Madeiras Importadas, Unipessoal, Lda </v>
      </c>
      <c r="D246" s="222" t="str">
        <f>'Project Overview'!R243</f>
        <v>ACTIVE</v>
      </c>
      <c r="E246" s="221" t="str">
        <f ca="1">'Project Overview'!Y243</f>
        <v>no</v>
      </c>
      <c r="F246" s="217">
        <f t="shared" si="44"/>
        <v>0</v>
      </c>
      <c r="G246" s="217">
        <f t="shared" si="45"/>
        <v>0</v>
      </c>
      <c r="H246" s="217">
        <f>IF(AND($A246&lt;&gt;"",'Project Overview'!D243=""),1,0)</f>
        <v>0</v>
      </c>
      <c r="I246" s="217">
        <f>IF(AND($A246&lt;&gt;"",'Project Overview'!F243=""),1,0)</f>
        <v>0</v>
      </c>
      <c r="J246" s="217">
        <f>IF(AND($A246&lt;&gt;"",OR('Project Overview'!I243="ESCO",'Project Overview'!I243="EPC",'Project Overview'!I243="ESCO BUYOUT"),'Project Overview'!K243=""),1,0)</f>
        <v>1</v>
      </c>
      <c r="K246" s="217">
        <f>IF(AND($A246&lt;&gt;"",'Project Overview'!M243=""),1,0)</f>
        <v>1</v>
      </c>
      <c r="L246" s="217">
        <f>IF(AND($A246&lt;&gt;"",'Project Overview'!U243=""),1,0)</f>
        <v>0</v>
      </c>
      <c r="M246" s="217">
        <f>IF(OR($A246="",'Project Overview'!O243="",'Project Overview'!O243="?"),1,0)</f>
        <v>0</v>
      </c>
      <c r="N246" s="217">
        <f>IF(OR($A246="",'Project Overview'!P243="", 'Project Overview'!P243="?"),1,0)</f>
        <v>0</v>
      </c>
      <c r="O246" s="217">
        <f t="shared" si="47"/>
        <v>2</v>
      </c>
      <c r="P246" s="217" t="str">
        <f t="shared" si="46"/>
        <v>REVER</v>
      </c>
    </row>
    <row r="247" spans="1:16" ht="43.2" hidden="1" x14ac:dyDescent="0.3">
      <c r="A247" s="217" t="str">
        <f>""&amp;'Project Overview'!A244</f>
        <v>239</v>
      </c>
      <c r="B247" s="218" t="str">
        <f>'Project Overview'!B244</f>
        <v>Colégio da Paz</v>
      </c>
      <c r="C247" s="218" t="str">
        <f>'Project Overview'!C244</f>
        <v xml:space="preserve">PROVÍNCIA PORTUGUESA DO INSTITUTO DAS IRMÃS DE SANTA DOROTEIA </v>
      </c>
      <c r="D247" s="222" t="str">
        <f>'Project Overview'!R244</f>
        <v>ON HOLD</v>
      </c>
      <c r="E247" s="221" t="str">
        <f ca="1">'Project Overview'!Y244</f>
        <v>no</v>
      </c>
      <c r="F247" s="217">
        <f t="shared" si="44"/>
        <v>0</v>
      </c>
      <c r="G247" s="217">
        <f t="shared" si="45"/>
        <v>0</v>
      </c>
      <c r="H247" s="217">
        <f>IF(AND($A247&lt;&gt;"",'Project Overview'!D244=""),1,0)</f>
        <v>0</v>
      </c>
      <c r="I247" s="217">
        <f>IF(AND($A247&lt;&gt;"",'Project Overview'!F244=""),1,0)</f>
        <v>0</v>
      </c>
      <c r="J247" s="217">
        <f>IF(AND($A247&lt;&gt;"",OR('Project Overview'!I244="ESCO",'Project Overview'!I244="EPC",'Project Overview'!I244="ESCO BUYOUT"),'Project Overview'!K244=""),1,0)</f>
        <v>1</v>
      </c>
      <c r="K247" s="217">
        <f>IF(AND($A247&lt;&gt;"",'Project Overview'!M244=""),1,0)</f>
        <v>1</v>
      </c>
      <c r="L247" s="217">
        <f>IF(AND($A247&lt;&gt;"",'Project Overview'!U244=""),1,0)</f>
        <v>0</v>
      </c>
      <c r="M247" s="217">
        <f>IF(OR($A247="",'Project Overview'!O244="",'Project Overview'!O244="?"),1,0)</f>
        <v>0</v>
      </c>
      <c r="N247" s="217">
        <f>IF(OR($A247="",'Project Overview'!P244="", 'Project Overview'!P244="?"),1,0)</f>
        <v>0</v>
      </c>
      <c r="O247" s="217">
        <f t="shared" si="47"/>
        <v>2</v>
      </c>
      <c r="P247" s="217" t="str">
        <f t="shared" si="46"/>
        <v>REVER</v>
      </c>
    </row>
    <row r="248" spans="1:16" ht="43.2" hidden="1" x14ac:dyDescent="0.3">
      <c r="A248" s="217" t="str">
        <f>""&amp;'Project Overview'!A245</f>
        <v>240</v>
      </c>
      <c r="B248" s="218" t="str">
        <f>'Project Overview'!B245</f>
        <v>Quinta da Feteira</v>
      </c>
      <c r="C248" s="218" t="str">
        <f>'Project Overview'!C245</f>
        <v>Quinta da Feteira - Restauração e Organização de festas e eventos Lda</v>
      </c>
      <c r="D248" s="222" t="str">
        <f>'Project Overview'!R245</f>
        <v>ON HOLD</v>
      </c>
      <c r="E248" s="221" t="str">
        <f ca="1">'Project Overview'!Y245</f>
        <v>no</v>
      </c>
      <c r="F248" s="217">
        <f t="shared" si="44"/>
        <v>0</v>
      </c>
      <c r="G248" s="217">
        <f t="shared" si="45"/>
        <v>0</v>
      </c>
      <c r="H248" s="217">
        <f>IF(AND($A248&lt;&gt;"",'Project Overview'!D245=""),1,0)</f>
        <v>0</v>
      </c>
      <c r="I248" s="217">
        <f>IF(AND($A248&lt;&gt;"",'Project Overview'!F245=""),1,0)</f>
        <v>0</v>
      </c>
      <c r="J248" s="217">
        <f>IF(AND($A248&lt;&gt;"",OR('Project Overview'!I245="ESCO",'Project Overview'!I245="EPC",'Project Overview'!I245="ESCO BUYOUT"),'Project Overview'!K245=""),1,0)</f>
        <v>1</v>
      </c>
      <c r="K248" s="217">
        <f>IF(AND($A248&lt;&gt;"",'Project Overview'!M245=""),1,0)</f>
        <v>1</v>
      </c>
      <c r="L248" s="217">
        <f>IF(AND($A248&lt;&gt;"",'Project Overview'!U245=""),1,0)</f>
        <v>0</v>
      </c>
      <c r="M248" s="217">
        <f>IF(OR($A248="",'Project Overview'!O245="",'Project Overview'!O245="?"),1,0)</f>
        <v>0</v>
      </c>
      <c r="N248" s="217">
        <f>IF(OR($A248="",'Project Overview'!P245="", 'Project Overview'!P245="?"),1,0)</f>
        <v>1</v>
      </c>
      <c r="O248" s="217">
        <f t="shared" si="47"/>
        <v>3</v>
      </c>
      <c r="P248" s="217" t="str">
        <f t="shared" si="46"/>
        <v>REVER</v>
      </c>
    </row>
    <row r="249" spans="1:16" ht="43.2" hidden="1" x14ac:dyDescent="0.3">
      <c r="A249" s="217" t="str">
        <f>""&amp;'Project Overview'!A246</f>
        <v>241</v>
      </c>
      <c r="B249" s="218" t="str">
        <f>'Project Overview'!B246</f>
        <v>Legado Caixeiro Alentejano Associação Mutualista</v>
      </c>
      <c r="C249" s="218" t="str">
        <f>'Project Overview'!C246</f>
        <v>Legado do Caixeiro Alentejano - Associação Mutualista</v>
      </c>
      <c r="D249" s="222" t="str">
        <f>'Project Overview'!R246</f>
        <v>ACTIVE</v>
      </c>
      <c r="E249" s="221" t="str">
        <f ca="1">'Project Overview'!Y246</f>
        <v>yes</v>
      </c>
      <c r="F249" s="217">
        <f>IF(OR($A249="",$B249=""),1,0)</f>
        <v>0</v>
      </c>
      <c r="G249" s="217">
        <f>IF($C249="",1,0)</f>
        <v>0</v>
      </c>
      <c r="H249" s="217">
        <f>IF(AND($A249&lt;&gt;"",'Project Overview'!D246=""),1,0)</f>
        <v>0</v>
      </c>
      <c r="I249" s="217">
        <f>IF(AND($A249&lt;&gt;"",'Project Overview'!F246=""),1,0)</f>
        <v>0</v>
      </c>
      <c r="J249" s="217">
        <f>IF(AND($A249&lt;&gt;"",OR('Project Overview'!I246="ESCO",'Project Overview'!I246="EPC",'Project Overview'!I246="ESCO BUYOUT"),'Project Overview'!K246=""),1,0)</f>
        <v>0</v>
      </c>
      <c r="K249" s="217">
        <f>IF(AND($A249&lt;&gt;"",'Project Overview'!M246=""),1,0)</f>
        <v>0</v>
      </c>
      <c r="L249" s="217">
        <f>IF(AND($A249&lt;&gt;"",'Project Overview'!U246=""),1,0)</f>
        <v>0</v>
      </c>
      <c r="M249" s="217">
        <f>IF(OR($A249="",'Project Overview'!O246="",'Project Overview'!O246="?"),1,0)</f>
        <v>0</v>
      </c>
      <c r="N249" s="217">
        <f>IF(OR($A249="",'Project Overview'!P246="", 'Project Overview'!P246="?"),1,0)</f>
        <v>0</v>
      </c>
      <c r="O249" s="217">
        <f t="shared" si="47"/>
        <v>0</v>
      </c>
      <c r="P249" s="217" t="str">
        <f t="shared" si="46"/>
        <v>OK</v>
      </c>
    </row>
    <row r="250" spans="1:16" ht="28.8" hidden="1" x14ac:dyDescent="0.3">
      <c r="A250" s="217" t="str">
        <f>""&amp;'Project Overview'!A247</f>
        <v>242</v>
      </c>
      <c r="B250" s="218" t="str">
        <f>'Project Overview'!B247</f>
        <v>Pérgula Centro de Bem Estar Social de Minde</v>
      </c>
      <c r="C250" s="218" t="str">
        <f>'Project Overview'!C247</f>
        <v>Centro de Bem Estar Social de Minde</v>
      </c>
      <c r="D250" s="222" t="str">
        <f>'Project Overview'!R247</f>
        <v>ON HOLD</v>
      </c>
      <c r="E250" s="221" t="str">
        <f ca="1">'Project Overview'!Y247</f>
        <v>no</v>
      </c>
      <c r="F250" s="217">
        <f t="shared" si="44"/>
        <v>0</v>
      </c>
      <c r="G250" s="217">
        <f t="shared" si="45"/>
        <v>0</v>
      </c>
      <c r="H250" s="217">
        <f>IF(AND($A250&lt;&gt;"",'Project Overview'!D247=""),1,0)</f>
        <v>0</v>
      </c>
      <c r="I250" s="217">
        <f>IF(AND($A250&lt;&gt;"",'Project Overview'!F247=""),1,0)</f>
        <v>0</v>
      </c>
      <c r="J250" s="217">
        <f>IF(AND($A250&lt;&gt;"",OR('Project Overview'!I247="ESCO",'Project Overview'!I247="EPC",'Project Overview'!I247="ESCO BUYOUT"),'Project Overview'!K247=""),1,0)</f>
        <v>1</v>
      </c>
      <c r="K250" s="217">
        <f>IF(AND($A250&lt;&gt;"",'Project Overview'!M247=""),1,0)</f>
        <v>1</v>
      </c>
      <c r="L250" s="217">
        <f>IF(AND($A250&lt;&gt;"",'Project Overview'!U247=""),1,0)</f>
        <v>0</v>
      </c>
      <c r="M250" s="217">
        <f>IF(OR($A250="",'Project Overview'!O247="",'Project Overview'!O247="?"),1,0)</f>
        <v>1</v>
      </c>
      <c r="N250" s="217">
        <f>IF(OR($A250="",'Project Overview'!P247="", 'Project Overview'!P247="?"),1,0)</f>
        <v>1</v>
      </c>
      <c r="O250" s="217">
        <f t="shared" si="47"/>
        <v>4</v>
      </c>
      <c r="P250" s="217" t="str">
        <f t="shared" si="46"/>
        <v>REVER</v>
      </c>
    </row>
    <row r="251" spans="1:16" ht="28.8" hidden="1" x14ac:dyDescent="0.3">
      <c r="A251" s="217" t="str">
        <f>""&amp;'Project Overview'!A248</f>
        <v>243</v>
      </c>
      <c r="B251" s="218" t="str">
        <f>'Project Overview'!B248</f>
        <v>BV Palmela</v>
      </c>
      <c r="C251" s="218" t="str">
        <f>'Project Overview'!C248</f>
        <v>Associação Humanitária de Bombeiros de Palmela</v>
      </c>
      <c r="D251" s="221" t="str">
        <f>'Project Overview'!R248</f>
        <v>ON HOLD</v>
      </c>
      <c r="E251" s="221" t="str">
        <f ca="1">'Project Overview'!Y248</f>
        <v>no</v>
      </c>
      <c r="F251" s="217">
        <f t="shared" si="44"/>
        <v>0</v>
      </c>
      <c r="G251" s="217">
        <f t="shared" si="45"/>
        <v>0</v>
      </c>
      <c r="H251" s="217">
        <f>IF(AND($A251&lt;&gt;"",'Project Overview'!D248=""),1,0)</f>
        <v>0</v>
      </c>
      <c r="I251" s="217">
        <f>IF(AND($A251&lt;&gt;"",'Project Overview'!F248=""),1,0)</f>
        <v>0</v>
      </c>
      <c r="J251" s="217">
        <f>IF(AND($A251&lt;&gt;"",OR('Project Overview'!I248="ESCO",'Project Overview'!I248="EPC",'Project Overview'!I248="ESCO BUYOUT"),'Project Overview'!K248=""),1,0)</f>
        <v>1</v>
      </c>
      <c r="K251" s="217">
        <f>IF(AND($A251&lt;&gt;"",'Project Overview'!M248=""),1,0)</f>
        <v>1</v>
      </c>
      <c r="L251" s="217">
        <f>IF(AND($A251&lt;&gt;"",'Project Overview'!U248=""),1,0)</f>
        <v>0</v>
      </c>
      <c r="M251" s="217">
        <f>IF(OR($A251="",'Project Overview'!O248="",'Project Overview'!O248="?"),1,0)</f>
        <v>0</v>
      </c>
      <c r="N251" s="217">
        <f>IF(OR($A251="",'Project Overview'!P248="", 'Project Overview'!P248="?"),1,0)</f>
        <v>1</v>
      </c>
      <c r="O251" s="217">
        <f t="shared" si="47"/>
        <v>3</v>
      </c>
      <c r="P251" s="217" t="str">
        <f t="shared" si="46"/>
        <v>REVER</v>
      </c>
    </row>
    <row r="252" spans="1:16" hidden="1" x14ac:dyDescent="0.3">
      <c r="A252" s="217" t="str">
        <f>""&amp;'Project Overview'!A249</f>
        <v>244</v>
      </c>
      <c r="B252" s="218" t="str">
        <f>'Project Overview'!B249</f>
        <v>Granisul</v>
      </c>
      <c r="C252" s="218">
        <f>'Project Overview'!C249</f>
        <v>0</v>
      </c>
      <c r="D252" s="221" t="str">
        <f>'Project Overview'!R249</f>
        <v>ON HOLD</v>
      </c>
      <c r="E252" s="221" t="str">
        <f ca="1">'Project Overview'!Y249</f>
        <v>no</v>
      </c>
      <c r="F252" s="217">
        <f t="shared" si="44"/>
        <v>0</v>
      </c>
      <c r="G252" s="217">
        <f t="shared" si="45"/>
        <v>0</v>
      </c>
      <c r="H252" s="217">
        <f>IF(AND($A252&lt;&gt;"",'Project Overview'!D249=""),1,0)</f>
        <v>1</v>
      </c>
      <c r="I252" s="217">
        <f>IF(AND($A252&lt;&gt;"",'Project Overview'!F249=""),1,0)</f>
        <v>1</v>
      </c>
      <c r="J252" s="217">
        <f>IF(AND($A252&lt;&gt;"",OR('Project Overview'!I249="ESCO",'Project Overview'!I249="EPC",'Project Overview'!I249="ESCO BUYOUT"),'Project Overview'!K249=""),1,0)</f>
        <v>0</v>
      </c>
      <c r="K252" s="217">
        <f>IF(AND($A252&lt;&gt;"",'Project Overview'!M249=""),1,0)</f>
        <v>1</v>
      </c>
      <c r="L252" s="217">
        <f>IF(AND($A252&lt;&gt;"",'Project Overview'!U249=""),1,0)</f>
        <v>1</v>
      </c>
      <c r="M252" s="217">
        <f>IF(OR($A252="",'Project Overview'!O249="",'Project Overview'!O249="?"),1,0)</f>
        <v>1</v>
      </c>
      <c r="N252" s="217">
        <f>IF(OR($A252="",'Project Overview'!P249="", 'Project Overview'!P249="?"),1,0)</f>
        <v>1</v>
      </c>
      <c r="O252" s="217">
        <f t="shared" si="47"/>
        <v>6</v>
      </c>
      <c r="P252" s="217" t="str">
        <f t="shared" si="46"/>
        <v>REVER</v>
      </c>
    </row>
    <row r="253" spans="1:16" hidden="1" x14ac:dyDescent="0.3">
      <c r="A253" s="217" t="str">
        <f>""&amp;'Project Overview'!A250</f>
        <v>extra</v>
      </c>
      <c r="B253" s="218" t="str">
        <f>'Project Overview'!B250</f>
        <v>El Faro Yelmo</v>
      </c>
      <c r="C253" s="218" t="str">
        <f>'Project Overview'!C250</f>
        <v>Centro Comercial El Faro</v>
      </c>
      <c r="D253" s="221" t="str">
        <f>'Project Overview'!R250</f>
        <v>ACTIVE</v>
      </c>
      <c r="E253" s="221" t="str">
        <f ca="1">'Project Overview'!Y250</f>
        <v>yes</v>
      </c>
      <c r="F253" s="217">
        <f t="shared" ref="F253:F255" si="50">IF(OR($A253="",$B253=""),1,0)</f>
        <v>0</v>
      </c>
      <c r="G253" s="217">
        <f t="shared" ref="G253:G255" si="51">IF($C253="",1,0)</f>
        <v>0</v>
      </c>
      <c r="H253" s="217">
        <f>IF(AND($A253&lt;&gt;"",'Project Overview'!D250=""),1,0)</f>
        <v>0</v>
      </c>
      <c r="I253" s="217">
        <f>IF(AND($A253&lt;&gt;"",'Project Overview'!F250=""),1,0)</f>
        <v>0</v>
      </c>
      <c r="J253" s="217">
        <f>IF(AND($A253&lt;&gt;"",OR('Project Overview'!I250="ESCO",'Project Overview'!I250="EPC",'Project Overview'!I250="ESCO BUYOUT"),'Project Overview'!K250=""),1,0)</f>
        <v>0</v>
      </c>
      <c r="K253" s="217">
        <f>IF(AND($A253&lt;&gt;"",'Project Overview'!M250=""),1,0)</f>
        <v>0</v>
      </c>
      <c r="L253" s="217">
        <f>IF(AND($A253&lt;&gt;"",'Project Overview'!U250=""),1,0)</f>
        <v>0</v>
      </c>
      <c r="M253" s="217">
        <f>IF(OR($A253="",'Project Overview'!O250="",'Project Overview'!O250="?"),1,0)</f>
        <v>0</v>
      </c>
      <c r="N253" s="217">
        <f>IF(OR($A253="",'Project Overview'!P250="", 'Project Overview'!P250="?"),1,0)</f>
        <v>0</v>
      </c>
      <c r="O253" s="217">
        <f t="shared" si="47"/>
        <v>0</v>
      </c>
      <c r="P253" s="217" t="str">
        <f t="shared" si="46"/>
        <v>OK</v>
      </c>
    </row>
    <row r="254" spans="1:16" hidden="1" x14ac:dyDescent="0.3">
      <c r="A254" s="217" t="str">
        <f>""&amp;'Project Overview'!A251</f>
        <v>extra</v>
      </c>
      <c r="B254" s="218" t="str">
        <f>'Project Overview'!B251</f>
        <v>El Faro Cactus</v>
      </c>
      <c r="C254" s="218" t="str">
        <f>'Project Overview'!C251</f>
        <v>Centro Comercial El Faro</v>
      </c>
      <c r="D254" s="221" t="str">
        <f>'Project Overview'!R251</f>
        <v>ACTIVE</v>
      </c>
      <c r="E254" s="221" t="str">
        <f ca="1">'Project Overview'!Y251</f>
        <v>yes</v>
      </c>
      <c r="F254" s="217">
        <f t="shared" si="50"/>
        <v>0</v>
      </c>
      <c r="G254" s="217">
        <f t="shared" si="51"/>
        <v>0</v>
      </c>
      <c r="H254" s="217">
        <f>IF(AND($A254&lt;&gt;"",'Project Overview'!D251=""),1,0)</f>
        <v>0</v>
      </c>
      <c r="I254" s="217">
        <f>IF(AND($A254&lt;&gt;"",'Project Overview'!F251=""),1,0)</f>
        <v>0</v>
      </c>
      <c r="J254" s="217">
        <f>IF(AND($A254&lt;&gt;"",OR('Project Overview'!I251="ESCO",'Project Overview'!I251="EPC",'Project Overview'!I251="ESCO BUYOUT"),'Project Overview'!K251=""),1,0)</f>
        <v>0</v>
      </c>
      <c r="K254" s="217">
        <f>IF(AND($A254&lt;&gt;"",'Project Overview'!M251=""),1,0)</f>
        <v>0</v>
      </c>
      <c r="L254" s="217">
        <f>IF(AND($A254&lt;&gt;"",'Project Overview'!U251=""),1,0)</f>
        <v>0</v>
      </c>
      <c r="M254" s="217">
        <f>IF(OR($A254="",'Project Overview'!O251="",'Project Overview'!O251="?"),1,0)</f>
        <v>0</v>
      </c>
      <c r="N254" s="217">
        <f>IF(OR($A254="",'Project Overview'!P251="", 'Project Overview'!P251="?"),1,0)</f>
        <v>0</v>
      </c>
      <c r="O254" s="217">
        <f t="shared" si="47"/>
        <v>0</v>
      </c>
      <c r="P254" s="217" t="str">
        <f t="shared" si="46"/>
        <v>OK</v>
      </c>
    </row>
    <row r="255" spans="1:16" hidden="1" x14ac:dyDescent="0.3">
      <c r="A255" s="217" t="str">
        <f>""&amp;'Project Overview'!A252</f>
        <v>extra</v>
      </c>
      <c r="B255" s="218" t="str">
        <f>'Project Overview'!B252</f>
        <v>El Faro Revamp</v>
      </c>
      <c r="C255" s="218" t="str">
        <f>'Project Overview'!C252</f>
        <v>Centro Comercial El Faro</v>
      </c>
      <c r="D255" s="221" t="str">
        <f>'Project Overview'!R252</f>
        <v>ACTIVE</v>
      </c>
      <c r="E255" s="221" t="str">
        <f ca="1">'Project Overview'!Y252</f>
        <v>yes</v>
      </c>
      <c r="F255" s="217">
        <f t="shared" si="50"/>
        <v>0</v>
      </c>
      <c r="G255" s="217">
        <f t="shared" si="51"/>
        <v>0</v>
      </c>
      <c r="H255" s="217">
        <f>IF(AND($A255&lt;&gt;"",'Project Overview'!D252=""),1,0)</f>
        <v>0</v>
      </c>
      <c r="I255" s="217">
        <f>IF(AND($A255&lt;&gt;"",'Project Overview'!F252=""),1,0)</f>
        <v>0</v>
      </c>
      <c r="J255" s="217">
        <f>IF(AND($A255&lt;&gt;"",OR('Project Overview'!I252="ESCO",'Project Overview'!I252="EPC",'Project Overview'!I252="ESCO BUYOUT"),'Project Overview'!K252=""),1,0)</f>
        <v>0</v>
      </c>
      <c r="K255" s="217">
        <f>IF(AND($A255&lt;&gt;"",'Project Overview'!M252=""),1,0)</f>
        <v>0</v>
      </c>
      <c r="L255" s="217">
        <f>IF(AND($A255&lt;&gt;"",'Project Overview'!U252=""),1,0)</f>
        <v>0</v>
      </c>
      <c r="M255" s="217">
        <f>IF(OR($A255="",'Project Overview'!O252="",'Project Overview'!O252="?"),1,0)</f>
        <v>0</v>
      </c>
      <c r="N255" s="217">
        <f>IF(OR($A255="",'Project Overview'!P252="", 'Project Overview'!P252="?"),1,0)</f>
        <v>0</v>
      </c>
      <c r="O255" s="217">
        <f t="shared" si="47"/>
        <v>0</v>
      </c>
      <c r="P255" s="217" t="str">
        <f t="shared" si="46"/>
        <v>OK</v>
      </c>
    </row>
    <row r="256" spans="1:16" ht="28.8" hidden="1" x14ac:dyDescent="0.3">
      <c r="A256" s="217" t="str">
        <f>""&amp;'Project Overview'!A253</f>
        <v>245</v>
      </c>
      <c r="B256" s="218" t="str">
        <f>'Project Overview'!B253</f>
        <v>Jetesetecar Expansão</v>
      </c>
      <c r="C256" s="218" t="str">
        <f>'Project Overview'!C253</f>
        <v>Jetesetecar - Equipamentos Auto Lda</v>
      </c>
      <c r="D256" s="221" t="str">
        <f>'Project Overview'!R253</f>
        <v>ACTIVE</v>
      </c>
      <c r="E256" s="221" t="str">
        <f ca="1">'Project Overview'!Y253</f>
        <v>no</v>
      </c>
      <c r="F256" s="217">
        <f t="shared" si="44"/>
        <v>0</v>
      </c>
      <c r="G256" s="217">
        <f t="shared" si="45"/>
        <v>0</v>
      </c>
      <c r="H256" s="217">
        <f>IF(AND($A256&lt;&gt;"",'Project Overview'!D253=""),1,0)</f>
        <v>0</v>
      </c>
      <c r="I256" s="217">
        <f>IF(AND($A256&lt;&gt;"",'Project Overview'!F253=""),1,0)</f>
        <v>0</v>
      </c>
      <c r="J256" s="217">
        <f>IF(AND($A256&lt;&gt;"",OR('Project Overview'!I253="ESCO",'Project Overview'!I253="EPC",'Project Overview'!I253="ESCO BUYOUT"),'Project Overview'!K253=""),1,0)</f>
        <v>0</v>
      </c>
      <c r="K256" s="217">
        <f>IF(AND($A256&lt;&gt;"",'Project Overview'!M253=""),1,0)</f>
        <v>1</v>
      </c>
      <c r="L256" s="217">
        <f>IF(AND($A256&lt;&gt;"",'Project Overview'!U253=""),1,0)</f>
        <v>0</v>
      </c>
      <c r="M256" s="217">
        <f>IF(OR($A256="",'Project Overview'!O253="",'Project Overview'!O253="?"),1,0)</f>
        <v>0</v>
      </c>
      <c r="N256" s="217">
        <f>IF(OR($A256="",'Project Overview'!P253="", 'Project Overview'!P253="?"),1,0)</f>
        <v>0</v>
      </c>
      <c r="O256" s="217">
        <f t="shared" si="47"/>
        <v>1</v>
      </c>
      <c r="P256" s="217" t="str">
        <f t="shared" si="46"/>
        <v>REVER</v>
      </c>
    </row>
    <row r="257" spans="1:16" hidden="1" x14ac:dyDescent="0.3">
      <c r="A257" s="217" t="str">
        <f>""&amp;'Project Overview'!A254</f>
        <v>246</v>
      </c>
      <c r="B257" s="218" t="str">
        <f>'Project Overview'!B254</f>
        <v>Loureshopping</v>
      </c>
      <c r="C257" s="218">
        <f>'Project Overview'!C254</f>
        <v>0</v>
      </c>
      <c r="D257" s="221">
        <f>'Project Overview'!R254</f>
        <v>0</v>
      </c>
      <c r="E257" s="221" t="str">
        <f ca="1">'Project Overview'!Y254</f>
        <v>no</v>
      </c>
      <c r="F257" s="217">
        <f t="shared" si="44"/>
        <v>0</v>
      </c>
      <c r="G257" s="217">
        <f t="shared" si="45"/>
        <v>0</v>
      </c>
      <c r="H257" s="217">
        <f>IF(AND($A257&lt;&gt;"",'Project Overview'!D254=""),1,0)</f>
        <v>1</v>
      </c>
      <c r="I257" s="217">
        <f>IF(AND($A257&lt;&gt;"",'Project Overview'!F254=""),1,0)</f>
        <v>1</v>
      </c>
      <c r="J257" s="217">
        <f>IF(AND($A257&lt;&gt;"",OR('Project Overview'!I254="ESCO",'Project Overview'!I254="EPC",'Project Overview'!I254="ESCO BUYOUT"),'Project Overview'!K254=""),1,0)</f>
        <v>0</v>
      </c>
      <c r="K257" s="217">
        <f>IF(AND($A257&lt;&gt;"",'Project Overview'!M254=""),1,0)</f>
        <v>1</v>
      </c>
      <c r="L257" s="217">
        <f>IF(AND($A257&lt;&gt;"",'Project Overview'!U254=""),1,0)</f>
        <v>1</v>
      </c>
      <c r="M257" s="217">
        <f>IF(OR($A257="",'Project Overview'!O254="",'Project Overview'!O254="?"),1,0)</f>
        <v>1</v>
      </c>
      <c r="N257" s="217">
        <f>IF(OR($A257="",'Project Overview'!P254="", 'Project Overview'!P254="?"),1,0)</f>
        <v>1</v>
      </c>
      <c r="O257" s="217">
        <f t="shared" si="47"/>
        <v>6</v>
      </c>
      <c r="P257" s="217" t="str">
        <f t="shared" si="46"/>
        <v>REVER</v>
      </c>
    </row>
    <row r="258" spans="1:16" ht="28.8" hidden="1" x14ac:dyDescent="0.3">
      <c r="A258" s="217" t="str">
        <f>""&amp;'Project Overview'!A255</f>
        <v>247</v>
      </c>
      <c r="B258" s="218" t="str">
        <f>'Project Overview'!B255</f>
        <v>Lopal</v>
      </c>
      <c r="C258" s="218" t="str">
        <f>'Project Overview'!C255</f>
        <v>Lopal Agricultura e Pecuária SA</v>
      </c>
      <c r="D258" s="221" t="str">
        <f>'Project Overview'!R255</f>
        <v>ACTIVE</v>
      </c>
      <c r="E258" s="221" t="str">
        <f ca="1">'Project Overview'!Y255</f>
        <v>no</v>
      </c>
      <c r="F258" s="217">
        <f t="shared" si="44"/>
        <v>0</v>
      </c>
      <c r="G258" s="217">
        <f t="shared" si="45"/>
        <v>0</v>
      </c>
      <c r="H258" s="217">
        <f>IF(AND($A258&lt;&gt;"",'Project Overview'!D255=""),1,0)</f>
        <v>0</v>
      </c>
      <c r="I258" s="217">
        <f>IF(AND($A258&lt;&gt;"",'Project Overview'!F255=""),1,0)</f>
        <v>0</v>
      </c>
      <c r="J258" s="217">
        <f>IF(AND($A258&lt;&gt;"",OR('Project Overview'!I255="ESCO",'Project Overview'!I255="EPC",'Project Overview'!I255="ESCO BUYOUT"),'Project Overview'!K255=""),1,0)</f>
        <v>0</v>
      </c>
      <c r="K258" s="217">
        <f>IF(AND($A258&lt;&gt;"",'Project Overview'!M255=""),1,0)</f>
        <v>1</v>
      </c>
      <c r="L258" s="217">
        <f>IF(AND($A258&lt;&gt;"",'Project Overview'!U255=""),1,0)</f>
        <v>0</v>
      </c>
      <c r="M258" s="217">
        <f>IF(OR($A258="",'Project Overview'!O255="",'Project Overview'!O255="?"),1,0)</f>
        <v>1</v>
      </c>
      <c r="N258" s="217">
        <f>IF(OR($A258="",'Project Overview'!P255="", 'Project Overview'!P255="?"),1,0)</f>
        <v>1</v>
      </c>
      <c r="O258" s="217">
        <f t="shared" si="47"/>
        <v>3</v>
      </c>
      <c r="P258" s="217" t="str">
        <f t="shared" si="46"/>
        <v>REVER</v>
      </c>
    </row>
    <row r="259" spans="1:16" hidden="1" x14ac:dyDescent="0.3">
      <c r="A259" s="217" t="str">
        <f>""&amp;'Project Overview'!A256</f>
        <v>248</v>
      </c>
      <c r="B259" s="218" t="str">
        <f>'Project Overview'!B256</f>
        <v>Expertcom</v>
      </c>
      <c r="C259" s="218" t="str">
        <f>'Project Overview'!C256</f>
        <v>Expertcom</v>
      </c>
      <c r="D259" s="221">
        <f>'Project Overview'!R256</f>
        <v>0</v>
      </c>
      <c r="E259" s="221" t="str">
        <f ca="1">'Project Overview'!Y256</f>
        <v>no</v>
      </c>
      <c r="F259" s="217">
        <f t="shared" si="44"/>
        <v>0</v>
      </c>
      <c r="G259" s="217">
        <f t="shared" si="45"/>
        <v>0</v>
      </c>
      <c r="H259" s="217">
        <f>IF(AND($A259&lt;&gt;"",'Project Overview'!D256=""),1,0)</f>
        <v>0</v>
      </c>
      <c r="I259" s="217">
        <f>IF(AND($A259&lt;&gt;"",'Project Overview'!F256=""),1,0)</f>
        <v>0</v>
      </c>
      <c r="J259" s="217">
        <f>IF(AND($A259&lt;&gt;"",OR('Project Overview'!I256="ESCO",'Project Overview'!I256="EPC",'Project Overview'!I256="ESCO BUYOUT"),'Project Overview'!K256=""),1,0)</f>
        <v>0</v>
      </c>
      <c r="K259" s="217">
        <f>IF(AND($A259&lt;&gt;"",'Project Overview'!M256=""),1,0)</f>
        <v>1</v>
      </c>
      <c r="L259" s="217">
        <f>IF(AND($A259&lt;&gt;"",'Project Overview'!U256=""),1,0)</f>
        <v>0</v>
      </c>
      <c r="M259" s="217">
        <f>IF(OR($A259="",'Project Overview'!O256="",'Project Overview'!O256="?"),1,0)</f>
        <v>0</v>
      </c>
      <c r="N259" s="217">
        <f>IF(OR($A259="",'Project Overview'!P256="", 'Project Overview'!P256="?"),1,0)</f>
        <v>0</v>
      </c>
      <c r="O259" s="217">
        <f t="shared" si="47"/>
        <v>1</v>
      </c>
      <c r="P259" s="217" t="str">
        <f t="shared" si="46"/>
        <v>REVER</v>
      </c>
    </row>
    <row r="260" spans="1:16" hidden="1" x14ac:dyDescent="0.3">
      <c r="A260" s="217" t="str">
        <f>""&amp;'Project Overview'!A257</f>
        <v>249</v>
      </c>
      <c r="B260" s="218" t="str">
        <f>'Project Overview'!B257</f>
        <v>Agrocate</v>
      </c>
      <c r="C260" s="218" t="str">
        <f>'Project Overview'!C257</f>
        <v>Agrocate LDA</v>
      </c>
      <c r="D260" s="221">
        <f>'Project Overview'!R257</f>
        <v>0</v>
      </c>
      <c r="E260" s="221" t="str">
        <f ca="1">'Project Overview'!Y257</f>
        <v>no</v>
      </c>
      <c r="F260" s="217">
        <f t="shared" si="44"/>
        <v>0</v>
      </c>
      <c r="G260" s="217">
        <f t="shared" si="45"/>
        <v>0</v>
      </c>
      <c r="H260" s="217">
        <f>IF(AND($A260&lt;&gt;"",'Project Overview'!D257=""),1,0)</f>
        <v>0</v>
      </c>
      <c r="I260" s="217">
        <f>IF(AND($A260&lt;&gt;"",'Project Overview'!F257=""),1,0)</f>
        <v>0</v>
      </c>
      <c r="J260" s="217">
        <f>IF(AND($A260&lt;&gt;"",OR('Project Overview'!I257="ESCO",'Project Overview'!I257="EPC",'Project Overview'!I257="ESCO BUYOUT"),'Project Overview'!K257=""),1,0)</f>
        <v>1</v>
      </c>
      <c r="K260" s="217">
        <f>IF(AND($A260&lt;&gt;"",'Project Overview'!M257=""),1,0)</f>
        <v>1</v>
      </c>
      <c r="L260" s="217">
        <f>IF(AND($A260&lt;&gt;"",'Project Overview'!U257=""),1,0)</f>
        <v>1</v>
      </c>
      <c r="M260" s="217">
        <f>IF(OR($A260="",'Project Overview'!O257="",'Project Overview'!O257="?"),1,0)</f>
        <v>0</v>
      </c>
      <c r="N260" s="217">
        <f>IF(OR($A260="",'Project Overview'!P257="", 'Project Overview'!P257="?"),1,0)</f>
        <v>0</v>
      </c>
      <c r="O260" s="217">
        <f t="shared" si="47"/>
        <v>3</v>
      </c>
      <c r="P260" s="217" t="str">
        <f t="shared" si="46"/>
        <v>REVER</v>
      </c>
    </row>
    <row r="261" spans="1:16" hidden="1" x14ac:dyDescent="0.3">
      <c r="A261" s="217" t="str">
        <f>""&amp;'Project Overview'!A258</f>
        <v>250</v>
      </c>
      <c r="B261" s="218" t="str">
        <f>'Project Overview'!B258</f>
        <v>Nuvem Maravilha</v>
      </c>
      <c r="C261" s="218" t="str">
        <f>'Project Overview'!C258</f>
        <v>Nuvem Maravilha Lda</v>
      </c>
      <c r="D261" s="221">
        <f>'Project Overview'!R258</f>
        <v>0</v>
      </c>
      <c r="E261" s="221" t="str">
        <f ca="1">'Project Overview'!Y258</f>
        <v>no</v>
      </c>
      <c r="F261" s="217">
        <f t="shared" ref="F261:F267" si="52">IF(AND($A261&lt;&gt;"",$B261=""),1,0)</f>
        <v>0</v>
      </c>
      <c r="G261" s="217">
        <f t="shared" ref="G261:G267" si="53">IF(AND($A261&lt;&gt;"",$C261=""),1,0)</f>
        <v>0</v>
      </c>
      <c r="H261" s="217">
        <f>IF(AND($A261&lt;&gt;"",'Project Overview'!D258=""),1,0)</f>
        <v>0</v>
      </c>
      <c r="I261" s="217">
        <f>IF(AND($A261&lt;&gt;"",'Project Overview'!F258=""),1,0)</f>
        <v>0</v>
      </c>
      <c r="J261" s="217">
        <f>IF(AND($A261&lt;&gt;"",OR('Project Overview'!I258="ESCO",'Project Overview'!I258="EPC",'Project Overview'!I258="ESCO BUYOUT"),'Project Overview'!K258=""),1,0)</f>
        <v>0</v>
      </c>
      <c r="K261" s="217">
        <f>IF(AND($A261&lt;&gt;"",'Project Overview'!M258=""),1,0)</f>
        <v>1</v>
      </c>
      <c r="L261" s="217">
        <f>IF(AND($A261&lt;&gt;"",'Project Overview'!U258=""),1,0)</f>
        <v>1</v>
      </c>
      <c r="M261" s="217">
        <f>IF(OR($A261="",'Project Overview'!O258="",'Project Overview'!O258="?"),1,0)</f>
        <v>0</v>
      </c>
      <c r="N261" s="217">
        <f>IF(OR($A261="",'Project Overview'!P258="", 'Project Overview'!P258="?"),1,0)</f>
        <v>0</v>
      </c>
      <c r="O261" s="217">
        <f t="shared" si="47"/>
        <v>2</v>
      </c>
      <c r="P261" s="217" t="str">
        <f t="shared" ref="P261:P324" si="54">IF($A261="","",IF($O261=0,"OK","REVER"))</f>
        <v>REVER</v>
      </c>
    </row>
    <row r="262" spans="1:16" hidden="1" x14ac:dyDescent="0.3">
      <c r="A262" s="217" t="str">
        <f>""&amp;'Project Overview'!A259</f>
        <v>251</v>
      </c>
      <c r="B262" s="218" t="str">
        <f>'Project Overview'!B259</f>
        <v>Hotel Falésia</v>
      </c>
      <c r="C262" s="218" t="str">
        <f>'Project Overview'!C259</f>
        <v>Hotel Falésia SGPS Lda</v>
      </c>
      <c r="D262" s="221">
        <f>'Project Overview'!R259</f>
        <v>0</v>
      </c>
      <c r="E262" s="221" t="str">
        <f ca="1">'Project Overview'!Y259</f>
        <v>no</v>
      </c>
      <c r="F262" s="217">
        <f t="shared" si="52"/>
        <v>0</v>
      </c>
      <c r="G262" s="217">
        <f t="shared" si="53"/>
        <v>0</v>
      </c>
      <c r="H262" s="217">
        <f>IF(AND($A262&lt;&gt;"",'Project Overview'!D259=""),1,0)</f>
        <v>0</v>
      </c>
      <c r="I262" s="217">
        <f>IF(AND($A262&lt;&gt;"",'Project Overview'!F259=""),1,0)</f>
        <v>0</v>
      </c>
      <c r="J262" s="217">
        <f>IF(AND($A262&lt;&gt;"",OR('Project Overview'!I259="ESCO",'Project Overview'!I259="EPC",'Project Overview'!I259="ESCO BUYOUT"),'Project Overview'!K259=""),1,0)</f>
        <v>0</v>
      </c>
      <c r="K262" s="217">
        <f>IF(AND($A262&lt;&gt;"",'Project Overview'!M259=""),1,0)</f>
        <v>1</v>
      </c>
      <c r="L262" s="217">
        <f>IF(AND($A262&lt;&gt;"",'Project Overview'!U259=""),1,0)</f>
        <v>0</v>
      </c>
      <c r="M262" s="217">
        <f>IF(OR($A262="",'Project Overview'!O259="",'Project Overview'!O259="?"),1,0)</f>
        <v>0</v>
      </c>
      <c r="N262" s="217">
        <f>IF(OR($A262="",'Project Overview'!P259="", 'Project Overview'!P259="?"),1,0)</f>
        <v>0</v>
      </c>
      <c r="O262" s="217">
        <f t="shared" ref="O262:O325" si="55">SUM(F262:N262)</f>
        <v>1</v>
      </c>
      <c r="P262" s="217" t="str">
        <f t="shared" si="54"/>
        <v>REVER</v>
      </c>
    </row>
    <row r="263" spans="1:16" ht="28.8" hidden="1" x14ac:dyDescent="0.3">
      <c r="A263" s="217" t="str">
        <f>""&amp;'Project Overview'!A260</f>
        <v>252</v>
      </c>
      <c r="B263" s="218" t="str">
        <f>'Project Overview'!B260</f>
        <v>Residência Azeitão Number 2</v>
      </c>
      <c r="C263" s="218" t="str">
        <f>'Project Overview'!C260</f>
        <v>Number two Lda</v>
      </c>
      <c r="D263" s="221">
        <f>'Project Overview'!R260</f>
        <v>0</v>
      </c>
      <c r="E263" s="221" t="str">
        <f ca="1">'Project Overview'!Y260</f>
        <v>no</v>
      </c>
      <c r="F263" s="217">
        <f t="shared" si="52"/>
        <v>0</v>
      </c>
      <c r="G263" s="217">
        <f t="shared" si="53"/>
        <v>0</v>
      </c>
      <c r="H263" s="217">
        <f>IF(AND($A263&lt;&gt;"",'Project Overview'!D260=""),1,0)</f>
        <v>0</v>
      </c>
      <c r="I263" s="217">
        <f>IF(AND($A263&lt;&gt;"",'Project Overview'!F260=""),1,0)</f>
        <v>0</v>
      </c>
      <c r="J263" s="217">
        <f>IF(AND($A263&lt;&gt;"",OR('Project Overview'!I260="ESCO",'Project Overview'!I260="EPC",'Project Overview'!I260="ESCO BUYOUT"),'Project Overview'!K260=""),1,0)</f>
        <v>0</v>
      </c>
      <c r="K263" s="217">
        <f>IF(AND($A263&lt;&gt;"",'Project Overview'!M260=""),1,0)</f>
        <v>1</v>
      </c>
      <c r="L263" s="217">
        <f>IF(AND($A263&lt;&gt;"",'Project Overview'!U260=""),1,0)</f>
        <v>0</v>
      </c>
      <c r="M263" s="217">
        <f>IF(OR($A263="",'Project Overview'!O260="",'Project Overview'!O260="?"),1,0)</f>
        <v>1</v>
      </c>
      <c r="N263" s="217">
        <f>IF(OR($A263="",'Project Overview'!P260="", 'Project Overview'!P260="?"),1,0)</f>
        <v>1</v>
      </c>
      <c r="O263" s="217">
        <f t="shared" si="55"/>
        <v>3</v>
      </c>
      <c r="P263" s="217" t="str">
        <f t="shared" si="54"/>
        <v>REVER</v>
      </c>
    </row>
    <row r="264" spans="1:16" hidden="1" x14ac:dyDescent="0.3">
      <c r="A264" s="217" t="str">
        <f>""&amp;'Project Overview'!A261</f>
        <v>253</v>
      </c>
      <c r="B264" s="218" t="str">
        <f>'Project Overview'!B261</f>
        <v>Casa Hotel falésia</v>
      </c>
      <c r="C264" s="218" t="str">
        <f>'Project Overview'!C261</f>
        <v>Hotel Falésia SGPS Lda</v>
      </c>
      <c r="D264" s="221">
        <f>'Project Overview'!R261</f>
        <v>0</v>
      </c>
      <c r="E264" s="221" t="str">
        <f ca="1">'Project Overview'!Y261</f>
        <v>no</v>
      </c>
      <c r="F264" s="217">
        <f t="shared" si="52"/>
        <v>0</v>
      </c>
      <c r="G264" s="217">
        <f t="shared" si="53"/>
        <v>0</v>
      </c>
      <c r="H264" s="217">
        <f>IF(AND($A264&lt;&gt;"",'Project Overview'!D261=""),1,0)</f>
        <v>0</v>
      </c>
      <c r="I264" s="217">
        <f>IF(AND($A264&lt;&gt;"",'Project Overview'!F261=""),1,0)</f>
        <v>0</v>
      </c>
      <c r="J264" s="217">
        <f>IF(AND($A264&lt;&gt;"",OR('Project Overview'!I261="ESCO",'Project Overview'!I261="EPC",'Project Overview'!I261="ESCO BUYOUT"),'Project Overview'!K261=""),1,0)</f>
        <v>0</v>
      </c>
      <c r="K264" s="217">
        <f>IF(AND($A264&lt;&gt;"",'Project Overview'!M261=""),1,0)</f>
        <v>1</v>
      </c>
      <c r="L264" s="217">
        <f>IF(AND($A264&lt;&gt;"",'Project Overview'!U261=""),1,0)</f>
        <v>0</v>
      </c>
      <c r="M264" s="217">
        <f>IF(OR($A264="",'Project Overview'!O261="",'Project Overview'!O261="?"),1,0)</f>
        <v>0</v>
      </c>
      <c r="N264" s="217">
        <f>IF(OR($A264="",'Project Overview'!P261="", 'Project Overview'!P261="?"),1,0)</f>
        <v>0</v>
      </c>
      <c r="O264" s="217">
        <f t="shared" si="55"/>
        <v>1</v>
      </c>
      <c r="P264" s="217" t="str">
        <f t="shared" si="54"/>
        <v>REVER</v>
      </c>
    </row>
    <row r="265" spans="1:16" ht="28.8" hidden="1" x14ac:dyDescent="0.3">
      <c r="A265" s="217" t="str">
        <f>""&amp;'Project Overview'!A262</f>
        <v>254</v>
      </c>
      <c r="B265" s="218" t="str">
        <f>'Project Overview'!B262</f>
        <v>Casa Cascais (hotel falésia)</v>
      </c>
      <c r="C265" s="218" t="str">
        <f>'Project Overview'!C262</f>
        <v>Hotel Falésia SGPS Lda</v>
      </c>
      <c r="D265" s="221">
        <f>'Project Overview'!R262</f>
        <v>0</v>
      </c>
      <c r="E265" s="221" t="str">
        <f ca="1">'Project Overview'!Y262</f>
        <v>no</v>
      </c>
      <c r="F265" s="217">
        <f t="shared" si="52"/>
        <v>0</v>
      </c>
      <c r="G265" s="217">
        <f t="shared" si="53"/>
        <v>0</v>
      </c>
      <c r="H265" s="217">
        <f>IF(AND($A265&lt;&gt;"",'Project Overview'!D262=""),1,0)</f>
        <v>0</v>
      </c>
      <c r="I265" s="217">
        <f>IF(AND($A265&lt;&gt;"",'Project Overview'!F262=""),1,0)</f>
        <v>0</v>
      </c>
      <c r="J265" s="217">
        <f>IF(AND($A265&lt;&gt;"",OR('Project Overview'!I262="ESCO",'Project Overview'!I262="EPC",'Project Overview'!I262="ESCO BUYOUT"),'Project Overview'!K262=""),1,0)</f>
        <v>0</v>
      </c>
      <c r="K265" s="217">
        <f>IF(AND($A265&lt;&gt;"",'Project Overview'!M262=""),1,0)</f>
        <v>1</v>
      </c>
      <c r="L265" s="217">
        <f>IF(AND($A265&lt;&gt;"",'Project Overview'!U262=""),1,0)</f>
        <v>0</v>
      </c>
      <c r="M265" s="217">
        <f>IF(OR($A265="",'Project Overview'!O262="",'Project Overview'!O262="?"),1,0)</f>
        <v>1</v>
      </c>
      <c r="N265" s="217">
        <f>IF(OR($A265="",'Project Overview'!P262="", 'Project Overview'!P262="?"),1,0)</f>
        <v>1</v>
      </c>
      <c r="O265" s="217">
        <f t="shared" si="55"/>
        <v>3</v>
      </c>
      <c r="P265" s="217" t="str">
        <f t="shared" si="54"/>
        <v>REVER</v>
      </c>
    </row>
    <row r="266" spans="1:16" ht="43.2" hidden="1" x14ac:dyDescent="0.3">
      <c r="A266" s="217" t="str">
        <f>""&amp;'Project Overview'!A263</f>
        <v>255</v>
      </c>
      <c r="B266" s="218" t="str">
        <f>'Project Overview'!B263</f>
        <v>BV Amadora</v>
      </c>
      <c r="C266" s="218" t="str">
        <f>'Project Overview'!C263</f>
        <v>Associação Humanitária de Bombeiros Voluntários da Amadora</v>
      </c>
      <c r="D266" s="221">
        <f>'Project Overview'!R263</f>
        <v>0</v>
      </c>
      <c r="E266" s="221" t="str">
        <f ca="1">'Project Overview'!Y263</f>
        <v>no</v>
      </c>
      <c r="F266" s="217">
        <f t="shared" si="52"/>
        <v>0</v>
      </c>
      <c r="G266" s="217">
        <f t="shared" si="53"/>
        <v>0</v>
      </c>
      <c r="H266" s="217">
        <f>IF(AND($A266&lt;&gt;"",'Project Overview'!D263=""),1,0)</f>
        <v>0</v>
      </c>
      <c r="I266" s="217">
        <f>IF(AND($A266&lt;&gt;"",'Project Overview'!F263=""),1,0)</f>
        <v>0</v>
      </c>
      <c r="J266" s="217">
        <f>IF(AND($A266&lt;&gt;"",OR('Project Overview'!I263="ESCO",'Project Overview'!I263="EPC",'Project Overview'!I263="ESCO BUYOUT"),'Project Overview'!K263=""),1,0)</f>
        <v>0</v>
      </c>
      <c r="K266" s="217">
        <f>IF(AND($A266&lt;&gt;"",'Project Overview'!M263=""),1,0)</f>
        <v>1</v>
      </c>
      <c r="L266" s="217">
        <f>IF(AND($A266&lt;&gt;"",'Project Overview'!U263=""),1,0)</f>
        <v>1</v>
      </c>
      <c r="M266" s="217">
        <f>IF(OR($A266="",'Project Overview'!O263="",'Project Overview'!O263="?"),1,0)</f>
        <v>1</v>
      </c>
      <c r="N266" s="217">
        <f>IF(OR($A266="",'Project Overview'!P263="", 'Project Overview'!P263="?"),1,0)</f>
        <v>1</v>
      </c>
      <c r="O266" s="217">
        <f t="shared" si="55"/>
        <v>4</v>
      </c>
      <c r="P266" s="217" t="str">
        <f t="shared" si="54"/>
        <v>REVER</v>
      </c>
    </row>
    <row r="267" spans="1:16" ht="28.8" hidden="1" x14ac:dyDescent="0.3">
      <c r="A267" s="217" t="str">
        <f>""&amp;'Project Overview'!A264</f>
        <v>256</v>
      </c>
      <c r="B267" s="218" t="str">
        <f>'Project Overview'!B264</f>
        <v>N Vending</v>
      </c>
      <c r="C267" s="218" t="str">
        <f>'Project Overview'!C264</f>
        <v>N Vending- Operador de Vending, Unipessoal Lda</v>
      </c>
      <c r="D267" s="221">
        <f>'Project Overview'!R264</f>
        <v>0</v>
      </c>
      <c r="E267" s="221" t="str">
        <f ca="1">'Project Overview'!Y264</f>
        <v>no</v>
      </c>
      <c r="F267" s="217">
        <f t="shared" si="52"/>
        <v>0</v>
      </c>
      <c r="G267" s="217">
        <f t="shared" si="53"/>
        <v>0</v>
      </c>
      <c r="H267" s="217">
        <f>IF(AND($A267&lt;&gt;"",'Project Overview'!D264=""),1,0)</f>
        <v>0</v>
      </c>
      <c r="I267" s="217">
        <f>IF(AND($A267&lt;&gt;"",'Project Overview'!F264=""),1,0)</f>
        <v>0</v>
      </c>
      <c r="J267" s="217">
        <f>IF(AND($A267&lt;&gt;"",OR('Project Overview'!I264="ESCO",'Project Overview'!I264="EPC",'Project Overview'!I264="ESCO BUYOUT"),'Project Overview'!K264=""),1,0)</f>
        <v>1</v>
      </c>
      <c r="K267" s="217">
        <f>IF(AND($A267&lt;&gt;"",'Project Overview'!M264=""),1,0)</f>
        <v>1</v>
      </c>
      <c r="L267" s="217">
        <f>IF(AND($A267&lt;&gt;"",'Project Overview'!U264=""),1,0)</f>
        <v>0</v>
      </c>
      <c r="M267" s="217">
        <f>IF(OR($A267="",'Project Overview'!O264="",'Project Overview'!O264="?"),1,0)</f>
        <v>1</v>
      </c>
      <c r="N267" s="217">
        <f>IF(OR($A267="",'Project Overview'!P264="", 'Project Overview'!P264="?"),1,0)</f>
        <v>1</v>
      </c>
      <c r="O267" s="217">
        <f t="shared" si="55"/>
        <v>4</v>
      </c>
      <c r="P267" s="217" t="str">
        <f t="shared" si="54"/>
        <v>REVER</v>
      </c>
    </row>
    <row r="268" spans="1:16" x14ac:dyDescent="0.3">
      <c r="A268" s="217" t="str">
        <f>""&amp;'Project Overview'!A265</f>
        <v>extra</v>
      </c>
      <c r="B268" s="218" t="str">
        <f>'Project Overview'!B265</f>
        <v>Onda Grafe</v>
      </c>
      <c r="C268" s="218" t="str">
        <f>'Project Overview'!C265</f>
        <v>Onda Grafe</v>
      </c>
      <c r="D268" s="221" t="str">
        <f>'Project Overview'!R265</f>
        <v>ACTIVE</v>
      </c>
      <c r="E268" s="221" t="str">
        <f ca="1">'Project Overview'!Y265</f>
        <v>yes</v>
      </c>
      <c r="F268" s="217">
        <f t="shared" ref="F268:F331" si="56">IF(OR($A268="",$B268=""),1,0)</f>
        <v>0</v>
      </c>
      <c r="G268" s="217">
        <f t="shared" ref="G268:G331" si="57">IF($C268="",1,0)</f>
        <v>0</v>
      </c>
      <c r="H268" s="217">
        <f>IF(AND($A268&lt;&gt;"",'Project Overview'!D265=""),1,0)</f>
        <v>0</v>
      </c>
      <c r="I268" s="217">
        <f>IF(AND($A268&lt;&gt;"",'Project Overview'!F265=""),1,0)</f>
        <v>0</v>
      </c>
      <c r="J268" s="217">
        <f>IF(AND($A268&lt;&gt;"",OR('Project Overview'!I265="ESCO",'Project Overview'!I265="EPC",'Project Overview'!I265="ESCO BUYOUT"),'Project Overview'!K265=""),1,0)</f>
        <v>0</v>
      </c>
      <c r="K268" s="217">
        <f>IF(AND($A268&lt;&gt;"",'Project Overview'!M265=""),1,0)</f>
        <v>0</v>
      </c>
      <c r="L268" s="217">
        <f>IF(AND($A268&lt;&gt;"",'Project Overview'!U265=""),1,0)</f>
        <v>0</v>
      </c>
      <c r="M268" s="217">
        <f>IF(OR($A268="",'Project Overview'!O265="",'Project Overview'!O265="?"),1,0)</f>
        <v>0</v>
      </c>
      <c r="N268" s="217">
        <f>IF(OR($A268="",'Project Overview'!P265="", 'Project Overview'!P265="?"),1,0)</f>
        <v>1</v>
      </c>
      <c r="O268" s="217">
        <f t="shared" ref="O268" si="58">SUM(F268:N268)</f>
        <v>1</v>
      </c>
      <c r="P268" s="217" t="str">
        <f t="shared" si="54"/>
        <v>REVER</v>
      </c>
    </row>
    <row r="269" spans="1:16" hidden="1" x14ac:dyDescent="0.3">
      <c r="A269" s="217" t="str">
        <f>""&amp;'[1]Project Overview'!A266</f>
        <v/>
      </c>
      <c r="B269" s="218">
        <f>'[1]Project Overview'!C266</f>
        <v>0</v>
      </c>
      <c r="C269" s="218">
        <f>'[1]Project Overview'!D266</f>
        <v>0</v>
      </c>
      <c r="D269" s="217">
        <f>'[1]Project Overview'!V266</f>
        <v>0</v>
      </c>
      <c r="E269" s="217"/>
      <c r="F269" s="217">
        <f t="shared" si="56"/>
        <v>1</v>
      </c>
      <c r="G269" s="217">
        <f t="shared" si="57"/>
        <v>0</v>
      </c>
      <c r="H269" s="217">
        <f>IF(AND($A269&lt;&gt;"",'[1]Project Overview'!E266=""),1,0)</f>
        <v>0</v>
      </c>
      <c r="I269" s="217">
        <f>IF(AND($A269&lt;&gt;"",'[1]Project Overview'!G266=""),1,0)</f>
        <v>0</v>
      </c>
      <c r="J269" s="217">
        <f>IF(AND($A269&lt;&gt;"",OR('[1]Project Overview'!J266="ESCO",'[1]Project Overview'!J266="EPC",'[1]Project Overview'!J266="ESCO BUYOUT"),'[1]Project Overview'!L266=""),1,0)</f>
        <v>0</v>
      </c>
      <c r="K269" s="217">
        <f>IF(AND($A269&lt;&gt;"",'[1]Project Overview'!P266=""),1,0)</f>
        <v>0</v>
      </c>
      <c r="L269" s="217">
        <f>IF(AND($A269&lt;&gt;"",'[1]Project Overview'!AA266=""),1,0)</f>
        <v>0</v>
      </c>
      <c r="M269" s="217"/>
      <c r="N269" s="217"/>
      <c r="O269" s="217">
        <f t="shared" si="55"/>
        <v>1</v>
      </c>
      <c r="P269" s="217" t="str">
        <f t="shared" si="54"/>
        <v/>
      </c>
    </row>
    <row r="270" spans="1:16" hidden="1" x14ac:dyDescent="0.3">
      <c r="A270" s="217" t="str">
        <f>""&amp;'[1]Project Overview'!A267</f>
        <v/>
      </c>
      <c r="B270" s="218">
        <f>'[1]Project Overview'!C267</f>
        <v>0</v>
      </c>
      <c r="C270" s="218">
        <f>'[1]Project Overview'!D267</f>
        <v>0</v>
      </c>
      <c r="D270" s="217">
        <f>'[1]Project Overview'!V267</f>
        <v>0</v>
      </c>
      <c r="E270" s="217"/>
      <c r="F270" s="217">
        <f t="shared" si="56"/>
        <v>1</v>
      </c>
      <c r="G270" s="217">
        <f t="shared" si="57"/>
        <v>0</v>
      </c>
      <c r="H270" s="217">
        <f>IF(AND($A270&lt;&gt;"",'[1]Project Overview'!E267=""),1,0)</f>
        <v>0</v>
      </c>
      <c r="I270" s="217">
        <f>IF(AND($A270&lt;&gt;"",'[1]Project Overview'!G267=""),1,0)</f>
        <v>0</v>
      </c>
      <c r="J270" s="217">
        <f>IF(AND($A270&lt;&gt;"",OR('[1]Project Overview'!J267="ESCO",'[1]Project Overview'!J267="EPC",'[1]Project Overview'!J267="ESCO BUYOUT"),'[1]Project Overview'!L267=""),1,0)</f>
        <v>0</v>
      </c>
      <c r="K270" s="217">
        <f>IF(AND($A270&lt;&gt;"",'[1]Project Overview'!P267=""),1,0)</f>
        <v>0</v>
      </c>
      <c r="L270" s="217">
        <f>IF(AND($A270&lt;&gt;"",'[1]Project Overview'!AA267=""),1,0)</f>
        <v>0</v>
      </c>
      <c r="M270" s="217"/>
      <c r="N270" s="217"/>
      <c r="O270" s="217">
        <f t="shared" si="55"/>
        <v>1</v>
      </c>
      <c r="P270" s="217" t="str">
        <f t="shared" si="54"/>
        <v/>
      </c>
    </row>
    <row r="271" spans="1:16" hidden="1" x14ac:dyDescent="0.3">
      <c r="A271" s="217" t="str">
        <f>""&amp;'[1]Project Overview'!A268</f>
        <v/>
      </c>
      <c r="B271" s="218">
        <f>'[1]Project Overview'!C268</f>
        <v>0</v>
      </c>
      <c r="C271" s="218">
        <f>'[1]Project Overview'!D268</f>
        <v>0</v>
      </c>
      <c r="D271" s="217">
        <f>'[1]Project Overview'!V268</f>
        <v>0</v>
      </c>
      <c r="E271" s="217"/>
      <c r="F271" s="217">
        <f t="shared" si="56"/>
        <v>1</v>
      </c>
      <c r="G271" s="217">
        <f t="shared" si="57"/>
        <v>0</v>
      </c>
      <c r="H271" s="217">
        <f>IF(AND($A271&lt;&gt;"",'[1]Project Overview'!E268=""),1,0)</f>
        <v>0</v>
      </c>
      <c r="I271" s="217">
        <f>IF(AND($A271&lt;&gt;"",'[1]Project Overview'!G268=""),1,0)</f>
        <v>0</v>
      </c>
      <c r="J271" s="217">
        <f>IF(AND($A271&lt;&gt;"",OR('[1]Project Overview'!J268="ESCO",'[1]Project Overview'!J268="EPC",'[1]Project Overview'!J268="ESCO BUYOUT"),'[1]Project Overview'!L268=""),1,0)</f>
        <v>0</v>
      </c>
      <c r="K271" s="217">
        <f>IF(AND($A271&lt;&gt;"",'[1]Project Overview'!P268=""),1,0)</f>
        <v>0</v>
      </c>
      <c r="L271" s="217">
        <f>IF(AND($A271&lt;&gt;"",'[1]Project Overview'!AA268=""),1,0)</f>
        <v>0</v>
      </c>
      <c r="M271" s="217"/>
      <c r="N271" s="217"/>
      <c r="O271" s="217">
        <f t="shared" si="55"/>
        <v>1</v>
      </c>
      <c r="P271" s="217" t="str">
        <f t="shared" si="54"/>
        <v/>
      </c>
    </row>
    <row r="272" spans="1:16" hidden="1" x14ac:dyDescent="0.3">
      <c r="A272" s="217" t="str">
        <f>""&amp;'[1]Project Overview'!A269</f>
        <v/>
      </c>
      <c r="B272" s="218">
        <f>'[1]Project Overview'!C269</f>
        <v>0</v>
      </c>
      <c r="C272" s="218">
        <f>'[1]Project Overview'!D269</f>
        <v>0</v>
      </c>
      <c r="D272" s="217">
        <f>'[1]Project Overview'!V269</f>
        <v>0</v>
      </c>
      <c r="E272" s="217"/>
      <c r="F272" s="217">
        <f t="shared" si="56"/>
        <v>1</v>
      </c>
      <c r="G272" s="217">
        <f t="shared" si="57"/>
        <v>0</v>
      </c>
      <c r="H272" s="217">
        <f>IF(AND($A272&lt;&gt;"",'[1]Project Overview'!E269=""),1,0)</f>
        <v>0</v>
      </c>
      <c r="I272" s="217">
        <f>IF(AND($A272&lt;&gt;"",'[1]Project Overview'!G269=""),1,0)</f>
        <v>0</v>
      </c>
      <c r="J272" s="217">
        <f>IF(AND($A272&lt;&gt;"",OR('[1]Project Overview'!J269="ESCO",'[1]Project Overview'!J269="EPC",'[1]Project Overview'!J269="ESCO BUYOUT"),'[1]Project Overview'!L269=""),1,0)</f>
        <v>0</v>
      </c>
      <c r="K272" s="217">
        <f>IF(AND($A272&lt;&gt;"",'[1]Project Overview'!P269=""),1,0)</f>
        <v>0</v>
      </c>
      <c r="L272" s="217">
        <f>IF(AND($A272&lt;&gt;"",'[1]Project Overview'!AA269=""),1,0)</f>
        <v>0</v>
      </c>
      <c r="M272" s="217"/>
      <c r="N272" s="217"/>
      <c r="O272" s="217">
        <f t="shared" si="55"/>
        <v>1</v>
      </c>
      <c r="P272" s="217" t="str">
        <f t="shared" si="54"/>
        <v/>
      </c>
    </row>
    <row r="273" spans="1:16" hidden="1" x14ac:dyDescent="0.3">
      <c r="A273" s="217" t="str">
        <f>""&amp;'[1]Project Overview'!A270</f>
        <v/>
      </c>
      <c r="B273" s="218">
        <f>'[1]Project Overview'!C270</f>
        <v>0</v>
      </c>
      <c r="C273" s="218">
        <f>'[1]Project Overview'!D270</f>
        <v>0</v>
      </c>
      <c r="D273" s="217">
        <f>'[1]Project Overview'!V270</f>
        <v>0</v>
      </c>
      <c r="E273" s="217"/>
      <c r="F273" s="217">
        <f t="shared" si="56"/>
        <v>1</v>
      </c>
      <c r="G273" s="217">
        <f t="shared" si="57"/>
        <v>0</v>
      </c>
      <c r="H273" s="217">
        <f>IF(AND($A273&lt;&gt;"",'[1]Project Overview'!E270=""),1,0)</f>
        <v>0</v>
      </c>
      <c r="I273" s="217">
        <f>IF(AND($A273&lt;&gt;"",'[1]Project Overview'!G270=""),1,0)</f>
        <v>0</v>
      </c>
      <c r="J273" s="217">
        <f>IF(AND($A273&lt;&gt;"",OR('[1]Project Overview'!J270="ESCO",'[1]Project Overview'!J270="EPC",'[1]Project Overview'!J270="ESCO BUYOUT"),'[1]Project Overview'!L270=""),1,0)</f>
        <v>0</v>
      </c>
      <c r="K273" s="217">
        <f>IF(AND($A273&lt;&gt;"",'[1]Project Overview'!P270=""),1,0)</f>
        <v>0</v>
      </c>
      <c r="L273" s="217">
        <f>IF(AND($A273&lt;&gt;"",'[1]Project Overview'!AA270=""),1,0)</f>
        <v>0</v>
      </c>
      <c r="M273" s="217"/>
      <c r="N273" s="217"/>
      <c r="O273" s="217">
        <f t="shared" si="55"/>
        <v>1</v>
      </c>
      <c r="P273" s="217" t="str">
        <f t="shared" si="54"/>
        <v/>
      </c>
    </row>
    <row r="274" spans="1:16" hidden="1" x14ac:dyDescent="0.3">
      <c r="A274" s="217" t="str">
        <f>""&amp;'[1]Project Overview'!A271</f>
        <v/>
      </c>
      <c r="B274" s="218">
        <f>'[1]Project Overview'!C271</f>
        <v>0</v>
      </c>
      <c r="C274" s="218">
        <f>'[1]Project Overview'!D271</f>
        <v>0</v>
      </c>
      <c r="D274" s="217">
        <f>'[1]Project Overview'!V271</f>
        <v>0</v>
      </c>
      <c r="E274" s="217"/>
      <c r="F274" s="217">
        <f t="shared" si="56"/>
        <v>1</v>
      </c>
      <c r="G274" s="217">
        <f t="shared" si="57"/>
        <v>0</v>
      </c>
      <c r="H274" s="217">
        <f>IF(AND($A274&lt;&gt;"",'[1]Project Overview'!E271=""),1,0)</f>
        <v>0</v>
      </c>
      <c r="I274" s="217">
        <f>IF(AND($A274&lt;&gt;"",'[1]Project Overview'!G271=""),1,0)</f>
        <v>0</v>
      </c>
      <c r="J274" s="217">
        <f>IF(AND($A274&lt;&gt;"",OR('[1]Project Overview'!J271="ESCO",'[1]Project Overview'!J271="EPC",'[1]Project Overview'!J271="ESCO BUYOUT"),'[1]Project Overview'!L271=""),1,0)</f>
        <v>0</v>
      </c>
      <c r="K274" s="217">
        <f>IF(AND($A274&lt;&gt;"",'[1]Project Overview'!P271=""),1,0)</f>
        <v>0</v>
      </c>
      <c r="L274" s="217">
        <f>IF(AND($A274&lt;&gt;"",'[1]Project Overview'!AA271=""),1,0)</f>
        <v>0</v>
      </c>
      <c r="M274" s="217"/>
      <c r="N274" s="217"/>
      <c r="O274" s="217">
        <f t="shared" si="55"/>
        <v>1</v>
      </c>
      <c r="P274" s="217" t="str">
        <f t="shared" si="54"/>
        <v/>
      </c>
    </row>
    <row r="275" spans="1:16" hidden="1" x14ac:dyDescent="0.3">
      <c r="A275" s="217" t="str">
        <f>""&amp;'[1]Project Overview'!A272</f>
        <v/>
      </c>
      <c r="B275" s="218">
        <f>'[1]Project Overview'!C272</f>
        <v>0</v>
      </c>
      <c r="C275" s="218">
        <f>'[1]Project Overview'!D272</f>
        <v>0</v>
      </c>
      <c r="D275" s="217">
        <f>'[1]Project Overview'!V272</f>
        <v>0</v>
      </c>
      <c r="E275" s="217"/>
      <c r="F275" s="217">
        <f t="shared" si="56"/>
        <v>1</v>
      </c>
      <c r="G275" s="217">
        <f t="shared" si="57"/>
        <v>0</v>
      </c>
      <c r="H275" s="217">
        <f>IF(AND($A275&lt;&gt;"",'[1]Project Overview'!E272=""),1,0)</f>
        <v>0</v>
      </c>
      <c r="I275" s="217">
        <f>IF(AND($A275&lt;&gt;"",'[1]Project Overview'!G272=""),1,0)</f>
        <v>0</v>
      </c>
      <c r="J275" s="217">
        <f>IF(AND($A275&lt;&gt;"",OR('[1]Project Overview'!J272="ESCO",'[1]Project Overview'!J272="EPC",'[1]Project Overview'!J272="ESCO BUYOUT"),'[1]Project Overview'!L272=""),1,0)</f>
        <v>0</v>
      </c>
      <c r="K275" s="217">
        <f>IF(AND($A275&lt;&gt;"",'[1]Project Overview'!P272=""),1,0)</f>
        <v>0</v>
      </c>
      <c r="L275" s="217">
        <f>IF(AND($A275&lt;&gt;"",'[1]Project Overview'!AA272=""),1,0)</f>
        <v>0</v>
      </c>
      <c r="M275" s="217"/>
      <c r="N275" s="217"/>
      <c r="O275" s="217">
        <f t="shared" si="55"/>
        <v>1</v>
      </c>
      <c r="P275" s="217" t="str">
        <f t="shared" si="54"/>
        <v/>
      </c>
    </row>
    <row r="276" spans="1:16" hidden="1" x14ac:dyDescent="0.3">
      <c r="A276" s="217" t="str">
        <f>""&amp;'[1]Project Overview'!A273</f>
        <v/>
      </c>
      <c r="B276" s="218">
        <f>'[1]Project Overview'!C273</f>
        <v>0</v>
      </c>
      <c r="C276" s="218">
        <f>'[1]Project Overview'!D273</f>
        <v>0</v>
      </c>
      <c r="D276" s="217">
        <f>'[1]Project Overview'!V273</f>
        <v>0</v>
      </c>
      <c r="E276" s="217"/>
      <c r="F276" s="217">
        <f t="shared" si="56"/>
        <v>1</v>
      </c>
      <c r="G276" s="217">
        <f t="shared" si="57"/>
        <v>0</v>
      </c>
      <c r="H276" s="217">
        <f>IF(AND($A276&lt;&gt;"",'[1]Project Overview'!E273=""),1,0)</f>
        <v>0</v>
      </c>
      <c r="I276" s="217">
        <f>IF(AND($A276&lt;&gt;"",'[1]Project Overview'!G273=""),1,0)</f>
        <v>0</v>
      </c>
      <c r="J276" s="217">
        <f>IF(AND($A276&lt;&gt;"",OR('[1]Project Overview'!J273="ESCO",'[1]Project Overview'!J273="EPC",'[1]Project Overview'!J273="ESCO BUYOUT"),'[1]Project Overview'!L273=""),1,0)</f>
        <v>0</v>
      </c>
      <c r="K276" s="217">
        <f>IF(AND($A276&lt;&gt;"",'[1]Project Overview'!P273=""),1,0)</f>
        <v>0</v>
      </c>
      <c r="L276" s="217">
        <f>IF(AND($A276&lt;&gt;"",'[1]Project Overview'!AA273=""),1,0)</f>
        <v>0</v>
      </c>
      <c r="M276" s="217"/>
      <c r="N276" s="217"/>
      <c r="O276" s="217">
        <f t="shared" si="55"/>
        <v>1</v>
      </c>
      <c r="P276" s="217" t="str">
        <f t="shared" si="54"/>
        <v/>
      </c>
    </row>
    <row r="277" spans="1:16" hidden="1" x14ac:dyDescent="0.3">
      <c r="A277" s="217" t="str">
        <f>""&amp;'[1]Project Overview'!A274</f>
        <v/>
      </c>
      <c r="B277" s="218">
        <f>'[1]Project Overview'!C274</f>
        <v>0</v>
      </c>
      <c r="C277" s="218">
        <f>'[1]Project Overview'!D274</f>
        <v>0</v>
      </c>
      <c r="D277" s="217">
        <f>'[1]Project Overview'!V274</f>
        <v>0</v>
      </c>
      <c r="E277" s="217"/>
      <c r="F277" s="217">
        <f t="shared" si="56"/>
        <v>1</v>
      </c>
      <c r="G277" s="217">
        <f t="shared" si="57"/>
        <v>0</v>
      </c>
      <c r="H277" s="217">
        <f>IF(AND($A277&lt;&gt;"",'[1]Project Overview'!E274=""),1,0)</f>
        <v>0</v>
      </c>
      <c r="I277" s="217">
        <f>IF(AND($A277&lt;&gt;"",'[1]Project Overview'!G274=""),1,0)</f>
        <v>0</v>
      </c>
      <c r="J277" s="217">
        <f>IF(AND($A277&lt;&gt;"",OR('[1]Project Overview'!J274="ESCO",'[1]Project Overview'!J274="EPC",'[1]Project Overview'!J274="ESCO BUYOUT"),'[1]Project Overview'!L274=""),1,0)</f>
        <v>0</v>
      </c>
      <c r="K277" s="217">
        <f>IF(AND($A277&lt;&gt;"",'[1]Project Overview'!P274=""),1,0)</f>
        <v>0</v>
      </c>
      <c r="L277" s="217">
        <f>IF(AND($A277&lt;&gt;"",'[1]Project Overview'!AA274=""),1,0)</f>
        <v>0</v>
      </c>
      <c r="M277" s="217"/>
      <c r="N277" s="217"/>
      <c r="O277" s="217">
        <f t="shared" si="55"/>
        <v>1</v>
      </c>
      <c r="P277" s="217" t="str">
        <f t="shared" si="54"/>
        <v/>
      </c>
    </row>
    <row r="278" spans="1:16" hidden="1" x14ac:dyDescent="0.3">
      <c r="A278" s="217" t="str">
        <f>""&amp;'[1]Project Overview'!A275</f>
        <v/>
      </c>
      <c r="B278" s="218">
        <f>'[1]Project Overview'!C275</f>
        <v>0</v>
      </c>
      <c r="C278" s="218">
        <f>'[1]Project Overview'!D275</f>
        <v>0</v>
      </c>
      <c r="D278" s="217">
        <f>'[1]Project Overview'!V275</f>
        <v>0</v>
      </c>
      <c r="E278" s="217"/>
      <c r="F278" s="217">
        <f t="shared" si="56"/>
        <v>1</v>
      </c>
      <c r="G278" s="217">
        <f t="shared" si="57"/>
        <v>0</v>
      </c>
      <c r="H278" s="217">
        <f>IF(AND($A278&lt;&gt;"",'[1]Project Overview'!E275=""),1,0)</f>
        <v>0</v>
      </c>
      <c r="I278" s="217">
        <f>IF(AND($A278&lt;&gt;"",'[1]Project Overview'!G275=""),1,0)</f>
        <v>0</v>
      </c>
      <c r="J278" s="217">
        <f>IF(AND($A278&lt;&gt;"",OR('[1]Project Overview'!J275="ESCO",'[1]Project Overview'!J275="EPC",'[1]Project Overview'!J275="ESCO BUYOUT"),'[1]Project Overview'!L275=""),1,0)</f>
        <v>0</v>
      </c>
      <c r="K278" s="217">
        <f>IF(AND($A278&lt;&gt;"",'[1]Project Overview'!P275=""),1,0)</f>
        <v>0</v>
      </c>
      <c r="L278" s="217">
        <f>IF(AND($A278&lt;&gt;"",'[1]Project Overview'!AA275=""),1,0)</f>
        <v>0</v>
      </c>
      <c r="M278" s="217"/>
      <c r="N278" s="217"/>
      <c r="O278" s="217">
        <f t="shared" si="55"/>
        <v>1</v>
      </c>
      <c r="P278" s="217" t="str">
        <f t="shared" si="54"/>
        <v/>
      </c>
    </row>
    <row r="279" spans="1:16" hidden="1" x14ac:dyDescent="0.3">
      <c r="A279" s="217" t="str">
        <f>""&amp;'[1]Project Overview'!A276</f>
        <v/>
      </c>
      <c r="B279" s="218">
        <f>'[1]Project Overview'!C276</f>
        <v>0</v>
      </c>
      <c r="C279" s="218">
        <f>'[1]Project Overview'!D276</f>
        <v>0</v>
      </c>
      <c r="D279" s="217">
        <f>'[1]Project Overview'!V276</f>
        <v>0</v>
      </c>
      <c r="E279" s="217"/>
      <c r="F279" s="217">
        <f t="shared" si="56"/>
        <v>1</v>
      </c>
      <c r="G279" s="217">
        <f t="shared" si="57"/>
        <v>0</v>
      </c>
      <c r="H279" s="217">
        <f>IF(AND($A279&lt;&gt;"",'[1]Project Overview'!E276=""),1,0)</f>
        <v>0</v>
      </c>
      <c r="I279" s="217">
        <f>IF(AND($A279&lt;&gt;"",'[1]Project Overview'!G276=""),1,0)</f>
        <v>0</v>
      </c>
      <c r="J279" s="217">
        <f>IF(AND($A279&lt;&gt;"",OR('[1]Project Overview'!J276="ESCO",'[1]Project Overview'!J276="EPC",'[1]Project Overview'!J276="ESCO BUYOUT"),'[1]Project Overview'!L276=""),1,0)</f>
        <v>0</v>
      </c>
      <c r="K279" s="217">
        <f>IF(AND($A279&lt;&gt;"",'[1]Project Overview'!P276=""),1,0)</f>
        <v>0</v>
      </c>
      <c r="L279" s="217">
        <f>IF(AND($A279&lt;&gt;"",'[1]Project Overview'!AA276=""),1,0)</f>
        <v>0</v>
      </c>
      <c r="M279" s="217"/>
      <c r="N279" s="217"/>
      <c r="O279" s="217">
        <f t="shared" si="55"/>
        <v>1</v>
      </c>
      <c r="P279" s="217" t="str">
        <f t="shared" si="54"/>
        <v/>
      </c>
    </row>
    <row r="280" spans="1:16" hidden="1" x14ac:dyDescent="0.3">
      <c r="A280" s="217" t="str">
        <f>""&amp;'[1]Project Overview'!A277</f>
        <v/>
      </c>
      <c r="B280" s="218">
        <f>'[1]Project Overview'!C277</f>
        <v>0</v>
      </c>
      <c r="C280" s="218">
        <f>'[1]Project Overview'!D277</f>
        <v>0</v>
      </c>
      <c r="D280" s="217">
        <f>'[1]Project Overview'!V277</f>
        <v>0</v>
      </c>
      <c r="E280" s="217"/>
      <c r="F280" s="217">
        <f t="shared" si="56"/>
        <v>1</v>
      </c>
      <c r="G280" s="217">
        <f t="shared" si="57"/>
        <v>0</v>
      </c>
      <c r="H280" s="217">
        <f>IF(AND($A280&lt;&gt;"",'[1]Project Overview'!E277=""),1,0)</f>
        <v>0</v>
      </c>
      <c r="I280" s="217">
        <f>IF(AND($A280&lt;&gt;"",'[1]Project Overview'!G277=""),1,0)</f>
        <v>0</v>
      </c>
      <c r="J280" s="217">
        <f>IF(AND($A280&lt;&gt;"",OR('[1]Project Overview'!J277="ESCO",'[1]Project Overview'!J277="EPC",'[1]Project Overview'!J277="ESCO BUYOUT"),'[1]Project Overview'!L277=""),1,0)</f>
        <v>0</v>
      </c>
      <c r="K280" s="217">
        <f>IF(AND($A280&lt;&gt;"",'[1]Project Overview'!P277=""),1,0)</f>
        <v>0</v>
      </c>
      <c r="L280" s="217">
        <f>IF(AND($A280&lt;&gt;"",'[1]Project Overview'!AA277=""),1,0)</f>
        <v>0</v>
      </c>
      <c r="M280" s="217"/>
      <c r="N280" s="217"/>
      <c r="O280" s="217">
        <f t="shared" si="55"/>
        <v>1</v>
      </c>
      <c r="P280" s="217" t="str">
        <f t="shared" si="54"/>
        <v/>
      </c>
    </row>
    <row r="281" spans="1:16" hidden="1" x14ac:dyDescent="0.3">
      <c r="A281" s="217" t="str">
        <f>""&amp;'[1]Project Overview'!A278</f>
        <v/>
      </c>
      <c r="B281" s="218">
        <f>'[1]Project Overview'!C278</f>
        <v>0</v>
      </c>
      <c r="C281" s="218">
        <f>'[1]Project Overview'!D278</f>
        <v>0</v>
      </c>
      <c r="D281" s="217">
        <f>'[1]Project Overview'!V278</f>
        <v>0</v>
      </c>
      <c r="E281" s="217"/>
      <c r="F281" s="217">
        <f t="shared" si="56"/>
        <v>1</v>
      </c>
      <c r="G281" s="217">
        <f t="shared" si="57"/>
        <v>0</v>
      </c>
      <c r="H281" s="217">
        <f>IF(AND($A281&lt;&gt;"",'[1]Project Overview'!E278=""),1,0)</f>
        <v>0</v>
      </c>
      <c r="I281" s="217">
        <f>IF(AND($A281&lt;&gt;"",'[1]Project Overview'!G278=""),1,0)</f>
        <v>0</v>
      </c>
      <c r="J281" s="217">
        <f>IF(AND($A281&lt;&gt;"",OR('[1]Project Overview'!J278="ESCO",'[1]Project Overview'!J278="EPC",'[1]Project Overview'!J278="ESCO BUYOUT"),'[1]Project Overview'!L278=""),1,0)</f>
        <v>0</v>
      </c>
      <c r="K281" s="217">
        <f>IF(AND($A281&lt;&gt;"",'[1]Project Overview'!P278=""),1,0)</f>
        <v>0</v>
      </c>
      <c r="L281" s="217">
        <f>IF(AND($A281&lt;&gt;"",'[1]Project Overview'!AA278=""),1,0)</f>
        <v>0</v>
      </c>
      <c r="M281" s="217"/>
      <c r="N281" s="217"/>
      <c r="O281" s="217">
        <f t="shared" si="55"/>
        <v>1</v>
      </c>
      <c r="P281" s="217" t="str">
        <f t="shared" si="54"/>
        <v/>
      </c>
    </row>
    <row r="282" spans="1:16" hidden="1" x14ac:dyDescent="0.3">
      <c r="A282" s="217" t="str">
        <f>""&amp;'[1]Project Overview'!A279</f>
        <v/>
      </c>
      <c r="B282" s="218">
        <f>'[1]Project Overview'!C279</f>
        <v>0</v>
      </c>
      <c r="C282" s="218">
        <f>'[1]Project Overview'!D279</f>
        <v>0</v>
      </c>
      <c r="D282" s="217">
        <f>'[1]Project Overview'!V279</f>
        <v>0</v>
      </c>
      <c r="E282" s="217"/>
      <c r="F282" s="217">
        <f t="shared" si="56"/>
        <v>1</v>
      </c>
      <c r="G282" s="217">
        <f t="shared" si="57"/>
        <v>0</v>
      </c>
      <c r="H282" s="217">
        <f>IF(AND($A282&lt;&gt;"",'[1]Project Overview'!E279=""),1,0)</f>
        <v>0</v>
      </c>
      <c r="I282" s="217">
        <f>IF(AND($A282&lt;&gt;"",'[1]Project Overview'!G279=""),1,0)</f>
        <v>0</v>
      </c>
      <c r="J282" s="217">
        <f>IF(AND($A282&lt;&gt;"",OR('[1]Project Overview'!J279="ESCO",'[1]Project Overview'!J279="EPC",'[1]Project Overview'!J279="ESCO BUYOUT"),'[1]Project Overview'!L279=""),1,0)</f>
        <v>0</v>
      </c>
      <c r="K282" s="217">
        <f>IF(AND($A282&lt;&gt;"",'[1]Project Overview'!P279=""),1,0)</f>
        <v>0</v>
      </c>
      <c r="L282" s="217">
        <f>IF(AND($A282&lt;&gt;"",'[1]Project Overview'!AA279=""),1,0)</f>
        <v>0</v>
      </c>
      <c r="M282" s="217"/>
      <c r="N282" s="217"/>
      <c r="O282" s="217">
        <f t="shared" si="55"/>
        <v>1</v>
      </c>
      <c r="P282" s="217" t="str">
        <f t="shared" si="54"/>
        <v/>
      </c>
    </row>
    <row r="283" spans="1:16" hidden="1" x14ac:dyDescent="0.3">
      <c r="A283" s="217" t="str">
        <f>""&amp;'[1]Project Overview'!A280</f>
        <v/>
      </c>
      <c r="B283" s="218">
        <f>'[1]Project Overview'!C280</f>
        <v>0</v>
      </c>
      <c r="C283" s="218">
        <f>'[1]Project Overview'!D280</f>
        <v>0</v>
      </c>
      <c r="D283" s="217">
        <f>'[1]Project Overview'!V280</f>
        <v>0</v>
      </c>
      <c r="E283" s="217"/>
      <c r="F283" s="217">
        <f t="shared" si="56"/>
        <v>1</v>
      </c>
      <c r="G283" s="217">
        <f t="shared" si="57"/>
        <v>0</v>
      </c>
      <c r="H283" s="217">
        <f>IF(AND($A283&lt;&gt;"",'[1]Project Overview'!E280=""),1,0)</f>
        <v>0</v>
      </c>
      <c r="I283" s="217">
        <f>IF(AND($A283&lt;&gt;"",'[1]Project Overview'!G280=""),1,0)</f>
        <v>0</v>
      </c>
      <c r="J283" s="217">
        <f>IF(AND($A283&lt;&gt;"",OR('[1]Project Overview'!J280="ESCO",'[1]Project Overview'!J280="EPC",'[1]Project Overview'!J280="ESCO BUYOUT"),'[1]Project Overview'!L280=""),1,0)</f>
        <v>0</v>
      </c>
      <c r="K283" s="217">
        <f>IF(AND($A283&lt;&gt;"",'[1]Project Overview'!P280=""),1,0)</f>
        <v>0</v>
      </c>
      <c r="L283" s="217">
        <f>IF(AND($A283&lt;&gt;"",'[1]Project Overview'!AA280=""),1,0)</f>
        <v>0</v>
      </c>
      <c r="M283" s="217"/>
      <c r="N283" s="217"/>
      <c r="O283" s="217">
        <f t="shared" si="55"/>
        <v>1</v>
      </c>
      <c r="P283" s="217" t="str">
        <f t="shared" si="54"/>
        <v/>
      </c>
    </row>
    <row r="284" spans="1:16" hidden="1" x14ac:dyDescent="0.3">
      <c r="A284" s="217" t="str">
        <f>""&amp;'[1]Project Overview'!A281</f>
        <v/>
      </c>
      <c r="B284" s="218">
        <f>'[1]Project Overview'!C281</f>
        <v>0</v>
      </c>
      <c r="C284" s="218">
        <f>'[1]Project Overview'!D281</f>
        <v>0</v>
      </c>
      <c r="D284" s="217">
        <f>'[1]Project Overview'!V281</f>
        <v>0</v>
      </c>
      <c r="E284" s="217"/>
      <c r="F284" s="217">
        <f t="shared" si="56"/>
        <v>1</v>
      </c>
      <c r="G284" s="217">
        <f t="shared" si="57"/>
        <v>0</v>
      </c>
      <c r="H284" s="217">
        <f>IF(AND($A284&lt;&gt;"",'[1]Project Overview'!E281=""),1,0)</f>
        <v>0</v>
      </c>
      <c r="I284" s="217">
        <f>IF(AND($A284&lt;&gt;"",'[1]Project Overview'!G281=""),1,0)</f>
        <v>0</v>
      </c>
      <c r="J284" s="217">
        <f>IF(AND($A284&lt;&gt;"",OR('[1]Project Overview'!J281="ESCO",'[1]Project Overview'!J281="EPC",'[1]Project Overview'!J281="ESCO BUYOUT"),'[1]Project Overview'!L281=""),1,0)</f>
        <v>0</v>
      </c>
      <c r="K284" s="217">
        <f>IF(AND($A284&lt;&gt;"",'[1]Project Overview'!P281=""),1,0)</f>
        <v>0</v>
      </c>
      <c r="L284" s="217">
        <f>IF(AND($A284&lt;&gt;"",'[1]Project Overview'!AA281=""),1,0)</f>
        <v>0</v>
      </c>
      <c r="M284" s="217"/>
      <c r="N284" s="217"/>
      <c r="O284" s="217">
        <f t="shared" si="55"/>
        <v>1</v>
      </c>
      <c r="P284" s="217" t="str">
        <f t="shared" si="54"/>
        <v/>
      </c>
    </row>
    <row r="285" spans="1:16" hidden="1" x14ac:dyDescent="0.3">
      <c r="A285" s="217" t="str">
        <f>""&amp;'[1]Project Overview'!A282</f>
        <v/>
      </c>
      <c r="B285" s="218">
        <f>'[1]Project Overview'!C282</f>
        <v>0</v>
      </c>
      <c r="C285" s="218">
        <f>'[1]Project Overview'!D282</f>
        <v>0</v>
      </c>
      <c r="D285" s="217">
        <f>'[1]Project Overview'!V282</f>
        <v>0</v>
      </c>
      <c r="E285" s="217"/>
      <c r="F285" s="217">
        <f t="shared" si="56"/>
        <v>1</v>
      </c>
      <c r="G285" s="217">
        <f t="shared" si="57"/>
        <v>0</v>
      </c>
      <c r="H285" s="217">
        <f>IF(AND($A285&lt;&gt;"",'[1]Project Overview'!E282=""),1,0)</f>
        <v>0</v>
      </c>
      <c r="I285" s="217">
        <f>IF(AND($A285&lt;&gt;"",'[1]Project Overview'!G282=""),1,0)</f>
        <v>0</v>
      </c>
      <c r="J285" s="217">
        <f>IF(AND($A285&lt;&gt;"",OR('[1]Project Overview'!J282="ESCO",'[1]Project Overview'!J282="EPC",'[1]Project Overview'!J282="ESCO BUYOUT"),'[1]Project Overview'!L282=""),1,0)</f>
        <v>0</v>
      </c>
      <c r="K285" s="217">
        <f>IF(AND($A285&lt;&gt;"",'[1]Project Overview'!P282=""),1,0)</f>
        <v>0</v>
      </c>
      <c r="L285" s="217">
        <f>IF(AND($A285&lt;&gt;"",'[1]Project Overview'!AA282=""),1,0)</f>
        <v>0</v>
      </c>
      <c r="M285" s="217"/>
      <c r="N285" s="217"/>
      <c r="O285" s="217">
        <f t="shared" si="55"/>
        <v>1</v>
      </c>
      <c r="P285" s="217" t="str">
        <f t="shared" si="54"/>
        <v/>
      </c>
    </row>
    <row r="286" spans="1:16" hidden="1" x14ac:dyDescent="0.3">
      <c r="A286" s="217" t="str">
        <f>""&amp;'[1]Project Overview'!A283</f>
        <v/>
      </c>
      <c r="B286" s="218">
        <f>'[1]Project Overview'!C283</f>
        <v>0</v>
      </c>
      <c r="C286" s="218">
        <f>'[1]Project Overview'!D283</f>
        <v>0</v>
      </c>
      <c r="D286" s="217">
        <f>'[1]Project Overview'!V283</f>
        <v>0</v>
      </c>
      <c r="E286" s="217"/>
      <c r="F286" s="217">
        <f t="shared" si="56"/>
        <v>1</v>
      </c>
      <c r="G286" s="217">
        <f t="shared" si="57"/>
        <v>0</v>
      </c>
      <c r="H286" s="217">
        <f>IF(AND($A286&lt;&gt;"",'[1]Project Overview'!E283=""),1,0)</f>
        <v>0</v>
      </c>
      <c r="I286" s="217">
        <f>IF(AND($A286&lt;&gt;"",'[1]Project Overview'!G283=""),1,0)</f>
        <v>0</v>
      </c>
      <c r="J286" s="217">
        <f>IF(AND($A286&lt;&gt;"",OR('[1]Project Overview'!J283="ESCO",'[1]Project Overview'!J283="EPC",'[1]Project Overview'!J283="ESCO BUYOUT"),'[1]Project Overview'!L283=""),1,0)</f>
        <v>0</v>
      </c>
      <c r="K286" s="217">
        <f>IF(AND($A286&lt;&gt;"",'[1]Project Overview'!P283=""),1,0)</f>
        <v>0</v>
      </c>
      <c r="L286" s="217">
        <f>IF(AND($A286&lt;&gt;"",'[1]Project Overview'!AA283=""),1,0)</f>
        <v>0</v>
      </c>
      <c r="M286" s="217"/>
      <c r="N286" s="217"/>
      <c r="O286" s="217">
        <f t="shared" si="55"/>
        <v>1</v>
      </c>
      <c r="P286" s="217" t="str">
        <f t="shared" si="54"/>
        <v/>
      </c>
    </row>
    <row r="287" spans="1:16" hidden="1" x14ac:dyDescent="0.3">
      <c r="A287" s="217" t="str">
        <f>""&amp;'[1]Project Overview'!A284</f>
        <v/>
      </c>
      <c r="B287" s="218">
        <f>'[1]Project Overview'!C284</f>
        <v>0</v>
      </c>
      <c r="C287" s="218">
        <f>'[1]Project Overview'!D284</f>
        <v>0</v>
      </c>
      <c r="D287" s="217">
        <f>'[1]Project Overview'!V284</f>
        <v>0</v>
      </c>
      <c r="E287" s="217"/>
      <c r="F287" s="217">
        <f t="shared" si="56"/>
        <v>1</v>
      </c>
      <c r="G287" s="217">
        <f t="shared" si="57"/>
        <v>0</v>
      </c>
      <c r="H287" s="217">
        <f>IF(AND($A287&lt;&gt;"",'[1]Project Overview'!E284=""),1,0)</f>
        <v>0</v>
      </c>
      <c r="I287" s="217">
        <f>IF(AND($A287&lt;&gt;"",'[1]Project Overview'!G284=""),1,0)</f>
        <v>0</v>
      </c>
      <c r="J287" s="217">
        <f>IF(AND($A287&lt;&gt;"",OR('[1]Project Overview'!J284="ESCO",'[1]Project Overview'!J284="EPC",'[1]Project Overview'!J284="ESCO BUYOUT"),'[1]Project Overview'!L284=""),1,0)</f>
        <v>0</v>
      </c>
      <c r="K287" s="217">
        <f>IF(AND($A287&lt;&gt;"",'[1]Project Overview'!P284=""),1,0)</f>
        <v>0</v>
      </c>
      <c r="L287" s="217">
        <f>IF(AND($A287&lt;&gt;"",'[1]Project Overview'!AA284=""),1,0)</f>
        <v>0</v>
      </c>
      <c r="M287" s="217"/>
      <c r="N287" s="217"/>
      <c r="O287" s="217">
        <f t="shared" si="55"/>
        <v>1</v>
      </c>
      <c r="P287" s="217" t="str">
        <f t="shared" si="54"/>
        <v/>
      </c>
    </row>
    <row r="288" spans="1:16" hidden="1" x14ac:dyDescent="0.3">
      <c r="A288" s="217" t="str">
        <f>""&amp;'[1]Project Overview'!A285</f>
        <v/>
      </c>
      <c r="B288" s="218">
        <f>'[1]Project Overview'!C285</f>
        <v>0</v>
      </c>
      <c r="C288" s="218">
        <f>'[1]Project Overview'!D285</f>
        <v>0</v>
      </c>
      <c r="D288" s="217">
        <f>'[1]Project Overview'!V285</f>
        <v>0</v>
      </c>
      <c r="E288" s="217"/>
      <c r="F288" s="217">
        <f t="shared" si="56"/>
        <v>1</v>
      </c>
      <c r="G288" s="217">
        <f t="shared" si="57"/>
        <v>0</v>
      </c>
      <c r="H288" s="217">
        <f>IF(AND($A288&lt;&gt;"",'[1]Project Overview'!E285=""),1,0)</f>
        <v>0</v>
      </c>
      <c r="I288" s="217">
        <f>IF(AND($A288&lt;&gt;"",'[1]Project Overview'!G285=""),1,0)</f>
        <v>0</v>
      </c>
      <c r="J288" s="217">
        <f>IF(AND($A288&lt;&gt;"",OR('[1]Project Overview'!J285="ESCO",'[1]Project Overview'!J285="EPC",'[1]Project Overview'!J285="ESCO BUYOUT"),'[1]Project Overview'!L285=""),1,0)</f>
        <v>0</v>
      </c>
      <c r="K288" s="217">
        <f>IF(AND($A288&lt;&gt;"",'[1]Project Overview'!P285=""),1,0)</f>
        <v>0</v>
      </c>
      <c r="L288" s="217">
        <f>IF(AND($A288&lt;&gt;"",'[1]Project Overview'!AA285=""),1,0)</f>
        <v>0</v>
      </c>
      <c r="M288" s="217"/>
      <c r="N288" s="217"/>
      <c r="O288" s="217">
        <f t="shared" si="55"/>
        <v>1</v>
      </c>
      <c r="P288" s="217" t="str">
        <f t="shared" si="54"/>
        <v/>
      </c>
    </row>
    <row r="289" spans="1:16" hidden="1" x14ac:dyDescent="0.3">
      <c r="A289" s="217" t="str">
        <f>""&amp;'[1]Project Overview'!A286</f>
        <v/>
      </c>
      <c r="B289" s="218">
        <f>'[1]Project Overview'!C286</f>
        <v>0</v>
      </c>
      <c r="C289" s="218">
        <f>'[1]Project Overview'!D286</f>
        <v>0</v>
      </c>
      <c r="D289" s="217">
        <f>'[1]Project Overview'!V286</f>
        <v>0</v>
      </c>
      <c r="E289" s="217"/>
      <c r="F289" s="217">
        <f t="shared" si="56"/>
        <v>1</v>
      </c>
      <c r="G289" s="217">
        <f t="shared" si="57"/>
        <v>0</v>
      </c>
      <c r="H289" s="217">
        <f>IF(AND($A289&lt;&gt;"",'[1]Project Overview'!E286=""),1,0)</f>
        <v>0</v>
      </c>
      <c r="I289" s="217">
        <f>IF(AND($A289&lt;&gt;"",'[1]Project Overview'!G286=""),1,0)</f>
        <v>0</v>
      </c>
      <c r="J289" s="217">
        <f>IF(AND($A289&lt;&gt;"",OR('[1]Project Overview'!J286="ESCO",'[1]Project Overview'!J286="EPC",'[1]Project Overview'!J286="ESCO BUYOUT"),'[1]Project Overview'!L286=""),1,0)</f>
        <v>0</v>
      </c>
      <c r="K289" s="217">
        <f>IF(AND($A289&lt;&gt;"",'[1]Project Overview'!P286=""),1,0)</f>
        <v>0</v>
      </c>
      <c r="L289" s="217">
        <f>IF(AND($A289&lt;&gt;"",'[1]Project Overview'!AA286=""),1,0)</f>
        <v>0</v>
      </c>
      <c r="M289" s="217"/>
      <c r="N289" s="217"/>
      <c r="O289" s="217">
        <f t="shared" si="55"/>
        <v>1</v>
      </c>
      <c r="P289" s="217" t="str">
        <f t="shared" si="54"/>
        <v/>
      </c>
    </row>
    <row r="290" spans="1:16" hidden="1" x14ac:dyDescent="0.3">
      <c r="A290" s="217" t="str">
        <f>""&amp;'[1]Project Overview'!A287</f>
        <v/>
      </c>
      <c r="B290" s="218">
        <f>'[1]Project Overview'!C287</f>
        <v>0</v>
      </c>
      <c r="C290" s="218">
        <f>'[1]Project Overview'!D287</f>
        <v>0</v>
      </c>
      <c r="D290" s="217">
        <f>'[1]Project Overview'!V287</f>
        <v>0</v>
      </c>
      <c r="E290" s="217"/>
      <c r="F290" s="217">
        <f t="shared" si="56"/>
        <v>1</v>
      </c>
      <c r="G290" s="217">
        <f t="shared" si="57"/>
        <v>0</v>
      </c>
      <c r="H290" s="217">
        <f>IF(AND($A290&lt;&gt;"",'[1]Project Overview'!E287=""),1,0)</f>
        <v>0</v>
      </c>
      <c r="I290" s="217">
        <f>IF(AND($A290&lt;&gt;"",'[1]Project Overview'!G287=""),1,0)</f>
        <v>0</v>
      </c>
      <c r="J290" s="217">
        <f>IF(AND($A290&lt;&gt;"",OR('[1]Project Overview'!J287="ESCO",'[1]Project Overview'!J287="EPC",'[1]Project Overview'!J287="ESCO BUYOUT"),'[1]Project Overview'!L287=""),1,0)</f>
        <v>0</v>
      </c>
      <c r="K290" s="217">
        <f>IF(AND($A290&lt;&gt;"",'[1]Project Overview'!P287=""),1,0)</f>
        <v>0</v>
      </c>
      <c r="L290" s="217">
        <f>IF(AND($A290&lt;&gt;"",'[1]Project Overview'!AA287=""),1,0)</f>
        <v>0</v>
      </c>
      <c r="M290" s="217"/>
      <c r="N290" s="217"/>
      <c r="O290" s="217">
        <f t="shared" si="55"/>
        <v>1</v>
      </c>
      <c r="P290" s="217" t="str">
        <f t="shared" si="54"/>
        <v/>
      </c>
    </row>
    <row r="291" spans="1:16" hidden="1" x14ac:dyDescent="0.3">
      <c r="A291" s="217" t="str">
        <f>""&amp;'[1]Project Overview'!A288</f>
        <v/>
      </c>
      <c r="B291" s="218">
        <f>'[1]Project Overview'!C288</f>
        <v>0</v>
      </c>
      <c r="C291" s="218">
        <f>'[1]Project Overview'!D288</f>
        <v>0</v>
      </c>
      <c r="D291" s="217">
        <f>'[1]Project Overview'!V288</f>
        <v>0</v>
      </c>
      <c r="E291" s="217"/>
      <c r="F291" s="217">
        <f t="shared" si="56"/>
        <v>1</v>
      </c>
      <c r="G291" s="217">
        <f t="shared" si="57"/>
        <v>0</v>
      </c>
      <c r="H291" s="217">
        <f>IF(AND($A291&lt;&gt;"",'[1]Project Overview'!E288=""),1,0)</f>
        <v>0</v>
      </c>
      <c r="I291" s="217">
        <f>IF(AND($A291&lt;&gt;"",'[1]Project Overview'!G288=""),1,0)</f>
        <v>0</v>
      </c>
      <c r="J291" s="217">
        <f>IF(AND($A291&lt;&gt;"",OR('[1]Project Overview'!J288="ESCO",'[1]Project Overview'!J288="EPC",'[1]Project Overview'!J288="ESCO BUYOUT"),'[1]Project Overview'!L288=""),1,0)</f>
        <v>0</v>
      </c>
      <c r="K291" s="217">
        <f>IF(AND($A291&lt;&gt;"",'[1]Project Overview'!P288=""),1,0)</f>
        <v>0</v>
      </c>
      <c r="L291" s="217">
        <f>IF(AND($A291&lt;&gt;"",'[1]Project Overview'!AA288=""),1,0)</f>
        <v>0</v>
      </c>
      <c r="M291" s="217"/>
      <c r="N291" s="217"/>
      <c r="O291" s="217">
        <f t="shared" si="55"/>
        <v>1</v>
      </c>
      <c r="P291" s="217" t="str">
        <f t="shared" si="54"/>
        <v/>
      </c>
    </row>
    <row r="292" spans="1:16" hidden="1" x14ac:dyDescent="0.3">
      <c r="A292" s="217" t="str">
        <f>""&amp;'[1]Project Overview'!A289</f>
        <v/>
      </c>
      <c r="B292" s="218">
        <f>'[1]Project Overview'!C289</f>
        <v>0</v>
      </c>
      <c r="C292" s="218">
        <f>'[1]Project Overview'!D289</f>
        <v>0</v>
      </c>
      <c r="D292" s="217">
        <f>'[1]Project Overview'!V289</f>
        <v>0</v>
      </c>
      <c r="E292" s="217"/>
      <c r="F292" s="217">
        <f t="shared" si="56"/>
        <v>1</v>
      </c>
      <c r="G292" s="217">
        <f t="shared" si="57"/>
        <v>0</v>
      </c>
      <c r="H292" s="217">
        <f>IF(AND($A292&lt;&gt;"",'[1]Project Overview'!E289=""),1,0)</f>
        <v>0</v>
      </c>
      <c r="I292" s="217">
        <f>IF(AND($A292&lt;&gt;"",'[1]Project Overview'!G289=""),1,0)</f>
        <v>0</v>
      </c>
      <c r="J292" s="217">
        <f>IF(AND($A292&lt;&gt;"",OR('[1]Project Overview'!J289="ESCO",'[1]Project Overview'!J289="EPC",'[1]Project Overview'!J289="ESCO BUYOUT"),'[1]Project Overview'!L289=""),1,0)</f>
        <v>0</v>
      </c>
      <c r="K292" s="217">
        <f>IF(AND($A292&lt;&gt;"",'[1]Project Overview'!P289=""),1,0)</f>
        <v>0</v>
      </c>
      <c r="L292" s="217">
        <f>IF(AND($A292&lt;&gt;"",'[1]Project Overview'!AA289=""),1,0)</f>
        <v>0</v>
      </c>
      <c r="M292" s="217"/>
      <c r="N292" s="217"/>
      <c r="O292" s="217">
        <f t="shared" si="55"/>
        <v>1</v>
      </c>
      <c r="P292" s="217" t="str">
        <f t="shared" si="54"/>
        <v/>
      </c>
    </row>
    <row r="293" spans="1:16" hidden="1" x14ac:dyDescent="0.3">
      <c r="A293" s="217" t="str">
        <f>""&amp;'[1]Project Overview'!A290</f>
        <v/>
      </c>
      <c r="B293" s="218">
        <f>'[1]Project Overview'!C290</f>
        <v>0</v>
      </c>
      <c r="C293" s="218">
        <f>'[1]Project Overview'!D290</f>
        <v>0</v>
      </c>
      <c r="D293" s="217">
        <f>'[1]Project Overview'!V290</f>
        <v>0</v>
      </c>
      <c r="E293" s="217"/>
      <c r="F293" s="217">
        <f t="shared" si="56"/>
        <v>1</v>
      </c>
      <c r="G293" s="217">
        <f t="shared" si="57"/>
        <v>0</v>
      </c>
      <c r="H293" s="217">
        <f>IF(AND($A293&lt;&gt;"",'[1]Project Overview'!E290=""),1,0)</f>
        <v>0</v>
      </c>
      <c r="I293" s="217">
        <f>IF(AND($A293&lt;&gt;"",'[1]Project Overview'!G290=""),1,0)</f>
        <v>0</v>
      </c>
      <c r="J293" s="217">
        <f>IF(AND($A293&lt;&gt;"",OR('[1]Project Overview'!J290="ESCO",'[1]Project Overview'!J290="EPC",'[1]Project Overview'!J290="ESCO BUYOUT"),'[1]Project Overview'!L290=""),1,0)</f>
        <v>0</v>
      </c>
      <c r="K293" s="217">
        <f>IF(AND($A293&lt;&gt;"",'[1]Project Overview'!P290=""),1,0)</f>
        <v>0</v>
      </c>
      <c r="L293" s="217">
        <f>IF(AND($A293&lt;&gt;"",'[1]Project Overview'!AA290=""),1,0)</f>
        <v>0</v>
      </c>
      <c r="M293" s="217"/>
      <c r="N293" s="217"/>
      <c r="O293" s="217">
        <f t="shared" si="55"/>
        <v>1</v>
      </c>
      <c r="P293" s="217" t="str">
        <f t="shared" si="54"/>
        <v/>
      </c>
    </row>
    <row r="294" spans="1:16" hidden="1" x14ac:dyDescent="0.3">
      <c r="A294" s="217" t="str">
        <f>""&amp;'[1]Project Overview'!A291</f>
        <v/>
      </c>
      <c r="B294" s="218">
        <f>'[1]Project Overview'!C291</f>
        <v>0</v>
      </c>
      <c r="C294" s="218">
        <f>'[1]Project Overview'!D291</f>
        <v>0</v>
      </c>
      <c r="D294" s="217">
        <f>'[1]Project Overview'!V291</f>
        <v>0</v>
      </c>
      <c r="E294" s="217"/>
      <c r="F294" s="217">
        <f t="shared" si="56"/>
        <v>1</v>
      </c>
      <c r="G294" s="217">
        <f t="shared" si="57"/>
        <v>0</v>
      </c>
      <c r="H294" s="217">
        <f>IF(AND($A294&lt;&gt;"",'[1]Project Overview'!E291=""),1,0)</f>
        <v>0</v>
      </c>
      <c r="I294" s="217">
        <f>IF(AND($A294&lt;&gt;"",'[1]Project Overview'!G291=""),1,0)</f>
        <v>0</v>
      </c>
      <c r="J294" s="217">
        <f>IF(AND($A294&lt;&gt;"",OR('[1]Project Overview'!J291="ESCO",'[1]Project Overview'!J291="EPC",'[1]Project Overview'!J291="ESCO BUYOUT"),'[1]Project Overview'!L291=""),1,0)</f>
        <v>0</v>
      </c>
      <c r="K294" s="217">
        <f>IF(AND($A294&lt;&gt;"",'[1]Project Overview'!P291=""),1,0)</f>
        <v>0</v>
      </c>
      <c r="L294" s="217">
        <f>IF(AND($A294&lt;&gt;"",'[1]Project Overview'!AA291=""),1,0)</f>
        <v>0</v>
      </c>
      <c r="M294" s="217"/>
      <c r="N294" s="217"/>
      <c r="O294" s="217">
        <f t="shared" si="55"/>
        <v>1</v>
      </c>
      <c r="P294" s="217" t="str">
        <f t="shared" si="54"/>
        <v/>
      </c>
    </row>
    <row r="295" spans="1:16" hidden="1" x14ac:dyDescent="0.3">
      <c r="A295" s="217" t="str">
        <f>""&amp;'[1]Project Overview'!A292</f>
        <v/>
      </c>
      <c r="B295" s="218">
        <f>'[1]Project Overview'!C292</f>
        <v>0</v>
      </c>
      <c r="C295" s="218">
        <f>'[1]Project Overview'!D292</f>
        <v>0</v>
      </c>
      <c r="D295" s="217">
        <f>'[1]Project Overview'!V292</f>
        <v>0</v>
      </c>
      <c r="E295" s="217"/>
      <c r="F295" s="217">
        <f t="shared" si="56"/>
        <v>1</v>
      </c>
      <c r="G295" s="217">
        <f t="shared" si="57"/>
        <v>0</v>
      </c>
      <c r="H295" s="217">
        <f>IF(AND($A295&lt;&gt;"",'[1]Project Overview'!E292=""),1,0)</f>
        <v>0</v>
      </c>
      <c r="I295" s="217">
        <f>IF(AND($A295&lt;&gt;"",'[1]Project Overview'!G292=""),1,0)</f>
        <v>0</v>
      </c>
      <c r="J295" s="217">
        <f>IF(AND($A295&lt;&gt;"",OR('[1]Project Overview'!J292="ESCO",'[1]Project Overview'!J292="EPC",'[1]Project Overview'!J292="ESCO BUYOUT"),'[1]Project Overview'!L292=""),1,0)</f>
        <v>0</v>
      </c>
      <c r="K295" s="217">
        <f>IF(AND($A295&lt;&gt;"",'[1]Project Overview'!P292=""),1,0)</f>
        <v>0</v>
      </c>
      <c r="L295" s="217">
        <f>IF(AND($A295&lt;&gt;"",'[1]Project Overview'!AA292=""),1,0)</f>
        <v>0</v>
      </c>
      <c r="M295" s="217"/>
      <c r="N295" s="217"/>
      <c r="O295" s="217">
        <f t="shared" si="55"/>
        <v>1</v>
      </c>
      <c r="P295" s="217" t="str">
        <f t="shared" si="54"/>
        <v/>
      </c>
    </row>
    <row r="296" spans="1:16" hidden="1" x14ac:dyDescent="0.3">
      <c r="A296" s="217" t="str">
        <f>""&amp;'[1]Project Overview'!A293</f>
        <v/>
      </c>
      <c r="B296" s="218">
        <f>'[1]Project Overview'!C293</f>
        <v>0</v>
      </c>
      <c r="C296" s="218">
        <f>'[1]Project Overview'!D293</f>
        <v>0</v>
      </c>
      <c r="D296" s="217">
        <f>'[1]Project Overview'!V293</f>
        <v>0</v>
      </c>
      <c r="E296" s="217"/>
      <c r="F296" s="217">
        <f t="shared" si="56"/>
        <v>1</v>
      </c>
      <c r="G296" s="217">
        <f t="shared" si="57"/>
        <v>0</v>
      </c>
      <c r="H296" s="217">
        <f>IF(AND($A296&lt;&gt;"",'[1]Project Overview'!E293=""),1,0)</f>
        <v>0</v>
      </c>
      <c r="I296" s="217">
        <f>IF(AND($A296&lt;&gt;"",'[1]Project Overview'!G293=""),1,0)</f>
        <v>0</v>
      </c>
      <c r="J296" s="217">
        <f>IF(AND($A296&lt;&gt;"",OR('[1]Project Overview'!J293="ESCO",'[1]Project Overview'!J293="EPC",'[1]Project Overview'!J293="ESCO BUYOUT"),'[1]Project Overview'!L293=""),1,0)</f>
        <v>0</v>
      </c>
      <c r="K296" s="217">
        <f>IF(AND($A296&lt;&gt;"",'[1]Project Overview'!P293=""),1,0)</f>
        <v>0</v>
      </c>
      <c r="L296" s="217">
        <f>IF(AND($A296&lt;&gt;"",'[1]Project Overview'!AA293=""),1,0)</f>
        <v>0</v>
      </c>
      <c r="M296" s="217"/>
      <c r="N296" s="217"/>
      <c r="O296" s="217">
        <f t="shared" si="55"/>
        <v>1</v>
      </c>
      <c r="P296" s="217" t="str">
        <f t="shared" si="54"/>
        <v/>
      </c>
    </row>
    <row r="297" spans="1:16" hidden="1" x14ac:dyDescent="0.3">
      <c r="A297" s="217" t="str">
        <f>""&amp;'[1]Project Overview'!A294</f>
        <v/>
      </c>
      <c r="B297" s="218">
        <f>'[1]Project Overview'!C294</f>
        <v>0</v>
      </c>
      <c r="C297" s="218">
        <f>'[1]Project Overview'!D294</f>
        <v>0</v>
      </c>
      <c r="D297" s="217">
        <f>'[1]Project Overview'!V294</f>
        <v>0</v>
      </c>
      <c r="E297" s="217"/>
      <c r="F297" s="217">
        <f t="shared" si="56"/>
        <v>1</v>
      </c>
      <c r="G297" s="217">
        <f t="shared" si="57"/>
        <v>0</v>
      </c>
      <c r="H297" s="217">
        <f>IF(AND($A297&lt;&gt;"",'[1]Project Overview'!E294=""),1,0)</f>
        <v>0</v>
      </c>
      <c r="I297" s="217">
        <f>IF(AND($A297&lt;&gt;"",'[1]Project Overview'!G294=""),1,0)</f>
        <v>0</v>
      </c>
      <c r="J297" s="217">
        <f>IF(AND($A297&lt;&gt;"",OR('[1]Project Overview'!J294="ESCO",'[1]Project Overview'!J294="EPC",'[1]Project Overview'!J294="ESCO BUYOUT"),'[1]Project Overview'!L294=""),1,0)</f>
        <v>0</v>
      </c>
      <c r="K297" s="217">
        <f>IF(AND($A297&lt;&gt;"",'[1]Project Overview'!P294=""),1,0)</f>
        <v>0</v>
      </c>
      <c r="L297" s="217">
        <f>IF(AND($A297&lt;&gt;"",'[1]Project Overview'!AA294=""),1,0)</f>
        <v>0</v>
      </c>
      <c r="M297" s="217"/>
      <c r="N297" s="217"/>
      <c r="O297" s="217">
        <f t="shared" si="55"/>
        <v>1</v>
      </c>
      <c r="P297" s="217" t="str">
        <f t="shared" si="54"/>
        <v/>
      </c>
    </row>
    <row r="298" spans="1:16" hidden="1" x14ac:dyDescent="0.3">
      <c r="A298" s="217" t="str">
        <f>""&amp;'[1]Project Overview'!A295</f>
        <v/>
      </c>
      <c r="B298" s="218">
        <f>'[1]Project Overview'!C295</f>
        <v>0</v>
      </c>
      <c r="C298" s="218">
        <f>'[1]Project Overview'!D295</f>
        <v>0</v>
      </c>
      <c r="D298" s="217">
        <f>'[1]Project Overview'!V295</f>
        <v>0</v>
      </c>
      <c r="E298" s="217"/>
      <c r="F298" s="217">
        <f t="shared" si="56"/>
        <v>1</v>
      </c>
      <c r="G298" s="217">
        <f t="shared" si="57"/>
        <v>0</v>
      </c>
      <c r="H298" s="217">
        <f>IF(AND($A298&lt;&gt;"",'[1]Project Overview'!E295=""),1,0)</f>
        <v>0</v>
      </c>
      <c r="I298" s="217">
        <f>IF(AND($A298&lt;&gt;"",'[1]Project Overview'!G295=""),1,0)</f>
        <v>0</v>
      </c>
      <c r="J298" s="217">
        <f>IF(AND($A298&lt;&gt;"",OR('[1]Project Overview'!J295="ESCO",'[1]Project Overview'!J295="EPC",'[1]Project Overview'!J295="ESCO BUYOUT"),'[1]Project Overview'!L295=""),1,0)</f>
        <v>0</v>
      </c>
      <c r="K298" s="217">
        <f>IF(AND($A298&lt;&gt;"",'[1]Project Overview'!P295=""),1,0)</f>
        <v>0</v>
      </c>
      <c r="L298" s="217">
        <f>IF(AND($A298&lt;&gt;"",'[1]Project Overview'!AA295=""),1,0)</f>
        <v>0</v>
      </c>
      <c r="M298" s="217"/>
      <c r="N298" s="217"/>
      <c r="O298" s="217">
        <f t="shared" si="55"/>
        <v>1</v>
      </c>
      <c r="P298" s="217" t="str">
        <f t="shared" si="54"/>
        <v/>
      </c>
    </row>
    <row r="299" spans="1:16" hidden="1" x14ac:dyDescent="0.3">
      <c r="A299" s="217" t="str">
        <f>""&amp;'[1]Project Overview'!A296</f>
        <v/>
      </c>
      <c r="B299" s="218">
        <f>'[1]Project Overview'!C296</f>
        <v>0</v>
      </c>
      <c r="C299" s="218">
        <f>'[1]Project Overview'!D296</f>
        <v>0</v>
      </c>
      <c r="D299" s="217">
        <f>'[1]Project Overview'!V296</f>
        <v>0</v>
      </c>
      <c r="E299" s="217"/>
      <c r="F299" s="217">
        <f t="shared" si="56"/>
        <v>1</v>
      </c>
      <c r="G299" s="217">
        <f t="shared" si="57"/>
        <v>0</v>
      </c>
      <c r="H299" s="217">
        <f>IF(AND($A299&lt;&gt;"",'[1]Project Overview'!E296=""),1,0)</f>
        <v>0</v>
      </c>
      <c r="I299" s="217">
        <f>IF(AND($A299&lt;&gt;"",'[1]Project Overview'!G296=""),1,0)</f>
        <v>0</v>
      </c>
      <c r="J299" s="217">
        <f>IF(AND($A299&lt;&gt;"",OR('[1]Project Overview'!J296="ESCO",'[1]Project Overview'!J296="EPC",'[1]Project Overview'!J296="ESCO BUYOUT"),'[1]Project Overview'!L296=""),1,0)</f>
        <v>0</v>
      </c>
      <c r="K299" s="217">
        <f>IF(AND($A299&lt;&gt;"",'[1]Project Overview'!P296=""),1,0)</f>
        <v>0</v>
      </c>
      <c r="L299" s="217">
        <f>IF(AND($A299&lt;&gt;"",'[1]Project Overview'!AA296=""),1,0)</f>
        <v>0</v>
      </c>
      <c r="M299" s="217"/>
      <c r="N299" s="217"/>
      <c r="O299" s="217">
        <f t="shared" si="55"/>
        <v>1</v>
      </c>
      <c r="P299" s="217" t="str">
        <f t="shared" si="54"/>
        <v/>
      </c>
    </row>
    <row r="300" spans="1:16" hidden="1" x14ac:dyDescent="0.3">
      <c r="A300" s="217" t="str">
        <f>""&amp;'[1]Project Overview'!A297</f>
        <v/>
      </c>
      <c r="B300" s="218">
        <f>'[1]Project Overview'!C297</f>
        <v>0</v>
      </c>
      <c r="C300" s="218">
        <f>'[1]Project Overview'!D297</f>
        <v>0</v>
      </c>
      <c r="D300" s="217">
        <f>'[1]Project Overview'!V297</f>
        <v>0</v>
      </c>
      <c r="E300" s="217"/>
      <c r="F300" s="217">
        <f t="shared" si="56"/>
        <v>1</v>
      </c>
      <c r="G300" s="217">
        <f t="shared" si="57"/>
        <v>0</v>
      </c>
      <c r="H300" s="217">
        <f>IF(AND($A300&lt;&gt;"",'[1]Project Overview'!E297=""),1,0)</f>
        <v>0</v>
      </c>
      <c r="I300" s="217">
        <f>IF(AND($A300&lt;&gt;"",'[1]Project Overview'!G297=""),1,0)</f>
        <v>0</v>
      </c>
      <c r="J300" s="217">
        <f>IF(AND($A300&lt;&gt;"",OR('[1]Project Overview'!J297="ESCO",'[1]Project Overview'!J297="EPC",'[1]Project Overview'!J297="ESCO BUYOUT"),'[1]Project Overview'!L297=""),1,0)</f>
        <v>0</v>
      </c>
      <c r="K300" s="217">
        <f>IF(AND($A300&lt;&gt;"",'[1]Project Overview'!P297=""),1,0)</f>
        <v>0</v>
      </c>
      <c r="L300" s="217">
        <f>IF(AND($A300&lt;&gt;"",'[1]Project Overview'!AA297=""),1,0)</f>
        <v>0</v>
      </c>
      <c r="M300" s="217"/>
      <c r="N300" s="217"/>
      <c r="O300" s="217">
        <f t="shared" si="55"/>
        <v>1</v>
      </c>
      <c r="P300" s="217" t="str">
        <f t="shared" si="54"/>
        <v/>
      </c>
    </row>
    <row r="301" spans="1:16" hidden="1" x14ac:dyDescent="0.3">
      <c r="A301" s="217" t="str">
        <f>""&amp;'[1]Project Overview'!A298</f>
        <v/>
      </c>
      <c r="B301" s="218">
        <f>'[1]Project Overview'!C298</f>
        <v>0</v>
      </c>
      <c r="C301" s="218">
        <f>'[1]Project Overview'!D298</f>
        <v>0</v>
      </c>
      <c r="D301" s="217">
        <f>'[1]Project Overview'!V298</f>
        <v>0</v>
      </c>
      <c r="E301" s="217"/>
      <c r="F301" s="217">
        <f t="shared" si="56"/>
        <v>1</v>
      </c>
      <c r="G301" s="217">
        <f t="shared" si="57"/>
        <v>0</v>
      </c>
      <c r="H301" s="217">
        <f>IF(AND($A301&lt;&gt;"",'[1]Project Overview'!E298=""),1,0)</f>
        <v>0</v>
      </c>
      <c r="I301" s="217">
        <f>IF(AND($A301&lt;&gt;"",'[1]Project Overview'!G298=""),1,0)</f>
        <v>0</v>
      </c>
      <c r="J301" s="217">
        <f>IF(AND($A301&lt;&gt;"",OR('[1]Project Overview'!J298="ESCO",'[1]Project Overview'!J298="EPC",'[1]Project Overview'!J298="ESCO BUYOUT"),'[1]Project Overview'!L298=""),1,0)</f>
        <v>0</v>
      </c>
      <c r="K301" s="217">
        <f>IF(AND($A301&lt;&gt;"",'[1]Project Overview'!P298=""),1,0)</f>
        <v>0</v>
      </c>
      <c r="L301" s="217">
        <f>IF(AND($A301&lt;&gt;"",'[1]Project Overview'!AA298=""),1,0)</f>
        <v>0</v>
      </c>
      <c r="M301" s="217"/>
      <c r="N301" s="217"/>
      <c r="O301" s="217">
        <f t="shared" si="55"/>
        <v>1</v>
      </c>
      <c r="P301" s="217" t="str">
        <f t="shared" si="54"/>
        <v/>
      </c>
    </row>
    <row r="302" spans="1:16" hidden="1" x14ac:dyDescent="0.3">
      <c r="A302" s="217" t="str">
        <f>""&amp;'[1]Project Overview'!A299</f>
        <v/>
      </c>
      <c r="B302" s="218">
        <f>'[1]Project Overview'!C299</f>
        <v>0</v>
      </c>
      <c r="C302" s="218">
        <f>'[1]Project Overview'!D299</f>
        <v>0</v>
      </c>
      <c r="D302" s="217">
        <f>'[1]Project Overview'!V299</f>
        <v>0</v>
      </c>
      <c r="E302" s="217"/>
      <c r="F302" s="217">
        <f t="shared" si="56"/>
        <v>1</v>
      </c>
      <c r="G302" s="217">
        <f t="shared" si="57"/>
        <v>0</v>
      </c>
      <c r="H302" s="217">
        <f>IF(AND($A302&lt;&gt;"",'[1]Project Overview'!E299=""),1,0)</f>
        <v>0</v>
      </c>
      <c r="I302" s="217">
        <f>IF(AND($A302&lt;&gt;"",'[1]Project Overview'!G299=""),1,0)</f>
        <v>0</v>
      </c>
      <c r="J302" s="217">
        <f>IF(AND($A302&lt;&gt;"",OR('[1]Project Overview'!J299="ESCO",'[1]Project Overview'!J299="EPC",'[1]Project Overview'!J299="ESCO BUYOUT"),'[1]Project Overview'!L299=""),1,0)</f>
        <v>0</v>
      </c>
      <c r="K302" s="217">
        <f>IF(AND($A302&lt;&gt;"",'[1]Project Overview'!P299=""),1,0)</f>
        <v>0</v>
      </c>
      <c r="L302" s="217">
        <f>IF(AND($A302&lt;&gt;"",'[1]Project Overview'!AA299=""),1,0)</f>
        <v>0</v>
      </c>
      <c r="M302" s="217"/>
      <c r="N302" s="217"/>
      <c r="O302" s="217">
        <f t="shared" si="55"/>
        <v>1</v>
      </c>
      <c r="P302" s="217" t="str">
        <f t="shared" si="54"/>
        <v/>
      </c>
    </row>
    <row r="303" spans="1:16" hidden="1" x14ac:dyDescent="0.3">
      <c r="A303" s="217" t="str">
        <f>""&amp;'[1]Project Overview'!A300</f>
        <v/>
      </c>
      <c r="B303" s="218">
        <f>'[1]Project Overview'!C300</f>
        <v>0</v>
      </c>
      <c r="C303" s="218">
        <f>'[1]Project Overview'!D300</f>
        <v>0</v>
      </c>
      <c r="D303" s="217">
        <f>'[1]Project Overview'!V300</f>
        <v>0</v>
      </c>
      <c r="E303" s="217"/>
      <c r="F303" s="217">
        <f t="shared" si="56"/>
        <v>1</v>
      </c>
      <c r="G303" s="217">
        <f t="shared" si="57"/>
        <v>0</v>
      </c>
      <c r="H303" s="217">
        <f>IF(AND($A303&lt;&gt;"",'[1]Project Overview'!E300=""),1,0)</f>
        <v>0</v>
      </c>
      <c r="I303" s="217">
        <f>IF(AND($A303&lt;&gt;"",'[1]Project Overview'!G300=""),1,0)</f>
        <v>0</v>
      </c>
      <c r="J303" s="217">
        <f>IF(AND($A303&lt;&gt;"",OR('[1]Project Overview'!J300="ESCO",'[1]Project Overview'!J300="EPC",'[1]Project Overview'!J300="ESCO BUYOUT"),'[1]Project Overview'!L300=""),1,0)</f>
        <v>0</v>
      </c>
      <c r="K303" s="217">
        <f>IF(AND($A303&lt;&gt;"",'[1]Project Overview'!P300=""),1,0)</f>
        <v>0</v>
      </c>
      <c r="L303" s="217">
        <f>IF(AND($A303&lt;&gt;"",'[1]Project Overview'!AA300=""),1,0)</f>
        <v>0</v>
      </c>
      <c r="M303" s="217"/>
      <c r="N303" s="217"/>
      <c r="O303" s="217">
        <f t="shared" si="55"/>
        <v>1</v>
      </c>
      <c r="P303" s="217" t="str">
        <f t="shared" si="54"/>
        <v/>
      </c>
    </row>
    <row r="304" spans="1:16" hidden="1" x14ac:dyDescent="0.3">
      <c r="A304" s="217" t="str">
        <f>""&amp;'[1]Project Overview'!A301</f>
        <v/>
      </c>
      <c r="B304" s="218">
        <f>'[1]Project Overview'!C301</f>
        <v>0</v>
      </c>
      <c r="C304" s="218">
        <f>'[1]Project Overview'!D301</f>
        <v>0</v>
      </c>
      <c r="D304" s="217">
        <f>'[1]Project Overview'!V301</f>
        <v>0</v>
      </c>
      <c r="E304" s="217"/>
      <c r="F304" s="217">
        <f t="shared" si="56"/>
        <v>1</v>
      </c>
      <c r="G304" s="217">
        <f t="shared" si="57"/>
        <v>0</v>
      </c>
      <c r="H304" s="217">
        <f>IF(AND($A304&lt;&gt;"",'[1]Project Overview'!E301=""),1,0)</f>
        <v>0</v>
      </c>
      <c r="I304" s="217">
        <f>IF(AND($A304&lt;&gt;"",'[1]Project Overview'!G301=""),1,0)</f>
        <v>0</v>
      </c>
      <c r="J304" s="217">
        <f>IF(AND($A304&lt;&gt;"",OR('[1]Project Overview'!J301="ESCO",'[1]Project Overview'!J301="EPC",'[1]Project Overview'!J301="ESCO BUYOUT"),'[1]Project Overview'!L301=""),1,0)</f>
        <v>0</v>
      </c>
      <c r="K304" s="217">
        <f>IF(AND($A304&lt;&gt;"",'[1]Project Overview'!P301=""),1,0)</f>
        <v>0</v>
      </c>
      <c r="L304" s="217">
        <f>IF(AND($A304&lt;&gt;"",'[1]Project Overview'!AA301=""),1,0)</f>
        <v>0</v>
      </c>
      <c r="M304" s="217"/>
      <c r="N304" s="217"/>
      <c r="O304" s="217">
        <f t="shared" si="55"/>
        <v>1</v>
      </c>
      <c r="P304" s="217" t="str">
        <f t="shared" si="54"/>
        <v/>
      </c>
    </row>
    <row r="305" spans="1:16" hidden="1" x14ac:dyDescent="0.3">
      <c r="A305" s="217" t="str">
        <f>""&amp;'[1]Project Overview'!A302</f>
        <v/>
      </c>
      <c r="B305" s="218">
        <f>'[1]Project Overview'!C302</f>
        <v>0</v>
      </c>
      <c r="C305" s="218">
        <f>'[1]Project Overview'!D302</f>
        <v>0</v>
      </c>
      <c r="D305" s="217">
        <f>'[1]Project Overview'!V302</f>
        <v>0</v>
      </c>
      <c r="E305" s="217"/>
      <c r="F305" s="217">
        <f t="shared" si="56"/>
        <v>1</v>
      </c>
      <c r="G305" s="217">
        <f t="shared" si="57"/>
        <v>0</v>
      </c>
      <c r="H305" s="217">
        <f>IF(AND($A305&lt;&gt;"",'[1]Project Overview'!E302=""),1,0)</f>
        <v>0</v>
      </c>
      <c r="I305" s="217">
        <f>IF(AND($A305&lt;&gt;"",'[1]Project Overview'!G302=""),1,0)</f>
        <v>0</v>
      </c>
      <c r="J305" s="217">
        <f>IF(AND($A305&lt;&gt;"",OR('[1]Project Overview'!J302="ESCO",'[1]Project Overview'!J302="EPC",'[1]Project Overview'!J302="ESCO BUYOUT"),'[1]Project Overview'!L302=""),1,0)</f>
        <v>0</v>
      </c>
      <c r="K305" s="217">
        <f>IF(AND($A305&lt;&gt;"",'[1]Project Overview'!P302=""),1,0)</f>
        <v>0</v>
      </c>
      <c r="L305" s="217">
        <f>IF(AND($A305&lt;&gt;"",'[1]Project Overview'!AA302=""),1,0)</f>
        <v>0</v>
      </c>
      <c r="M305" s="217"/>
      <c r="N305" s="217"/>
      <c r="O305" s="217">
        <f t="shared" si="55"/>
        <v>1</v>
      </c>
      <c r="P305" s="217" t="str">
        <f t="shared" si="54"/>
        <v/>
      </c>
    </row>
    <row r="306" spans="1:16" hidden="1" x14ac:dyDescent="0.3">
      <c r="A306" s="217" t="str">
        <f>""&amp;'[1]Project Overview'!A303</f>
        <v/>
      </c>
      <c r="B306" s="218">
        <f>'[1]Project Overview'!C303</f>
        <v>0</v>
      </c>
      <c r="C306" s="218">
        <f>'[1]Project Overview'!D303</f>
        <v>0</v>
      </c>
      <c r="D306" s="217">
        <f>'[1]Project Overview'!V303</f>
        <v>0</v>
      </c>
      <c r="E306" s="217"/>
      <c r="F306" s="217">
        <f t="shared" si="56"/>
        <v>1</v>
      </c>
      <c r="G306" s="217">
        <f t="shared" si="57"/>
        <v>0</v>
      </c>
      <c r="H306" s="217">
        <f>IF(AND($A306&lt;&gt;"",'[1]Project Overview'!E303=""),1,0)</f>
        <v>0</v>
      </c>
      <c r="I306" s="217">
        <f>IF(AND($A306&lt;&gt;"",'[1]Project Overview'!G303=""),1,0)</f>
        <v>0</v>
      </c>
      <c r="J306" s="217">
        <f>IF(AND($A306&lt;&gt;"",OR('[1]Project Overview'!J303="ESCO",'[1]Project Overview'!J303="EPC",'[1]Project Overview'!J303="ESCO BUYOUT"),'[1]Project Overview'!L303=""),1,0)</f>
        <v>0</v>
      </c>
      <c r="K306" s="217">
        <f>IF(AND($A306&lt;&gt;"",'[1]Project Overview'!P303=""),1,0)</f>
        <v>0</v>
      </c>
      <c r="L306" s="217">
        <f>IF(AND($A306&lt;&gt;"",'[1]Project Overview'!AA303=""),1,0)</f>
        <v>0</v>
      </c>
      <c r="M306" s="217"/>
      <c r="N306" s="217"/>
      <c r="O306" s="217">
        <f t="shared" si="55"/>
        <v>1</v>
      </c>
      <c r="P306" s="217" t="str">
        <f t="shared" si="54"/>
        <v/>
      </c>
    </row>
    <row r="307" spans="1:16" hidden="1" x14ac:dyDescent="0.3">
      <c r="A307" s="217" t="str">
        <f>""&amp;'[1]Project Overview'!A304</f>
        <v/>
      </c>
      <c r="B307" s="218">
        <f>'[1]Project Overview'!C304</f>
        <v>0</v>
      </c>
      <c r="C307" s="218">
        <f>'[1]Project Overview'!D304</f>
        <v>0</v>
      </c>
      <c r="D307" s="217">
        <f>'[1]Project Overview'!V304</f>
        <v>0</v>
      </c>
      <c r="E307" s="217"/>
      <c r="F307" s="217">
        <f t="shared" si="56"/>
        <v>1</v>
      </c>
      <c r="G307" s="217">
        <f t="shared" si="57"/>
        <v>0</v>
      </c>
      <c r="H307" s="217">
        <f>IF(AND($A307&lt;&gt;"",'[1]Project Overview'!E304=""),1,0)</f>
        <v>0</v>
      </c>
      <c r="I307" s="217">
        <f>IF(AND($A307&lt;&gt;"",'[1]Project Overview'!G304=""),1,0)</f>
        <v>0</v>
      </c>
      <c r="J307" s="217">
        <f>IF(AND($A307&lt;&gt;"",OR('[1]Project Overview'!J304="ESCO",'[1]Project Overview'!J304="EPC",'[1]Project Overview'!J304="ESCO BUYOUT"),'[1]Project Overview'!L304=""),1,0)</f>
        <v>0</v>
      </c>
      <c r="K307" s="217">
        <f>IF(AND($A307&lt;&gt;"",'[1]Project Overview'!P304=""),1,0)</f>
        <v>0</v>
      </c>
      <c r="L307" s="217">
        <f>IF(AND($A307&lt;&gt;"",'[1]Project Overview'!AA304=""),1,0)</f>
        <v>0</v>
      </c>
      <c r="M307" s="217"/>
      <c r="N307" s="217"/>
      <c r="O307" s="217">
        <f t="shared" si="55"/>
        <v>1</v>
      </c>
      <c r="P307" s="217" t="str">
        <f t="shared" si="54"/>
        <v/>
      </c>
    </row>
    <row r="308" spans="1:16" hidden="1" x14ac:dyDescent="0.3">
      <c r="A308" s="217" t="str">
        <f>""&amp;'[1]Project Overview'!A305</f>
        <v/>
      </c>
      <c r="B308" s="218">
        <f>'[1]Project Overview'!C305</f>
        <v>0</v>
      </c>
      <c r="C308" s="218">
        <f>'[1]Project Overview'!D305</f>
        <v>0</v>
      </c>
      <c r="D308" s="217">
        <f>'[1]Project Overview'!V305</f>
        <v>0</v>
      </c>
      <c r="E308" s="217"/>
      <c r="F308" s="217">
        <f t="shared" si="56"/>
        <v>1</v>
      </c>
      <c r="G308" s="217">
        <f t="shared" si="57"/>
        <v>0</v>
      </c>
      <c r="H308" s="217">
        <f>IF(AND($A308&lt;&gt;"",'[1]Project Overview'!E305=""),1,0)</f>
        <v>0</v>
      </c>
      <c r="I308" s="217">
        <f>IF(AND($A308&lt;&gt;"",'[1]Project Overview'!G305=""),1,0)</f>
        <v>0</v>
      </c>
      <c r="J308" s="217">
        <f>IF(AND($A308&lt;&gt;"",OR('[1]Project Overview'!J305="ESCO",'[1]Project Overview'!J305="EPC",'[1]Project Overview'!J305="ESCO BUYOUT"),'[1]Project Overview'!L305=""),1,0)</f>
        <v>0</v>
      </c>
      <c r="K308" s="217">
        <f>IF(AND($A308&lt;&gt;"",'[1]Project Overview'!P305=""),1,0)</f>
        <v>0</v>
      </c>
      <c r="L308" s="217">
        <f>IF(AND($A308&lt;&gt;"",'[1]Project Overview'!AA305=""),1,0)</f>
        <v>0</v>
      </c>
      <c r="M308" s="217"/>
      <c r="N308" s="217"/>
      <c r="O308" s="217">
        <f t="shared" si="55"/>
        <v>1</v>
      </c>
      <c r="P308" s="217" t="str">
        <f t="shared" si="54"/>
        <v/>
      </c>
    </row>
    <row r="309" spans="1:16" hidden="1" x14ac:dyDescent="0.3">
      <c r="A309" s="217" t="str">
        <f>""&amp;'[1]Project Overview'!A306</f>
        <v/>
      </c>
      <c r="B309" s="218">
        <f>'[1]Project Overview'!C306</f>
        <v>0</v>
      </c>
      <c r="C309" s="218">
        <f>'[1]Project Overview'!D306</f>
        <v>0</v>
      </c>
      <c r="D309" s="217">
        <f>'[1]Project Overview'!V306</f>
        <v>0</v>
      </c>
      <c r="E309" s="217"/>
      <c r="F309" s="217">
        <f t="shared" si="56"/>
        <v>1</v>
      </c>
      <c r="G309" s="217">
        <f t="shared" si="57"/>
        <v>0</v>
      </c>
      <c r="H309" s="217">
        <f>IF(AND($A309&lt;&gt;"",'[1]Project Overview'!E306=""),1,0)</f>
        <v>0</v>
      </c>
      <c r="I309" s="217">
        <f>IF(AND($A309&lt;&gt;"",'[1]Project Overview'!G306=""),1,0)</f>
        <v>0</v>
      </c>
      <c r="J309" s="217">
        <f>IF(AND($A309&lt;&gt;"",OR('[1]Project Overview'!J306="ESCO",'[1]Project Overview'!J306="EPC",'[1]Project Overview'!J306="ESCO BUYOUT"),'[1]Project Overview'!L306=""),1,0)</f>
        <v>0</v>
      </c>
      <c r="K309" s="217">
        <f>IF(AND($A309&lt;&gt;"",'[1]Project Overview'!P306=""),1,0)</f>
        <v>0</v>
      </c>
      <c r="L309" s="217">
        <f>IF(AND($A309&lt;&gt;"",'[1]Project Overview'!AA306=""),1,0)</f>
        <v>0</v>
      </c>
      <c r="M309" s="217"/>
      <c r="N309" s="217"/>
      <c r="O309" s="217">
        <f t="shared" si="55"/>
        <v>1</v>
      </c>
      <c r="P309" s="217" t="str">
        <f t="shared" si="54"/>
        <v/>
      </c>
    </row>
    <row r="310" spans="1:16" hidden="1" x14ac:dyDescent="0.3">
      <c r="A310" s="217" t="str">
        <f>""&amp;'[1]Project Overview'!A307</f>
        <v/>
      </c>
      <c r="B310" s="218">
        <f>'[1]Project Overview'!C307</f>
        <v>0</v>
      </c>
      <c r="C310" s="218">
        <f>'[1]Project Overview'!D307</f>
        <v>0</v>
      </c>
      <c r="D310" s="217">
        <f>'[1]Project Overview'!V307</f>
        <v>0</v>
      </c>
      <c r="E310" s="217"/>
      <c r="F310" s="217">
        <f t="shared" si="56"/>
        <v>1</v>
      </c>
      <c r="G310" s="217">
        <f t="shared" si="57"/>
        <v>0</v>
      </c>
      <c r="H310" s="217">
        <f>IF(AND($A310&lt;&gt;"",'[1]Project Overview'!E307=""),1,0)</f>
        <v>0</v>
      </c>
      <c r="I310" s="217">
        <f>IF(AND($A310&lt;&gt;"",'[1]Project Overview'!G307=""),1,0)</f>
        <v>0</v>
      </c>
      <c r="J310" s="217">
        <f>IF(AND($A310&lt;&gt;"",OR('[1]Project Overview'!J307="ESCO",'[1]Project Overview'!J307="EPC",'[1]Project Overview'!J307="ESCO BUYOUT"),'[1]Project Overview'!L307=""),1,0)</f>
        <v>0</v>
      </c>
      <c r="K310" s="217">
        <f>IF(AND($A310&lt;&gt;"",'[1]Project Overview'!P307=""),1,0)</f>
        <v>0</v>
      </c>
      <c r="L310" s="217">
        <f>IF(AND($A310&lt;&gt;"",'[1]Project Overview'!AA307=""),1,0)</f>
        <v>0</v>
      </c>
      <c r="M310" s="217"/>
      <c r="N310" s="217"/>
      <c r="O310" s="217">
        <f t="shared" si="55"/>
        <v>1</v>
      </c>
      <c r="P310" s="217" t="str">
        <f t="shared" si="54"/>
        <v/>
      </c>
    </row>
    <row r="311" spans="1:16" hidden="1" x14ac:dyDescent="0.3">
      <c r="A311" s="217" t="str">
        <f>""&amp;'[1]Project Overview'!A308</f>
        <v/>
      </c>
      <c r="B311" s="218">
        <f>'[1]Project Overview'!C308</f>
        <v>0</v>
      </c>
      <c r="C311" s="218">
        <f>'[1]Project Overview'!D308</f>
        <v>0</v>
      </c>
      <c r="D311" s="217">
        <f>'[1]Project Overview'!V308</f>
        <v>0</v>
      </c>
      <c r="E311" s="217"/>
      <c r="F311" s="217">
        <f t="shared" si="56"/>
        <v>1</v>
      </c>
      <c r="G311" s="217">
        <f t="shared" si="57"/>
        <v>0</v>
      </c>
      <c r="H311" s="217">
        <f>IF(AND($A311&lt;&gt;"",'[1]Project Overview'!E308=""),1,0)</f>
        <v>0</v>
      </c>
      <c r="I311" s="217">
        <f>IF(AND($A311&lt;&gt;"",'[1]Project Overview'!G308=""),1,0)</f>
        <v>0</v>
      </c>
      <c r="J311" s="217">
        <f>IF(AND($A311&lt;&gt;"",OR('[1]Project Overview'!J308="ESCO",'[1]Project Overview'!J308="EPC",'[1]Project Overview'!J308="ESCO BUYOUT"),'[1]Project Overview'!L308=""),1,0)</f>
        <v>0</v>
      </c>
      <c r="K311" s="217">
        <f>IF(AND($A311&lt;&gt;"",'[1]Project Overview'!P308=""),1,0)</f>
        <v>0</v>
      </c>
      <c r="L311" s="217">
        <f>IF(AND($A311&lt;&gt;"",'[1]Project Overview'!AA308=""),1,0)</f>
        <v>0</v>
      </c>
      <c r="M311" s="217"/>
      <c r="N311" s="217"/>
      <c r="O311" s="217">
        <f t="shared" si="55"/>
        <v>1</v>
      </c>
      <c r="P311" s="217" t="str">
        <f t="shared" si="54"/>
        <v/>
      </c>
    </row>
    <row r="312" spans="1:16" hidden="1" x14ac:dyDescent="0.3">
      <c r="A312" s="217" t="str">
        <f>""&amp;'[1]Project Overview'!A309</f>
        <v/>
      </c>
      <c r="B312" s="218">
        <f>'[1]Project Overview'!C309</f>
        <v>0</v>
      </c>
      <c r="C312" s="218">
        <f>'[1]Project Overview'!D309</f>
        <v>0</v>
      </c>
      <c r="D312" s="217">
        <f>'[1]Project Overview'!V309</f>
        <v>0</v>
      </c>
      <c r="E312" s="217"/>
      <c r="F312" s="217">
        <f t="shared" si="56"/>
        <v>1</v>
      </c>
      <c r="G312" s="217">
        <f t="shared" si="57"/>
        <v>0</v>
      </c>
      <c r="H312" s="217">
        <f>IF(AND($A312&lt;&gt;"",'[1]Project Overview'!E309=""),1,0)</f>
        <v>0</v>
      </c>
      <c r="I312" s="217">
        <f>IF(AND($A312&lt;&gt;"",'[1]Project Overview'!G309=""),1,0)</f>
        <v>0</v>
      </c>
      <c r="J312" s="217">
        <f>IF(AND($A312&lt;&gt;"",OR('[1]Project Overview'!J309="ESCO",'[1]Project Overview'!J309="EPC",'[1]Project Overview'!J309="ESCO BUYOUT"),'[1]Project Overview'!L309=""),1,0)</f>
        <v>0</v>
      </c>
      <c r="K312" s="217">
        <f>IF(AND($A312&lt;&gt;"",'[1]Project Overview'!P309=""),1,0)</f>
        <v>0</v>
      </c>
      <c r="L312" s="217">
        <f>IF(AND($A312&lt;&gt;"",'[1]Project Overview'!AA309=""),1,0)</f>
        <v>0</v>
      </c>
      <c r="M312" s="217"/>
      <c r="N312" s="217"/>
      <c r="O312" s="217">
        <f t="shared" si="55"/>
        <v>1</v>
      </c>
      <c r="P312" s="217" t="str">
        <f t="shared" si="54"/>
        <v/>
      </c>
    </row>
    <row r="313" spans="1:16" hidden="1" x14ac:dyDescent="0.3">
      <c r="A313" s="217" t="str">
        <f>""&amp;'[1]Project Overview'!A310</f>
        <v/>
      </c>
      <c r="B313" s="218">
        <f>'[1]Project Overview'!C310</f>
        <v>0</v>
      </c>
      <c r="C313" s="218">
        <f>'[1]Project Overview'!D310</f>
        <v>0</v>
      </c>
      <c r="D313" s="217">
        <f>'[1]Project Overview'!V310</f>
        <v>0</v>
      </c>
      <c r="E313" s="217"/>
      <c r="F313" s="217">
        <f t="shared" si="56"/>
        <v>1</v>
      </c>
      <c r="G313" s="217">
        <f t="shared" si="57"/>
        <v>0</v>
      </c>
      <c r="H313" s="217">
        <f>IF(AND($A313&lt;&gt;"",'[1]Project Overview'!E310=""),1,0)</f>
        <v>0</v>
      </c>
      <c r="I313" s="217">
        <f>IF(AND($A313&lt;&gt;"",'[1]Project Overview'!G310=""),1,0)</f>
        <v>0</v>
      </c>
      <c r="J313" s="217">
        <f>IF(AND($A313&lt;&gt;"",OR('[1]Project Overview'!J310="ESCO",'[1]Project Overview'!J310="EPC",'[1]Project Overview'!J310="ESCO BUYOUT"),'[1]Project Overview'!L310=""),1,0)</f>
        <v>0</v>
      </c>
      <c r="K313" s="217">
        <f>IF(AND($A313&lt;&gt;"",'[1]Project Overview'!P310=""),1,0)</f>
        <v>0</v>
      </c>
      <c r="L313" s="217">
        <f>IF(AND($A313&lt;&gt;"",'[1]Project Overview'!AA310=""),1,0)</f>
        <v>0</v>
      </c>
      <c r="M313" s="217"/>
      <c r="N313" s="217"/>
      <c r="O313" s="217">
        <f t="shared" si="55"/>
        <v>1</v>
      </c>
      <c r="P313" s="217" t="str">
        <f t="shared" si="54"/>
        <v/>
      </c>
    </row>
    <row r="314" spans="1:16" hidden="1" x14ac:dyDescent="0.3">
      <c r="A314" s="217" t="str">
        <f>""&amp;'[1]Project Overview'!A311</f>
        <v/>
      </c>
      <c r="B314" s="218">
        <f>'[1]Project Overview'!C311</f>
        <v>0</v>
      </c>
      <c r="C314" s="218">
        <f>'[1]Project Overview'!D311</f>
        <v>0</v>
      </c>
      <c r="D314" s="217">
        <f>'[1]Project Overview'!V311</f>
        <v>0</v>
      </c>
      <c r="E314" s="217"/>
      <c r="F314" s="217">
        <f t="shared" si="56"/>
        <v>1</v>
      </c>
      <c r="G314" s="217">
        <f t="shared" si="57"/>
        <v>0</v>
      </c>
      <c r="H314" s="217">
        <f>IF(AND($A314&lt;&gt;"",'[1]Project Overview'!E311=""),1,0)</f>
        <v>0</v>
      </c>
      <c r="I314" s="217">
        <f>IF(AND($A314&lt;&gt;"",'[1]Project Overview'!G311=""),1,0)</f>
        <v>0</v>
      </c>
      <c r="J314" s="217">
        <f>IF(AND($A314&lt;&gt;"",OR('[1]Project Overview'!J311="ESCO",'[1]Project Overview'!J311="EPC",'[1]Project Overview'!J311="ESCO BUYOUT"),'[1]Project Overview'!L311=""),1,0)</f>
        <v>0</v>
      </c>
      <c r="K314" s="217">
        <f>IF(AND($A314&lt;&gt;"",'[1]Project Overview'!P311=""),1,0)</f>
        <v>0</v>
      </c>
      <c r="L314" s="217">
        <f>IF(AND($A314&lt;&gt;"",'[1]Project Overview'!AA311=""),1,0)</f>
        <v>0</v>
      </c>
      <c r="M314" s="217"/>
      <c r="N314" s="217"/>
      <c r="O314" s="217">
        <f t="shared" si="55"/>
        <v>1</v>
      </c>
      <c r="P314" s="217" t="str">
        <f t="shared" si="54"/>
        <v/>
      </c>
    </row>
    <row r="315" spans="1:16" hidden="1" x14ac:dyDescent="0.3">
      <c r="A315" s="217" t="str">
        <f>""&amp;'[1]Project Overview'!A312</f>
        <v/>
      </c>
      <c r="B315" s="218">
        <f>'[1]Project Overview'!C312</f>
        <v>0</v>
      </c>
      <c r="C315" s="218">
        <f>'[1]Project Overview'!D312</f>
        <v>0</v>
      </c>
      <c r="D315" s="217">
        <f>'[1]Project Overview'!V312</f>
        <v>0</v>
      </c>
      <c r="E315" s="217"/>
      <c r="F315" s="217">
        <f t="shared" si="56"/>
        <v>1</v>
      </c>
      <c r="G315" s="217">
        <f t="shared" si="57"/>
        <v>0</v>
      </c>
      <c r="H315" s="217">
        <f>IF(AND($A315&lt;&gt;"",'[1]Project Overview'!E312=""),1,0)</f>
        <v>0</v>
      </c>
      <c r="I315" s="217">
        <f>IF(AND($A315&lt;&gt;"",'[1]Project Overview'!G312=""),1,0)</f>
        <v>0</v>
      </c>
      <c r="J315" s="217">
        <f>IF(AND($A315&lt;&gt;"",OR('[1]Project Overview'!J312="ESCO",'[1]Project Overview'!J312="EPC",'[1]Project Overview'!J312="ESCO BUYOUT"),'[1]Project Overview'!L312=""),1,0)</f>
        <v>0</v>
      </c>
      <c r="K315" s="217">
        <f>IF(AND($A315&lt;&gt;"",'[1]Project Overview'!P312=""),1,0)</f>
        <v>0</v>
      </c>
      <c r="L315" s="217">
        <f>IF(AND($A315&lt;&gt;"",'[1]Project Overview'!AA312=""),1,0)</f>
        <v>0</v>
      </c>
      <c r="M315" s="217"/>
      <c r="N315" s="217"/>
      <c r="O315" s="217">
        <f t="shared" si="55"/>
        <v>1</v>
      </c>
      <c r="P315" s="217" t="str">
        <f t="shared" si="54"/>
        <v/>
      </c>
    </row>
    <row r="316" spans="1:16" hidden="1" x14ac:dyDescent="0.3">
      <c r="A316" s="217" t="str">
        <f>""&amp;'[1]Project Overview'!A313</f>
        <v/>
      </c>
      <c r="B316" s="218">
        <f>'[1]Project Overview'!C313</f>
        <v>0</v>
      </c>
      <c r="C316" s="218">
        <f>'[1]Project Overview'!D313</f>
        <v>0</v>
      </c>
      <c r="D316" s="217">
        <f>'[1]Project Overview'!V313</f>
        <v>0</v>
      </c>
      <c r="E316" s="217"/>
      <c r="F316" s="217">
        <f t="shared" si="56"/>
        <v>1</v>
      </c>
      <c r="G316" s="217">
        <f t="shared" si="57"/>
        <v>0</v>
      </c>
      <c r="H316" s="217">
        <f>IF(AND($A316&lt;&gt;"",'[1]Project Overview'!E313=""),1,0)</f>
        <v>0</v>
      </c>
      <c r="I316" s="217">
        <f>IF(AND($A316&lt;&gt;"",'[1]Project Overview'!G313=""),1,0)</f>
        <v>0</v>
      </c>
      <c r="J316" s="217">
        <f>IF(AND($A316&lt;&gt;"",OR('[1]Project Overview'!J313="ESCO",'[1]Project Overview'!J313="EPC",'[1]Project Overview'!J313="ESCO BUYOUT"),'[1]Project Overview'!L313=""),1,0)</f>
        <v>0</v>
      </c>
      <c r="K316" s="217">
        <f>IF(AND($A316&lt;&gt;"",'[1]Project Overview'!P313=""),1,0)</f>
        <v>0</v>
      </c>
      <c r="L316" s="217">
        <f>IF(AND($A316&lt;&gt;"",'[1]Project Overview'!AA313=""),1,0)</f>
        <v>0</v>
      </c>
      <c r="M316" s="217"/>
      <c r="N316" s="217"/>
      <c r="O316" s="217">
        <f t="shared" si="55"/>
        <v>1</v>
      </c>
      <c r="P316" s="217" t="str">
        <f t="shared" si="54"/>
        <v/>
      </c>
    </row>
    <row r="317" spans="1:16" hidden="1" x14ac:dyDescent="0.3">
      <c r="A317" s="217" t="str">
        <f>""&amp;'[1]Project Overview'!A314</f>
        <v/>
      </c>
      <c r="B317" s="218">
        <f>'[1]Project Overview'!C314</f>
        <v>0</v>
      </c>
      <c r="C317" s="218">
        <f>'[1]Project Overview'!D314</f>
        <v>0</v>
      </c>
      <c r="D317" s="217">
        <f>'[1]Project Overview'!V314</f>
        <v>0</v>
      </c>
      <c r="E317" s="217"/>
      <c r="F317" s="217">
        <f t="shared" si="56"/>
        <v>1</v>
      </c>
      <c r="G317" s="217">
        <f t="shared" si="57"/>
        <v>0</v>
      </c>
      <c r="H317" s="217">
        <f>IF(AND($A317&lt;&gt;"",'[1]Project Overview'!E314=""),1,0)</f>
        <v>0</v>
      </c>
      <c r="I317" s="217">
        <f>IF(AND($A317&lt;&gt;"",'[1]Project Overview'!G314=""),1,0)</f>
        <v>0</v>
      </c>
      <c r="J317" s="217">
        <f>IF(AND($A317&lt;&gt;"",OR('[1]Project Overview'!J314="ESCO",'[1]Project Overview'!J314="EPC",'[1]Project Overview'!J314="ESCO BUYOUT"),'[1]Project Overview'!L314=""),1,0)</f>
        <v>0</v>
      </c>
      <c r="K317" s="217">
        <f>IF(AND($A317&lt;&gt;"",'[1]Project Overview'!P314=""),1,0)</f>
        <v>0</v>
      </c>
      <c r="L317" s="217">
        <f>IF(AND($A317&lt;&gt;"",'[1]Project Overview'!AA314=""),1,0)</f>
        <v>0</v>
      </c>
      <c r="M317" s="217"/>
      <c r="N317" s="217"/>
      <c r="O317" s="217">
        <f t="shared" si="55"/>
        <v>1</v>
      </c>
      <c r="P317" s="217" t="str">
        <f t="shared" si="54"/>
        <v/>
      </c>
    </row>
    <row r="318" spans="1:16" hidden="1" x14ac:dyDescent="0.3">
      <c r="A318" s="217" t="str">
        <f>""&amp;'[1]Project Overview'!A315</f>
        <v/>
      </c>
      <c r="B318" s="218">
        <f>'[1]Project Overview'!C315</f>
        <v>0</v>
      </c>
      <c r="C318" s="218">
        <f>'[1]Project Overview'!D315</f>
        <v>0</v>
      </c>
      <c r="D318" s="217">
        <f>'[1]Project Overview'!V315</f>
        <v>0</v>
      </c>
      <c r="E318" s="217"/>
      <c r="F318" s="217">
        <f t="shared" si="56"/>
        <v>1</v>
      </c>
      <c r="G318" s="217">
        <f t="shared" si="57"/>
        <v>0</v>
      </c>
      <c r="H318" s="217">
        <f>IF(AND($A318&lt;&gt;"",'[1]Project Overview'!E315=""),1,0)</f>
        <v>0</v>
      </c>
      <c r="I318" s="217">
        <f>IF(AND($A318&lt;&gt;"",'[1]Project Overview'!G315=""),1,0)</f>
        <v>0</v>
      </c>
      <c r="J318" s="217">
        <f>IF(AND($A318&lt;&gt;"",OR('[1]Project Overview'!J315="ESCO",'[1]Project Overview'!J315="EPC",'[1]Project Overview'!J315="ESCO BUYOUT"),'[1]Project Overview'!L315=""),1,0)</f>
        <v>0</v>
      </c>
      <c r="K318" s="217">
        <f>IF(AND($A318&lt;&gt;"",'[1]Project Overview'!P315=""),1,0)</f>
        <v>0</v>
      </c>
      <c r="L318" s="217">
        <f>IF(AND($A318&lt;&gt;"",'[1]Project Overview'!AA315=""),1,0)</f>
        <v>0</v>
      </c>
      <c r="M318" s="217"/>
      <c r="N318" s="217"/>
      <c r="O318" s="217">
        <f t="shared" si="55"/>
        <v>1</v>
      </c>
      <c r="P318" s="217" t="str">
        <f t="shared" si="54"/>
        <v/>
      </c>
    </row>
    <row r="319" spans="1:16" hidden="1" x14ac:dyDescent="0.3">
      <c r="A319" s="217" t="str">
        <f>""&amp;'[1]Project Overview'!A316</f>
        <v/>
      </c>
      <c r="B319" s="218">
        <f>'[1]Project Overview'!C316</f>
        <v>0</v>
      </c>
      <c r="C319" s="218">
        <f>'[1]Project Overview'!D316</f>
        <v>0</v>
      </c>
      <c r="D319" s="217">
        <f>'[1]Project Overview'!V316</f>
        <v>0</v>
      </c>
      <c r="E319" s="217"/>
      <c r="F319" s="217">
        <f t="shared" si="56"/>
        <v>1</v>
      </c>
      <c r="G319" s="217">
        <f t="shared" si="57"/>
        <v>0</v>
      </c>
      <c r="H319" s="217">
        <f>IF(AND($A319&lt;&gt;"",'[1]Project Overview'!E316=""),1,0)</f>
        <v>0</v>
      </c>
      <c r="I319" s="217">
        <f>IF(AND($A319&lt;&gt;"",'[1]Project Overview'!G316=""),1,0)</f>
        <v>0</v>
      </c>
      <c r="J319" s="217">
        <f>IF(AND($A319&lt;&gt;"",OR('[1]Project Overview'!J316="ESCO",'[1]Project Overview'!J316="EPC",'[1]Project Overview'!J316="ESCO BUYOUT"),'[1]Project Overview'!L316=""),1,0)</f>
        <v>0</v>
      </c>
      <c r="K319" s="217">
        <f>IF(AND($A319&lt;&gt;"",'[1]Project Overview'!P316=""),1,0)</f>
        <v>0</v>
      </c>
      <c r="L319" s="217">
        <f>IF(AND($A319&lt;&gt;"",'[1]Project Overview'!AA316=""),1,0)</f>
        <v>0</v>
      </c>
      <c r="M319" s="217"/>
      <c r="N319" s="217"/>
      <c r="O319" s="217">
        <f t="shared" si="55"/>
        <v>1</v>
      </c>
      <c r="P319" s="217" t="str">
        <f t="shared" si="54"/>
        <v/>
      </c>
    </row>
    <row r="320" spans="1:16" hidden="1" x14ac:dyDescent="0.3">
      <c r="A320" s="217" t="str">
        <f>""&amp;'[1]Project Overview'!A317</f>
        <v/>
      </c>
      <c r="B320" s="218">
        <f>'[1]Project Overview'!C317</f>
        <v>0</v>
      </c>
      <c r="C320" s="218">
        <f>'[1]Project Overview'!D317</f>
        <v>0</v>
      </c>
      <c r="D320" s="217">
        <f>'[1]Project Overview'!V317</f>
        <v>0</v>
      </c>
      <c r="E320" s="217"/>
      <c r="F320" s="217">
        <f t="shared" si="56"/>
        <v>1</v>
      </c>
      <c r="G320" s="217">
        <f t="shared" si="57"/>
        <v>0</v>
      </c>
      <c r="H320" s="217">
        <f>IF(AND($A320&lt;&gt;"",'[1]Project Overview'!E317=""),1,0)</f>
        <v>0</v>
      </c>
      <c r="I320" s="217">
        <f>IF(AND($A320&lt;&gt;"",'[1]Project Overview'!G317=""),1,0)</f>
        <v>0</v>
      </c>
      <c r="J320" s="217">
        <f>IF(AND($A320&lt;&gt;"",OR('[1]Project Overview'!J317="ESCO",'[1]Project Overview'!J317="EPC",'[1]Project Overview'!J317="ESCO BUYOUT"),'[1]Project Overview'!L317=""),1,0)</f>
        <v>0</v>
      </c>
      <c r="K320" s="217">
        <f>IF(AND($A320&lt;&gt;"",'[1]Project Overview'!P317=""),1,0)</f>
        <v>0</v>
      </c>
      <c r="L320" s="217">
        <f>IF(AND($A320&lt;&gt;"",'[1]Project Overview'!AA317=""),1,0)</f>
        <v>0</v>
      </c>
      <c r="M320" s="217"/>
      <c r="N320" s="217"/>
      <c r="O320" s="217">
        <f t="shared" si="55"/>
        <v>1</v>
      </c>
      <c r="P320" s="217" t="str">
        <f t="shared" si="54"/>
        <v/>
      </c>
    </row>
    <row r="321" spans="1:16" hidden="1" x14ac:dyDescent="0.3">
      <c r="A321" s="217" t="str">
        <f>""&amp;'[1]Project Overview'!A318</f>
        <v/>
      </c>
      <c r="B321" s="218">
        <f>'[1]Project Overview'!C318</f>
        <v>0</v>
      </c>
      <c r="C321" s="218">
        <f>'[1]Project Overview'!D318</f>
        <v>0</v>
      </c>
      <c r="D321" s="217">
        <f>'[1]Project Overview'!V318</f>
        <v>0</v>
      </c>
      <c r="E321" s="217"/>
      <c r="F321" s="217">
        <f t="shared" si="56"/>
        <v>1</v>
      </c>
      <c r="G321" s="217">
        <f t="shared" si="57"/>
        <v>0</v>
      </c>
      <c r="H321" s="217">
        <f>IF(AND($A321&lt;&gt;"",'[1]Project Overview'!E318=""),1,0)</f>
        <v>0</v>
      </c>
      <c r="I321" s="217">
        <f>IF(AND($A321&lt;&gt;"",'[1]Project Overview'!G318=""),1,0)</f>
        <v>0</v>
      </c>
      <c r="J321" s="217">
        <f>IF(AND($A321&lt;&gt;"",OR('[1]Project Overview'!J318="ESCO",'[1]Project Overview'!J318="EPC",'[1]Project Overview'!J318="ESCO BUYOUT"),'[1]Project Overview'!L318=""),1,0)</f>
        <v>0</v>
      </c>
      <c r="K321" s="217">
        <f>IF(AND($A321&lt;&gt;"",'[1]Project Overview'!P318=""),1,0)</f>
        <v>0</v>
      </c>
      <c r="L321" s="217">
        <f>IF(AND($A321&lt;&gt;"",'[1]Project Overview'!AA318=""),1,0)</f>
        <v>0</v>
      </c>
      <c r="M321" s="217"/>
      <c r="N321" s="217"/>
      <c r="O321" s="217">
        <f t="shared" si="55"/>
        <v>1</v>
      </c>
      <c r="P321" s="217" t="str">
        <f t="shared" si="54"/>
        <v/>
      </c>
    </row>
    <row r="322" spans="1:16" hidden="1" x14ac:dyDescent="0.3">
      <c r="A322" s="217" t="str">
        <f>""&amp;'[1]Project Overview'!A319</f>
        <v/>
      </c>
      <c r="B322" s="218">
        <f>'[1]Project Overview'!C319</f>
        <v>0</v>
      </c>
      <c r="C322" s="218">
        <f>'[1]Project Overview'!D319</f>
        <v>0</v>
      </c>
      <c r="D322" s="217">
        <f>'[1]Project Overview'!V319</f>
        <v>0</v>
      </c>
      <c r="E322" s="217"/>
      <c r="F322" s="217">
        <f t="shared" si="56"/>
        <v>1</v>
      </c>
      <c r="G322" s="217">
        <f t="shared" si="57"/>
        <v>0</v>
      </c>
      <c r="H322" s="217">
        <f>IF(AND($A322&lt;&gt;"",'[1]Project Overview'!E319=""),1,0)</f>
        <v>0</v>
      </c>
      <c r="I322" s="217">
        <f>IF(AND($A322&lt;&gt;"",'[1]Project Overview'!G319=""),1,0)</f>
        <v>0</v>
      </c>
      <c r="J322" s="217">
        <f>IF(AND($A322&lt;&gt;"",OR('[1]Project Overview'!J319="ESCO",'[1]Project Overview'!J319="EPC",'[1]Project Overview'!J319="ESCO BUYOUT"),'[1]Project Overview'!L319=""),1,0)</f>
        <v>0</v>
      </c>
      <c r="K322" s="217">
        <f>IF(AND($A322&lt;&gt;"",'[1]Project Overview'!P319=""),1,0)</f>
        <v>0</v>
      </c>
      <c r="L322" s="217">
        <f>IF(AND($A322&lt;&gt;"",'[1]Project Overview'!AA319=""),1,0)</f>
        <v>0</v>
      </c>
      <c r="M322" s="217"/>
      <c r="N322" s="217"/>
      <c r="O322" s="217">
        <f t="shared" si="55"/>
        <v>1</v>
      </c>
      <c r="P322" s="217" t="str">
        <f t="shared" si="54"/>
        <v/>
      </c>
    </row>
    <row r="323" spans="1:16" hidden="1" x14ac:dyDescent="0.3">
      <c r="A323" s="217" t="str">
        <f>""&amp;'[1]Project Overview'!A320</f>
        <v/>
      </c>
      <c r="B323" s="218">
        <f>'[1]Project Overview'!C320</f>
        <v>0</v>
      </c>
      <c r="C323" s="218">
        <f>'[1]Project Overview'!D320</f>
        <v>0</v>
      </c>
      <c r="D323" s="217">
        <f>'[1]Project Overview'!V320</f>
        <v>0</v>
      </c>
      <c r="E323" s="217"/>
      <c r="F323" s="217">
        <f t="shared" si="56"/>
        <v>1</v>
      </c>
      <c r="G323" s="217">
        <f t="shared" si="57"/>
        <v>0</v>
      </c>
      <c r="H323" s="217">
        <f>IF(AND($A323&lt;&gt;"",'[1]Project Overview'!E320=""),1,0)</f>
        <v>0</v>
      </c>
      <c r="I323" s="217">
        <f>IF(AND($A323&lt;&gt;"",'[1]Project Overview'!G320=""),1,0)</f>
        <v>0</v>
      </c>
      <c r="J323" s="217">
        <f>IF(AND($A323&lt;&gt;"",OR('[1]Project Overview'!J320="ESCO",'[1]Project Overview'!J320="EPC",'[1]Project Overview'!J320="ESCO BUYOUT"),'[1]Project Overview'!L320=""),1,0)</f>
        <v>0</v>
      </c>
      <c r="K323" s="217">
        <f>IF(AND($A323&lt;&gt;"",'[1]Project Overview'!P320=""),1,0)</f>
        <v>0</v>
      </c>
      <c r="L323" s="217">
        <f>IF(AND($A323&lt;&gt;"",'[1]Project Overview'!AA320=""),1,0)</f>
        <v>0</v>
      </c>
      <c r="M323" s="217"/>
      <c r="N323" s="217"/>
      <c r="O323" s="217">
        <f t="shared" si="55"/>
        <v>1</v>
      </c>
      <c r="P323" s="217" t="str">
        <f t="shared" si="54"/>
        <v/>
      </c>
    </row>
    <row r="324" spans="1:16" hidden="1" x14ac:dyDescent="0.3">
      <c r="A324" s="217" t="str">
        <f>""&amp;'[1]Project Overview'!A321</f>
        <v/>
      </c>
      <c r="B324" s="218">
        <f>'[1]Project Overview'!C321</f>
        <v>0</v>
      </c>
      <c r="C324" s="218">
        <f>'[1]Project Overview'!D321</f>
        <v>0</v>
      </c>
      <c r="D324" s="217">
        <f>'[1]Project Overview'!V321</f>
        <v>0</v>
      </c>
      <c r="E324" s="217"/>
      <c r="F324" s="217">
        <f t="shared" si="56"/>
        <v>1</v>
      </c>
      <c r="G324" s="217">
        <f t="shared" si="57"/>
        <v>0</v>
      </c>
      <c r="H324" s="217">
        <f>IF(AND($A324&lt;&gt;"",'[1]Project Overview'!E321=""),1,0)</f>
        <v>0</v>
      </c>
      <c r="I324" s="217">
        <f>IF(AND($A324&lt;&gt;"",'[1]Project Overview'!G321=""),1,0)</f>
        <v>0</v>
      </c>
      <c r="J324" s="217">
        <f>IF(AND($A324&lt;&gt;"",OR('[1]Project Overview'!J321="ESCO",'[1]Project Overview'!J321="EPC",'[1]Project Overview'!J321="ESCO BUYOUT"),'[1]Project Overview'!L321=""),1,0)</f>
        <v>0</v>
      </c>
      <c r="K324" s="217">
        <f>IF(AND($A324&lt;&gt;"",'[1]Project Overview'!P321=""),1,0)</f>
        <v>0</v>
      </c>
      <c r="L324" s="217">
        <f>IF(AND($A324&lt;&gt;"",'[1]Project Overview'!AA321=""),1,0)</f>
        <v>0</v>
      </c>
      <c r="M324" s="217"/>
      <c r="N324" s="217"/>
      <c r="O324" s="217">
        <f t="shared" si="55"/>
        <v>1</v>
      </c>
      <c r="P324" s="217" t="str">
        <f t="shared" si="54"/>
        <v/>
      </c>
    </row>
    <row r="325" spans="1:16" hidden="1" x14ac:dyDescent="0.3">
      <c r="A325" s="217" t="str">
        <f>""&amp;'[1]Project Overview'!A322</f>
        <v/>
      </c>
      <c r="B325" s="218">
        <f>'[1]Project Overview'!C322</f>
        <v>0</v>
      </c>
      <c r="C325" s="218">
        <f>'[1]Project Overview'!D322</f>
        <v>0</v>
      </c>
      <c r="D325" s="217">
        <f>'[1]Project Overview'!V322</f>
        <v>0</v>
      </c>
      <c r="E325" s="217"/>
      <c r="F325" s="217">
        <f t="shared" si="56"/>
        <v>1</v>
      </c>
      <c r="G325" s="217">
        <f t="shared" si="57"/>
        <v>0</v>
      </c>
      <c r="H325" s="217">
        <f>IF(AND($A325&lt;&gt;"",'[1]Project Overview'!E322=""),1,0)</f>
        <v>0</v>
      </c>
      <c r="I325" s="217">
        <f>IF(AND($A325&lt;&gt;"",'[1]Project Overview'!G322=""),1,0)</f>
        <v>0</v>
      </c>
      <c r="J325" s="217">
        <f>IF(AND($A325&lt;&gt;"",OR('[1]Project Overview'!J322="ESCO",'[1]Project Overview'!J322="EPC",'[1]Project Overview'!J322="ESCO BUYOUT"),'[1]Project Overview'!L322=""),1,0)</f>
        <v>0</v>
      </c>
      <c r="K325" s="217">
        <f>IF(AND($A325&lt;&gt;"",'[1]Project Overview'!P322=""),1,0)</f>
        <v>0</v>
      </c>
      <c r="L325" s="217">
        <f>IF(AND($A325&lt;&gt;"",'[1]Project Overview'!AA322=""),1,0)</f>
        <v>0</v>
      </c>
      <c r="M325" s="217"/>
      <c r="N325" s="217"/>
      <c r="O325" s="217">
        <f t="shared" si="55"/>
        <v>1</v>
      </c>
      <c r="P325" s="217" t="str">
        <f t="shared" ref="P325:P388" si="59">IF($A325="","",IF($O325=0,"OK","REVER"))</f>
        <v/>
      </c>
    </row>
    <row r="326" spans="1:16" hidden="1" x14ac:dyDescent="0.3">
      <c r="A326" s="217" t="str">
        <f>""&amp;'[1]Project Overview'!A323</f>
        <v/>
      </c>
      <c r="B326" s="218">
        <f>'[1]Project Overview'!C323</f>
        <v>0</v>
      </c>
      <c r="C326" s="218">
        <f>'[1]Project Overview'!D323</f>
        <v>0</v>
      </c>
      <c r="D326" s="217">
        <f>'[1]Project Overview'!V323</f>
        <v>0</v>
      </c>
      <c r="E326" s="217"/>
      <c r="F326" s="217">
        <f t="shared" si="56"/>
        <v>1</v>
      </c>
      <c r="G326" s="217">
        <f t="shared" si="57"/>
        <v>0</v>
      </c>
      <c r="H326" s="217">
        <f>IF(AND($A326&lt;&gt;"",'[1]Project Overview'!E323=""),1,0)</f>
        <v>0</v>
      </c>
      <c r="I326" s="217">
        <f>IF(AND($A326&lt;&gt;"",'[1]Project Overview'!G323=""),1,0)</f>
        <v>0</v>
      </c>
      <c r="J326" s="217">
        <f>IF(AND($A326&lt;&gt;"",OR('[1]Project Overview'!J323="ESCO",'[1]Project Overview'!J323="EPC",'[1]Project Overview'!J323="ESCO BUYOUT"),'[1]Project Overview'!L323=""),1,0)</f>
        <v>0</v>
      </c>
      <c r="K326" s="217">
        <f>IF(AND($A326&lt;&gt;"",'[1]Project Overview'!P323=""),1,0)</f>
        <v>0</v>
      </c>
      <c r="L326" s="217">
        <f>IF(AND($A326&lt;&gt;"",'[1]Project Overview'!AA323=""),1,0)</f>
        <v>0</v>
      </c>
      <c r="M326" s="217"/>
      <c r="N326" s="217"/>
      <c r="O326" s="217">
        <f t="shared" ref="O326:O389" si="60">SUM(F326:N326)</f>
        <v>1</v>
      </c>
      <c r="P326" s="217" t="str">
        <f t="shared" si="59"/>
        <v/>
      </c>
    </row>
    <row r="327" spans="1:16" hidden="1" x14ac:dyDescent="0.3">
      <c r="A327" s="217" t="str">
        <f>""&amp;'[1]Project Overview'!A324</f>
        <v/>
      </c>
      <c r="B327" s="218">
        <f>'[1]Project Overview'!C324</f>
        <v>0</v>
      </c>
      <c r="C327" s="218">
        <f>'[1]Project Overview'!D324</f>
        <v>0</v>
      </c>
      <c r="D327" s="217">
        <f>'[1]Project Overview'!V324</f>
        <v>0</v>
      </c>
      <c r="E327" s="217"/>
      <c r="F327" s="217">
        <f t="shared" si="56"/>
        <v>1</v>
      </c>
      <c r="G327" s="217">
        <f t="shared" si="57"/>
        <v>0</v>
      </c>
      <c r="H327" s="217">
        <f>IF(AND($A327&lt;&gt;"",'[1]Project Overview'!E324=""),1,0)</f>
        <v>0</v>
      </c>
      <c r="I327" s="217">
        <f>IF(AND($A327&lt;&gt;"",'[1]Project Overview'!G324=""),1,0)</f>
        <v>0</v>
      </c>
      <c r="J327" s="217">
        <f>IF(AND($A327&lt;&gt;"",OR('[1]Project Overview'!J324="ESCO",'[1]Project Overview'!J324="EPC",'[1]Project Overview'!J324="ESCO BUYOUT"),'[1]Project Overview'!L324=""),1,0)</f>
        <v>0</v>
      </c>
      <c r="K327" s="217">
        <f>IF(AND($A327&lt;&gt;"",'[1]Project Overview'!P324=""),1,0)</f>
        <v>0</v>
      </c>
      <c r="L327" s="217">
        <f>IF(AND($A327&lt;&gt;"",'[1]Project Overview'!AA324=""),1,0)</f>
        <v>0</v>
      </c>
      <c r="M327" s="217"/>
      <c r="N327" s="217"/>
      <c r="O327" s="217">
        <f t="shared" si="60"/>
        <v>1</v>
      </c>
      <c r="P327" s="217" t="str">
        <f t="shared" si="59"/>
        <v/>
      </c>
    </row>
    <row r="328" spans="1:16" hidden="1" x14ac:dyDescent="0.3">
      <c r="A328" s="217" t="str">
        <f>""&amp;'[1]Project Overview'!A325</f>
        <v/>
      </c>
      <c r="B328" s="218">
        <f>'[1]Project Overview'!C325</f>
        <v>0</v>
      </c>
      <c r="C328" s="218">
        <f>'[1]Project Overview'!D325</f>
        <v>0</v>
      </c>
      <c r="D328" s="217">
        <f>'[1]Project Overview'!V325</f>
        <v>0</v>
      </c>
      <c r="E328" s="217"/>
      <c r="F328" s="217">
        <f t="shared" si="56"/>
        <v>1</v>
      </c>
      <c r="G328" s="217">
        <f t="shared" si="57"/>
        <v>0</v>
      </c>
      <c r="H328" s="217">
        <f>IF(AND($A328&lt;&gt;"",'[1]Project Overview'!E325=""),1,0)</f>
        <v>0</v>
      </c>
      <c r="I328" s="217">
        <f>IF(AND($A328&lt;&gt;"",'[1]Project Overview'!G325=""),1,0)</f>
        <v>0</v>
      </c>
      <c r="J328" s="217">
        <f>IF(AND($A328&lt;&gt;"",OR('[1]Project Overview'!J325="ESCO",'[1]Project Overview'!J325="EPC",'[1]Project Overview'!J325="ESCO BUYOUT"),'[1]Project Overview'!L325=""),1,0)</f>
        <v>0</v>
      </c>
      <c r="K328" s="217">
        <f>IF(AND($A328&lt;&gt;"",'[1]Project Overview'!P325=""),1,0)</f>
        <v>0</v>
      </c>
      <c r="L328" s="217">
        <f>IF(AND($A328&lt;&gt;"",'[1]Project Overview'!AA325=""),1,0)</f>
        <v>0</v>
      </c>
      <c r="M328" s="217"/>
      <c r="N328" s="217"/>
      <c r="O328" s="217">
        <f t="shared" si="60"/>
        <v>1</v>
      </c>
      <c r="P328" s="217" t="str">
        <f t="shared" si="59"/>
        <v/>
      </c>
    </row>
    <row r="329" spans="1:16" hidden="1" x14ac:dyDescent="0.3">
      <c r="A329" s="217" t="str">
        <f>""&amp;'[1]Project Overview'!A326</f>
        <v/>
      </c>
      <c r="B329" s="218">
        <f>'[1]Project Overview'!C326</f>
        <v>0</v>
      </c>
      <c r="C329" s="218">
        <f>'[1]Project Overview'!D326</f>
        <v>0</v>
      </c>
      <c r="D329" s="217">
        <f>'[1]Project Overview'!V326</f>
        <v>0</v>
      </c>
      <c r="E329" s="217"/>
      <c r="F329" s="217">
        <f t="shared" si="56"/>
        <v>1</v>
      </c>
      <c r="G329" s="217">
        <f t="shared" si="57"/>
        <v>0</v>
      </c>
      <c r="H329" s="217">
        <f>IF(AND($A329&lt;&gt;"",'[1]Project Overview'!E326=""),1,0)</f>
        <v>0</v>
      </c>
      <c r="I329" s="217">
        <f>IF(AND($A329&lt;&gt;"",'[1]Project Overview'!G326=""),1,0)</f>
        <v>0</v>
      </c>
      <c r="J329" s="217">
        <f>IF(AND($A329&lt;&gt;"",OR('[1]Project Overview'!J326="ESCO",'[1]Project Overview'!J326="EPC",'[1]Project Overview'!J326="ESCO BUYOUT"),'[1]Project Overview'!L326=""),1,0)</f>
        <v>0</v>
      </c>
      <c r="K329" s="217">
        <f>IF(AND($A329&lt;&gt;"",'[1]Project Overview'!P326=""),1,0)</f>
        <v>0</v>
      </c>
      <c r="L329" s="217">
        <f>IF(AND($A329&lt;&gt;"",'[1]Project Overview'!AA326=""),1,0)</f>
        <v>0</v>
      </c>
      <c r="M329" s="217"/>
      <c r="N329" s="217"/>
      <c r="O329" s="217">
        <f t="shared" si="60"/>
        <v>1</v>
      </c>
      <c r="P329" s="217" t="str">
        <f t="shared" si="59"/>
        <v/>
      </c>
    </row>
    <row r="330" spans="1:16" hidden="1" x14ac:dyDescent="0.3">
      <c r="A330" s="217" t="str">
        <f>""&amp;'[1]Project Overview'!A327</f>
        <v/>
      </c>
      <c r="B330" s="218">
        <f>'[1]Project Overview'!C327</f>
        <v>0</v>
      </c>
      <c r="C330" s="218">
        <f>'[1]Project Overview'!D327</f>
        <v>0</v>
      </c>
      <c r="D330" s="217">
        <f>'[1]Project Overview'!V327</f>
        <v>0</v>
      </c>
      <c r="E330" s="217"/>
      <c r="F330" s="217">
        <f t="shared" si="56"/>
        <v>1</v>
      </c>
      <c r="G330" s="217">
        <f t="shared" si="57"/>
        <v>0</v>
      </c>
      <c r="H330" s="217">
        <f>IF(AND($A330&lt;&gt;"",'[1]Project Overview'!E327=""),1,0)</f>
        <v>0</v>
      </c>
      <c r="I330" s="217">
        <f>IF(AND($A330&lt;&gt;"",'[1]Project Overview'!G327=""),1,0)</f>
        <v>0</v>
      </c>
      <c r="J330" s="217">
        <f>IF(AND($A330&lt;&gt;"",OR('[1]Project Overview'!J327="ESCO",'[1]Project Overview'!J327="EPC",'[1]Project Overview'!J327="ESCO BUYOUT"),'[1]Project Overview'!L327=""),1,0)</f>
        <v>0</v>
      </c>
      <c r="K330" s="217">
        <f>IF(AND($A330&lt;&gt;"",'[1]Project Overview'!P327=""),1,0)</f>
        <v>0</v>
      </c>
      <c r="L330" s="217">
        <f>IF(AND($A330&lt;&gt;"",'[1]Project Overview'!AA327=""),1,0)</f>
        <v>0</v>
      </c>
      <c r="M330" s="217"/>
      <c r="N330" s="217"/>
      <c r="O330" s="217">
        <f t="shared" si="60"/>
        <v>1</v>
      </c>
      <c r="P330" s="217" t="str">
        <f t="shared" si="59"/>
        <v/>
      </c>
    </row>
    <row r="331" spans="1:16" hidden="1" x14ac:dyDescent="0.3">
      <c r="A331" s="217" t="str">
        <f>""&amp;'[1]Project Overview'!A328</f>
        <v/>
      </c>
      <c r="B331" s="218">
        <f>'[1]Project Overview'!C328</f>
        <v>0</v>
      </c>
      <c r="C331" s="218">
        <f>'[1]Project Overview'!D328</f>
        <v>0</v>
      </c>
      <c r="D331" s="217">
        <f>'[1]Project Overview'!V328</f>
        <v>0</v>
      </c>
      <c r="E331" s="217"/>
      <c r="F331" s="217">
        <f t="shared" si="56"/>
        <v>1</v>
      </c>
      <c r="G331" s="217">
        <f t="shared" si="57"/>
        <v>0</v>
      </c>
      <c r="H331" s="217">
        <f>IF(AND($A331&lt;&gt;"",'[1]Project Overview'!E328=""),1,0)</f>
        <v>0</v>
      </c>
      <c r="I331" s="217">
        <f>IF(AND($A331&lt;&gt;"",'[1]Project Overview'!G328=""),1,0)</f>
        <v>0</v>
      </c>
      <c r="J331" s="217">
        <f>IF(AND($A331&lt;&gt;"",OR('[1]Project Overview'!J328="ESCO",'[1]Project Overview'!J328="EPC",'[1]Project Overview'!J328="ESCO BUYOUT"),'[1]Project Overview'!L328=""),1,0)</f>
        <v>0</v>
      </c>
      <c r="K331" s="217">
        <f>IF(AND($A331&lt;&gt;"",'[1]Project Overview'!P328=""),1,0)</f>
        <v>0</v>
      </c>
      <c r="L331" s="217">
        <f>IF(AND($A331&lt;&gt;"",'[1]Project Overview'!AA328=""),1,0)</f>
        <v>0</v>
      </c>
      <c r="M331" s="217"/>
      <c r="N331" s="217"/>
      <c r="O331" s="217">
        <f t="shared" si="60"/>
        <v>1</v>
      </c>
      <c r="P331" s="217" t="str">
        <f t="shared" si="59"/>
        <v/>
      </c>
    </row>
    <row r="332" spans="1:16" hidden="1" x14ac:dyDescent="0.3">
      <c r="A332" s="217" t="str">
        <f>""&amp;'[1]Project Overview'!A329</f>
        <v/>
      </c>
      <c r="B332" s="218">
        <f>'[1]Project Overview'!C329</f>
        <v>0</v>
      </c>
      <c r="C332" s="218">
        <f>'[1]Project Overview'!D329</f>
        <v>0</v>
      </c>
      <c r="D332" s="217">
        <f>'[1]Project Overview'!V329</f>
        <v>0</v>
      </c>
      <c r="E332" s="217"/>
      <c r="F332" s="217">
        <f t="shared" ref="F332:F395" si="61">IF(OR($A332="",$B332=""),1,0)</f>
        <v>1</v>
      </c>
      <c r="G332" s="217">
        <f t="shared" ref="G332:G395" si="62">IF($C332="",1,0)</f>
        <v>0</v>
      </c>
      <c r="H332" s="217">
        <f>IF(AND($A332&lt;&gt;"",'[1]Project Overview'!E329=""),1,0)</f>
        <v>0</v>
      </c>
      <c r="I332" s="217">
        <f>IF(AND($A332&lt;&gt;"",'[1]Project Overview'!G329=""),1,0)</f>
        <v>0</v>
      </c>
      <c r="J332" s="217">
        <f>IF(AND($A332&lt;&gt;"",OR('[1]Project Overview'!J329="ESCO",'[1]Project Overview'!J329="EPC",'[1]Project Overview'!J329="ESCO BUYOUT"),'[1]Project Overview'!L329=""),1,0)</f>
        <v>0</v>
      </c>
      <c r="K332" s="217">
        <f>IF(AND($A332&lt;&gt;"",'[1]Project Overview'!P329=""),1,0)</f>
        <v>0</v>
      </c>
      <c r="L332" s="217">
        <f>IF(AND($A332&lt;&gt;"",'[1]Project Overview'!AA329=""),1,0)</f>
        <v>0</v>
      </c>
      <c r="M332" s="217"/>
      <c r="N332" s="217"/>
      <c r="O332" s="217">
        <f t="shared" si="60"/>
        <v>1</v>
      </c>
      <c r="P332" s="217" t="str">
        <f t="shared" si="59"/>
        <v/>
      </c>
    </row>
    <row r="333" spans="1:16" hidden="1" x14ac:dyDescent="0.3">
      <c r="A333" s="217" t="str">
        <f>""&amp;'[1]Project Overview'!A330</f>
        <v/>
      </c>
      <c r="B333" s="218">
        <f>'[1]Project Overview'!C330</f>
        <v>0</v>
      </c>
      <c r="C333" s="218">
        <f>'[1]Project Overview'!D330</f>
        <v>0</v>
      </c>
      <c r="D333" s="217">
        <f>'[1]Project Overview'!V330</f>
        <v>0</v>
      </c>
      <c r="E333" s="217"/>
      <c r="F333" s="217">
        <f t="shared" si="61"/>
        <v>1</v>
      </c>
      <c r="G333" s="217">
        <f t="shared" si="62"/>
        <v>0</v>
      </c>
      <c r="H333" s="217">
        <f>IF(AND($A333&lt;&gt;"",'[1]Project Overview'!E330=""),1,0)</f>
        <v>0</v>
      </c>
      <c r="I333" s="217">
        <f>IF(AND($A333&lt;&gt;"",'[1]Project Overview'!G330=""),1,0)</f>
        <v>0</v>
      </c>
      <c r="J333" s="217">
        <f>IF(AND($A333&lt;&gt;"",OR('[1]Project Overview'!J330="ESCO",'[1]Project Overview'!J330="EPC",'[1]Project Overview'!J330="ESCO BUYOUT"),'[1]Project Overview'!L330=""),1,0)</f>
        <v>0</v>
      </c>
      <c r="K333" s="217">
        <f>IF(AND($A333&lt;&gt;"",'[1]Project Overview'!P330=""),1,0)</f>
        <v>0</v>
      </c>
      <c r="L333" s="217">
        <f>IF(AND($A333&lt;&gt;"",'[1]Project Overview'!AA330=""),1,0)</f>
        <v>0</v>
      </c>
      <c r="M333" s="217"/>
      <c r="N333" s="217"/>
      <c r="O333" s="217">
        <f t="shared" si="60"/>
        <v>1</v>
      </c>
      <c r="P333" s="217" t="str">
        <f t="shared" si="59"/>
        <v/>
      </c>
    </row>
    <row r="334" spans="1:16" hidden="1" x14ac:dyDescent="0.3">
      <c r="A334" s="217" t="str">
        <f>""&amp;'[1]Project Overview'!A331</f>
        <v/>
      </c>
      <c r="B334" s="218">
        <f>'[1]Project Overview'!C331</f>
        <v>0</v>
      </c>
      <c r="C334" s="218">
        <f>'[1]Project Overview'!D331</f>
        <v>0</v>
      </c>
      <c r="D334" s="217">
        <f>'[1]Project Overview'!V331</f>
        <v>0</v>
      </c>
      <c r="E334" s="217"/>
      <c r="F334" s="217">
        <f t="shared" si="61"/>
        <v>1</v>
      </c>
      <c r="G334" s="217">
        <f t="shared" si="62"/>
        <v>0</v>
      </c>
      <c r="H334" s="217">
        <f>IF(AND($A334&lt;&gt;"",'[1]Project Overview'!E331=""),1,0)</f>
        <v>0</v>
      </c>
      <c r="I334" s="217">
        <f>IF(AND($A334&lt;&gt;"",'[1]Project Overview'!G331=""),1,0)</f>
        <v>0</v>
      </c>
      <c r="J334" s="217">
        <f>IF(AND($A334&lt;&gt;"",OR('[1]Project Overview'!J331="ESCO",'[1]Project Overview'!J331="EPC",'[1]Project Overview'!J331="ESCO BUYOUT"),'[1]Project Overview'!L331=""),1,0)</f>
        <v>0</v>
      </c>
      <c r="K334" s="217">
        <f>IF(AND($A334&lt;&gt;"",'[1]Project Overview'!P331=""),1,0)</f>
        <v>0</v>
      </c>
      <c r="L334" s="217">
        <f>IF(AND($A334&lt;&gt;"",'[1]Project Overview'!AA331=""),1,0)</f>
        <v>0</v>
      </c>
      <c r="M334" s="217"/>
      <c r="N334" s="217"/>
      <c r="O334" s="217">
        <f t="shared" si="60"/>
        <v>1</v>
      </c>
      <c r="P334" s="217" t="str">
        <f t="shared" si="59"/>
        <v/>
      </c>
    </row>
    <row r="335" spans="1:16" hidden="1" x14ac:dyDescent="0.3">
      <c r="A335" s="217" t="str">
        <f>""&amp;'[1]Project Overview'!A332</f>
        <v/>
      </c>
      <c r="B335" s="218">
        <f>'[1]Project Overview'!C332</f>
        <v>0</v>
      </c>
      <c r="C335" s="218">
        <f>'[1]Project Overview'!D332</f>
        <v>0</v>
      </c>
      <c r="D335" s="217">
        <f>'[1]Project Overview'!V332</f>
        <v>0</v>
      </c>
      <c r="E335" s="217"/>
      <c r="F335" s="217">
        <f t="shared" si="61"/>
        <v>1</v>
      </c>
      <c r="G335" s="217">
        <f t="shared" si="62"/>
        <v>0</v>
      </c>
      <c r="H335" s="217">
        <f>IF(AND($A335&lt;&gt;"",'[1]Project Overview'!E332=""),1,0)</f>
        <v>0</v>
      </c>
      <c r="I335" s="217">
        <f>IF(AND($A335&lt;&gt;"",'[1]Project Overview'!G332=""),1,0)</f>
        <v>0</v>
      </c>
      <c r="J335" s="217">
        <f>IF(AND($A335&lt;&gt;"",OR('[1]Project Overview'!J332="ESCO",'[1]Project Overview'!J332="EPC",'[1]Project Overview'!J332="ESCO BUYOUT"),'[1]Project Overview'!L332=""),1,0)</f>
        <v>0</v>
      </c>
      <c r="K335" s="217">
        <f>IF(AND($A335&lt;&gt;"",'[1]Project Overview'!P332=""),1,0)</f>
        <v>0</v>
      </c>
      <c r="L335" s="217">
        <f>IF(AND($A335&lt;&gt;"",'[1]Project Overview'!AA332=""),1,0)</f>
        <v>0</v>
      </c>
      <c r="M335" s="217"/>
      <c r="N335" s="217"/>
      <c r="O335" s="217">
        <f t="shared" si="60"/>
        <v>1</v>
      </c>
      <c r="P335" s="217" t="str">
        <f t="shared" si="59"/>
        <v/>
      </c>
    </row>
    <row r="336" spans="1:16" hidden="1" x14ac:dyDescent="0.3">
      <c r="A336" s="217" t="str">
        <f>""&amp;'[1]Project Overview'!A333</f>
        <v/>
      </c>
      <c r="B336" s="218">
        <f>'[1]Project Overview'!C333</f>
        <v>0</v>
      </c>
      <c r="C336" s="218">
        <f>'[1]Project Overview'!D333</f>
        <v>0</v>
      </c>
      <c r="D336" s="217">
        <f>'[1]Project Overview'!V333</f>
        <v>0</v>
      </c>
      <c r="E336" s="217"/>
      <c r="F336" s="217">
        <f t="shared" si="61"/>
        <v>1</v>
      </c>
      <c r="G336" s="217">
        <f t="shared" si="62"/>
        <v>0</v>
      </c>
      <c r="H336" s="217">
        <f>IF(AND($A336&lt;&gt;"",'[1]Project Overview'!E333=""),1,0)</f>
        <v>0</v>
      </c>
      <c r="I336" s="217">
        <f>IF(AND($A336&lt;&gt;"",'[1]Project Overview'!G333=""),1,0)</f>
        <v>0</v>
      </c>
      <c r="J336" s="217">
        <f>IF(AND($A336&lt;&gt;"",OR('[1]Project Overview'!J333="ESCO",'[1]Project Overview'!J333="EPC",'[1]Project Overview'!J333="ESCO BUYOUT"),'[1]Project Overview'!L333=""),1,0)</f>
        <v>0</v>
      </c>
      <c r="K336" s="217">
        <f>IF(AND($A336&lt;&gt;"",'[1]Project Overview'!P333=""),1,0)</f>
        <v>0</v>
      </c>
      <c r="L336" s="217">
        <f>IF(AND($A336&lt;&gt;"",'[1]Project Overview'!AA333=""),1,0)</f>
        <v>0</v>
      </c>
      <c r="M336" s="217"/>
      <c r="N336" s="217"/>
      <c r="O336" s="217">
        <f t="shared" si="60"/>
        <v>1</v>
      </c>
      <c r="P336" s="217" t="str">
        <f t="shared" si="59"/>
        <v/>
      </c>
    </row>
    <row r="337" spans="1:16" hidden="1" x14ac:dyDescent="0.3">
      <c r="A337" s="217" t="str">
        <f>""&amp;'[1]Project Overview'!A334</f>
        <v/>
      </c>
      <c r="B337" s="218">
        <f>'[1]Project Overview'!C334</f>
        <v>0</v>
      </c>
      <c r="C337" s="218">
        <f>'[1]Project Overview'!D334</f>
        <v>0</v>
      </c>
      <c r="D337" s="217">
        <f>'[1]Project Overview'!V334</f>
        <v>0</v>
      </c>
      <c r="E337" s="217"/>
      <c r="F337" s="217">
        <f t="shared" si="61"/>
        <v>1</v>
      </c>
      <c r="G337" s="217">
        <f t="shared" si="62"/>
        <v>0</v>
      </c>
      <c r="H337" s="217">
        <f>IF(AND($A337&lt;&gt;"",'[1]Project Overview'!E334=""),1,0)</f>
        <v>0</v>
      </c>
      <c r="I337" s="217">
        <f>IF(AND($A337&lt;&gt;"",'[1]Project Overview'!G334=""),1,0)</f>
        <v>0</v>
      </c>
      <c r="J337" s="217">
        <f>IF(AND($A337&lt;&gt;"",OR('[1]Project Overview'!J334="ESCO",'[1]Project Overview'!J334="EPC",'[1]Project Overview'!J334="ESCO BUYOUT"),'[1]Project Overview'!L334=""),1,0)</f>
        <v>0</v>
      </c>
      <c r="K337" s="217">
        <f>IF(AND($A337&lt;&gt;"",'[1]Project Overview'!P334=""),1,0)</f>
        <v>0</v>
      </c>
      <c r="L337" s="217">
        <f>IF(AND($A337&lt;&gt;"",'[1]Project Overview'!AA334=""),1,0)</f>
        <v>0</v>
      </c>
      <c r="M337" s="217"/>
      <c r="N337" s="217"/>
      <c r="O337" s="217">
        <f t="shared" si="60"/>
        <v>1</v>
      </c>
      <c r="P337" s="217" t="str">
        <f t="shared" si="59"/>
        <v/>
      </c>
    </row>
    <row r="338" spans="1:16" hidden="1" x14ac:dyDescent="0.3">
      <c r="A338" s="217" t="str">
        <f>""&amp;'[1]Project Overview'!A335</f>
        <v/>
      </c>
      <c r="B338" s="218">
        <f>'[1]Project Overview'!C335</f>
        <v>0</v>
      </c>
      <c r="C338" s="218">
        <f>'[1]Project Overview'!D335</f>
        <v>0</v>
      </c>
      <c r="D338" s="217">
        <f>'[1]Project Overview'!V335</f>
        <v>0</v>
      </c>
      <c r="E338" s="217"/>
      <c r="F338" s="217">
        <f t="shared" si="61"/>
        <v>1</v>
      </c>
      <c r="G338" s="217">
        <f t="shared" si="62"/>
        <v>0</v>
      </c>
      <c r="H338" s="217">
        <f>IF(AND($A338&lt;&gt;"",'[1]Project Overview'!E335=""),1,0)</f>
        <v>0</v>
      </c>
      <c r="I338" s="217">
        <f>IF(AND($A338&lt;&gt;"",'[1]Project Overview'!G335=""),1,0)</f>
        <v>0</v>
      </c>
      <c r="J338" s="217">
        <f>IF(AND($A338&lt;&gt;"",OR('[1]Project Overview'!J335="ESCO",'[1]Project Overview'!J335="EPC",'[1]Project Overview'!J335="ESCO BUYOUT"),'[1]Project Overview'!L335=""),1,0)</f>
        <v>0</v>
      </c>
      <c r="K338" s="217">
        <f>IF(AND($A338&lt;&gt;"",'[1]Project Overview'!P335=""),1,0)</f>
        <v>0</v>
      </c>
      <c r="L338" s="217">
        <f>IF(AND($A338&lt;&gt;"",'[1]Project Overview'!AA335=""),1,0)</f>
        <v>0</v>
      </c>
      <c r="M338" s="217"/>
      <c r="N338" s="217"/>
      <c r="O338" s="217">
        <f t="shared" si="60"/>
        <v>1</v>
      </c>
      <c r="P338" s="217" t="str">
        <f t="shared" si="59"/>
        <v/>
      </c>
    </row>
    <row r="339" spans="1:16" hidden="1" x14ac:dyDescent="0.3">
      <c r="A339" s="217" t="str">
        <f>""&amp;'[1]Project Overview'!A336</f>
        <v/>
      </c>
      <c r="B339" s="218">
        <f>'[1]Project Overview'!C336</f>
        <v>0</v>
      </c>
      <c r="C339" s="218">
        <f>'[1]Project Overview'!D336</f>
        <v>0</v>
      </c>
      <c r="D339" s="217">
        <f>'[1]Project Overview'!V336</f>
        <v>0</v>
      </c>
      <c r="E339" s="217"/>
      <c r="F339" s="217">
        <f t="shared" si="61"/>
        <v>1</v>
      </c>
      <c r="G339" s="217">
        <f t="shared" si="62"/>
        <v>0</v>
      </c>
      <c r="H339" s="217">
        <f>IF(AND($A339&lt;&gt;"",'[1]Project Overview'!E336=""),1,0)</f>
        <v>0</v>
      </c>
      <c r="I339" s="217">
        <f>IF(AND($A339&lt;&gt;"",'[1]Project Overview'!G336=""),1,0)</f>
        <v>0</v>
      </c>
      <c r="J339" s="217">
        <f>IF(AND($A339&lt;&gt;"",OR('[1]Project Overview'!J336="ESCO",'[1]Project Overview'!J336="EPC",'[1]Project Overview'!J336="ESCO BUYOUT"),'[1]Project Overview'!L336=""),1,0)</f>
        <v>0</v>
      </c>
      <c r="K339" s="217">
        <f>IF(AND($A339&lt;&gt;"",'[1]Project Overview'!P336=""),1,0)</f>
        <v>0</v>
      </c>
      <c r="L339" s="217">
        <f>IF(AND($A339&lt;&gt;"",'[1]Project Overview'!AA336=""),1,0)</f>
        <v>0</v>
      </c>
      <c r="M339" s="217"/>
      <c r="N339" s="217"/>
      <c r="O339" s="217">
        <f t="shared" si="60"/>
        <v>1</v>
      </c>
      <c r="P339" s="217" t="str">
        <f t="shared" si="59"/>
        <v/>
      </c>
    </row>
    <row r="340" spans="1:16" hidden="1" x14ac:dyDescent="0.3">
      <c r="A340" s="217" t="str">
        <f>""&amp;'[1]Project Overview'!A337</f>
        <v/>
      </c>
      <c r="B340" s="218">
        <f>'[1]Project Overview'!C337</f>
        <v>0</v>
      </c>
      <c r="C340" s="218">
        <f>'[1]Project Overview'!D337</f>
        <v>0</v>
      </c>
      <c r="D340" s="217">
        <f>'[1]Project Overview'!V337</f>
        <v>0</v>
      </c>
      <c r="E340" s="217"/>
      <c r="F340" s="217">
        <f t="shared" si="61"/>
        <v>1</v>
      </c>
      <c r="G340" s="217">
        <f t="shared" si="62"/>
        <v>0</v>
      </c>
      <c r="H340" s="217">
        <f>IF(AND($A340&lt;&gt;"",'[1]Project Overview'!E337=""),1,0)</f>
        <v>0</v>
      </c>
      <c r="I340" s="217">
        <f>IF(AND($A340&lt;&gt;"",'[1]Project Overview'!G337=""),1,0)</f>
        <v>0</v>
      </c>
      <c r="J340" s="217">
        <f>IF(AND($A340&lt;&gt;"",OR('[1]Project Overview'!J337="ESCO",'[1]Project Overview'!J337="EPC",'[1]Project Overview'!J337="ESCO BUYOUT"),'[1]Project Overview'!L337=""),1,0)</f>
        <v>0</v>
      </c>
      <c r="K340" s="217">
        <f>IF(AND($A340&lt;&gt;"",'[1]Project Overview'!P337=""),1,0)</f>
        <v>0</v>
      </c>
      <c r="L340" s="217">
        <f>IF(AND($A340&lt;&gt;"",'[1]Project Overview'!AA337=""),1,0)</f>
        <v>0</v>
      </c>
      <c r="M340" s="217"/>
      <c r="N340" s="217"/>
      <c r="O340" s="217">
        <f t="shared" si="60"/>
        <v>1</v>
      </c>
      <c r="P340" s="217" t="str">
        <f t="shared" si="59"/>
        <v/>
      </c>
    </row>
    <row r="341" spans="1:16" hidden="1" x14ac:dyDescent="0.3">
      <c r="A341" s="217" t="str">
        <f>""&amp;'[1]Project Overview'!A338</f>
        <v/>
      </c>
      <c r="B341" s="218">
        <f>'[1]Project Overview'!C338</f>
        <v>0</v>
      </c>
      <c r="C341" s="218">
        <f>'[1]Project Overview'!D338</f>
        <v>0</v>
      </c>
      <c r="D341" s="217">
        <f>'[1]Project Overview'!V338</f>
        <v>0</v>
      </c>
      <c r="E341" s="217"/>
      <c r="F341" s="217">
        <f t="shared" si="61"/>
        <v>1</v>
      </c>
      <c r="G341" s="217">
        <f t="shared" si="62"/>
        <v>0</v>
      </c>
      <c r="H341" s="217">
        <f>IF(AND($A341&lt;&gt;"",'[1]Project Overview'!E338=""),1,0)</f>
        <v>0</v>
      </c>
      <c r="I341" s="217">
        <f>IF(AND($A341&lt;&gt;"",'[1]Project Overview'!G338=""),1,0)</f>
        <v>0</v>
      </c>
      <c r="J341" s="217">
        <f>IF(AND($A341&lt;&gt;"",OR('[1]Project Overview'!J338="ESCO",'[1]Project Overview'!J338="EPC",'[1]Project Overview'!J338="ESCO BUYOUT"),'[1]Project Overview'!L338=""),1,0)</f>
        <v>0</v>
      </c>
      <c r="K341" s="217">
        <f>IF(AND($A341&lt;&gt;"",'[1]Project Overview'!P338=""),1,0)</f>
        <v>0</v>
      </c>
      <c r="L341" s="217">
        <f>IF(AND($A341&lt;&gt;"",'[1]Project Overview'!AA338=""),1,0)</f>
        <v>0</v>
      </c>
      <c r="M341" s="217"/>
      <c r="N341" s="217"/>
      <c r="O341" s="217">
        <f t="shared" si="60"/>
        <v>1</v>
      </c>
      <c r="P341" s="217" t="str">
        <f t="shared" si="59"/>
        <v/>
      </c>
    </row>
    <row r="342" spans="1:16" hidden="1" x14ac:dyDescent="0.3">
      <c r="A342" s="217" t="str">
        <f>""&amp;'[1]Project Overview'!A339</f>
        <v/>
      </c>
      <c r="B342" s="218">
        <f>'[1]Project Overview'!C339</f>
        <v>0</v>
      </c>
      <c r="C342" s="218">
        <f>'[1]Project Overview'!D339</f>
        <v>0</v>
      </c>
      <c r="D342" s="217">
        <f>'[1]Project Overview'!V339</f>
        <v>0</v>
      </c>
      <c r="E342" s="217"/>
      <c r="F342" s="217">
        <f t="shared" si="61"/>
        <v>1</v>
      </c>
      <c r="G342" s="217">
        <f t="shared" si="62"/>
        <v>0</v>
      </c>
      <c r="H342" s="217">
        <f>IF(AND($A342&lt;&gt;"",'[1]Project Overview'!E339=""),1,0)</f>
        <v>0</v>
      </c>
      <c r="I342" s="217">
        <f>IF(AND($A342&lt;&gt;"",'[1]Project Overview'!G339=""),1,0)</f>
        <v>0</v>
      </c>
      <c r="J342" s="217">
        <f>IF(AND($A342&lt;&gt;"",OR('[1]Project Overview'!J339="ESCO",'[1]Project Overview'!J339="EPC",'[1]Project Overview'!J339="ESCO BUYOUT"),'[1]Project Overview'!L339=""),1,0)</f>
        <v>0</v>
      </c>
      <c r="K342" s="217">
        <f>IF(AND($A342&lt;&gt;"",'[1]Project Overview'!P339=""),1,0)</f>
        <v>0</v>
      </c>
      <c r="L342" s="217">
        <f>IF(AND($A342&lt;&gt;"",'[1]Project Overview'!AA339=""),1,0)</f>
        <v>0</v>
      </c>
      <c r="M342" s="217"/>
      <c r="N342" s="217"/>
      <c r="O342" s="217">
        <f t="shared" si="60"/>
        <v>1</v>
      </c>
      <c r="P342" s="217" t="str">
        <f t="shared" si="59"/>
        <v/>
      </c>
    </row>
    <row r="343" spans="1:16" hidden="1" x14ac:dyDescent="0.3">
      <c r="A343" s="217" t="str">
        <f>""&amp;'[1]Project Overview'!A340</f>
        <v/>
      </c>
      <c r="B343" s="218">
        <f>'[1]Project Overview'!C340</f>
        <v>0</v>
      </c>
      <c r="C343" s="218">
        <f>'[1]Project Overview'!D340</f>
        <v>0</v>
      </c>
      <c r="D343" s="217">
        <f>'[1]Project Overview'!V340</f>
        <v>0</v>
      </c>
      <c r="E343" s="217"/>
      <c r="F343" s="217">
        <f t="shared" si="61"/>
        <v>1</v>
      </c>
      <c r="G343" s="217">
        <f t="shared" si="62"/>
        <v>0</v>
      </c>
      <c r="H343" s="217">
        <f>IF(AND($A343&lt;&gt;"",'[1]Project Overview'!E340=""),1,0)</f>
        <v>0</v>
      </c>
      <c r="I343" s="217">
        <f>IF(AND($A343&lt;&gt;"",'[1]Project Overview'!G340=""),1,0)</f>
        <v>0</v>
      </c>
      <c r="J343" s="217">
        <f>IF(AND($A343&lt;&gt;"",OR('[1]Project Overview'!J340="ESCO",'[1]Project Overview'!J340="EPC",'[1]Project Overview'!J340="ESCO BUYOUT"),'[1]Project Overview'!L340=""),1,0)</f>
        <v>0</v>
      </c>
      <c r="K343" s="217">
        <f>IF(AND($A343&lt;&gt;"",'[1]Project Overview'!P340=""),1,0)</f>
        <v>0</v>
      </c>
      <c r="L343" s="217">
        <f>IF(AND($A343&lt;&gt;"",'[1]Project Overview'!AA340=""),1,0)</f>
        <v>0</v>
      </c>
      <c r="M343" s="217"/>
      <c r="N343" s="217"/>
      <c r="O343" s="217">
        <f t="shared" si="60"/>
        <v>1</v>
      </c>
      <c r="P343" s="217" t="str">
        <f t="shared" si="59"/>
        <v/>
      </c>
    </row>
    <row r="344" spans="1:16" hidden="1" x14ac:dyDescent="0.3">
      <c r="A344" s="217" t="str">
        <f>""&amp;'[1]Project Overview'!A341</f>
        <v/>
      </c>
      <c r="B344" s="218">
        <f>'[1]Project Overview'!C341</f>
        <v>0</v>
      </c>
      <c r="C344" s="218">
        <f>'[1]Project Overview'!D341</f>
        <v>0</v>
      </c>
      <c r="D344" s="217">
        <f>'[1]Project Overview'!V341</f>
        <v>0</v>
      </c>
      <c r="E344" s="217"/>
      <c r="F344" s="217">
        <f t="shared" si="61"/>
        <v>1</v>
      </c>
      <c r="G344" s="217">
        <f t="shared" si="62"/>
        <v>0</v>
      </c>
      <c r="H344" s="217">
        <f>IF(AND($A344&lt;&gt;"",'[1]Project Overview'!E341=""),1,0)</f>
        <v>0</v>
      </c>
      <c r="I344" s="217">
        <f>IF(AND($A344&lt;&gt;"",'[1]Project Overview'!G341=""),1,0)</f>
        <v>0</v>
      </c>
      <c r="J344" s="217">
        <f>IF(AND($A344&lt;&gt;"",OR('[1]Project Overview'!J341="ESCO",'[1]Project Overview'!J341="EPC",'[1]Project Overview'!J341="ESCO BUYOUT"),'[1]Project Overview'!L341=""),1,0)</f>
        <v>0</v>
      </c>
      <c r="K344" s="217">
        <f>IF(AND($A344&lt;&gt;"",'[1]Project Overview'!P341=""),1,0)</f>
        <v>0</v>
      </c>
      <c r="L344" s="217">
        <f>IF(AND($A344&lt;&gt;"",'[1]Project Overview'!AA341=""),1,0)</f>
        <v>0</v>
      </c>
      <c r="M344" s="217"/>
      <c r="N344" s="217"/>
      <c r="O344" s="217">
        <f t="shared" si="60"/>
        <v>1</v>
      </c>
      <c r="P344" s="217" t="str">
        <f t="shared" si="59"/>
        <v/>
      </c>
    </row>
    <row r="345" spans="1:16" hidden="1" x14ac:dyDescent="0.3">
      <c r="A345" s="217" t="str">
        <f>""&amp;'[1]Project Overview'!A342</f>
        <v/>
      </c>
      <c r="B345" s="218">
        <f>'[1]Project Overview'!C342</f>
        <v>0</v>
      </c>
      <c r="C345" s="218">
        <f>'[1]Project Overview'!D342</f>
        <v>0</v>
      </c>
      <c r="D345" s="217">
        <f>'[1]Project Overview'!V342</f>
        <v>0</v>
      </c>
      <c r="E345" s="217"/>
      <c r="F345" s="217">
        <f t="shared" si="61"/>
        <v>1</v>
      </c>
      <c r="G345" s="217">
        <f t="shared" si="62"/>
        <v>0</v>
      </c>
      <c r="H345" s="217">
        <f>IF(AND($A345&lt;&gt;"",'[1]Project Overview'!E342=""),1,0)</f>
        <v>0</v>
      </c>
      <c r="I345" s="217">
        <f>IF(AND($A345&lt;&gt;"",'[1]Project Overview'!G342=""),1,0)</f>
        <v>0</v>
      </c>
      <c r="J345" s="217">
        <f>IF(AND($A345&lt;&gt;"",OR('[1]Project Overview'!J342="ESCO",'[1]Project Overview'!J342="EPC",'[1]Project Overview'!J342="ESCO BUYOUT"),'[1]Project Overview'!L342=""),1,0)</f>
        <v>0</v>
      </c>
      <c r="K345" s="217">
        <f>IF(AND($A345&lt;&gt;"",'[1]Project Overview'!P342=""),1,0)</f>
        <v>0</v>
      </c>
      <c r="L345" s="217">
        <f>IF(AND($A345&lt;&gt;"",'[1]Project Overview'!AA342=""),1,0)</f>
        <v>0</v>
      </c>
      <c r="M345" s="217"/>
      <c r="N345" s="217"/>
      <c r="O345" s="217">
        <f t="shared" si="60"/>
        <v>1</v>
      </c>
      <c r="P345" s="217" t="str">
        <f t="shared" si="59"/>
        <v/>
      </c>
    </row>
    <row r="346" spans="1:16" hidden="1" x14ac:dyDescent="0.3">
      <c r="A346" s="217" t="str">
        <f>""&amp;'[1]Project Overview'!A343</f>
        <v/>
      </c>
      <c r="B346" s="218">
        <f>'[1]Project Overview'!C343</f>
        <v>0</v>
      </c>
      <c r="C346" s="218">
        <f>'[1]Project Overview'!D343</f>
        <v>0</v>
      </c>
      <c r="D346" s="217">
        <f>'[1]Project Overview'!V343</f>
        <v>0</v>
      </c>
      <c r="E346" s="217"/>
      <c r="F346" s="217">
        <f t="shared" si="61"/>
        <v>1</v>
      </c>
      <c r="G346" s="217">
        <f t="shared" si="62"/>
        <v>0</v>
      </c>
      <c r="H346" s="217">
        <f>IF(AND($A346&lt;&gt;"",'[1]Project Overview'!E343=""),1,0)</f>
        <v>0</v>
      </c>
      <c r="I346" s="217">
        <f>IF(AND($A346&lt;&gt;"",'[1]Project Overview'!G343=""),1,0)</f>
        <v>0</v>
      </c>
      <c r="J346" s="217">
        <f>IF(AND($A346&lt;&gt;"",OR('[1]Project Overview'!J343="ESCO",'[1]Project Overview'!J343="EPC",'[1]Project Overview'!J343="ESCO BUYOUT"),'[1]Project Overview'!L343=""),1,0)</f>
        <v>0</v>
      </c>
      <c r="K346" s="217">
        <f>IF(AND($A346&lt;&gt;"",'[1]Project Overview'!P343=""),1,0)</f>
        <v>0</v>
      </c>
      <c r="L346" s="217">
        <f>IF(AND($A346&lt;&gt;"",'[1]Project Overview'!AA343=""),1,0)</f>
        <v>0</v>
      </c>
      <c r="M346" s="217"/>
      <c r="N346" s="217"/>
      <c r="O346" s="217">
        <f t="shared" si="60"/>
        <v>1</v>
      </c>
      <c r="P346" s="217" t="str">
        <f t="shared" si="59"/>
        <v/>
      </c>
    </row>
    <row r="347" spans="1:16" hidden="1" x14ac:dyDescent="0.3">
      <c r="A347" s="217" t="str">
        <f>""&amp;'[1]Project Overview'!A344</f>
        <v/>
      </c>
      <c r="B347" s="218">
        <f>'[1]Project Overview'!C344</f>
        <v>0</v>
      </c>
      <c r="C347" s="218">
        <f>'[1]Project Overview'!D344</f>
        <v>0</v>
      </c>
      <c r="D347" s="217">
        <f>'[1]Project Overview'!V344</f>
        <v>0</v>
      </c>
      <c r="E347" s="217"/>
      <c r="F347" s="217">
        <f t="shared" si="61"/>
        <v>1</v>
      </c>
      <c r="G347" s="217">
        <f t="shared" si="62"/>
        <v>0</v>
      </c>
      <c r="H347" s="217">
        <f>IF(AND($A347&lt;&gt;"",'[1]Project Overview'!E344=""),1,0)</f>
        <v>0</v>
      </c>
      <c r="I347" s="217">
        <f>IF(AND($A347&lt;&gt;"",'[1]Project Overview'!G344=""),1,0)</f>
        <v>0</v>
      </c>
      <c r="J347" s="217">
        <f>IF(AND($A347&lt;&gt;"",OR('[1]Project Overview'!J344="ESCO",'[1]Project Overview'!J344="EPC",'[1]Project Overview'!J344="ESCO BUYOUT"),'[1]Project Overview'!L344=""),1,0)</f>
        <v>0</v>
      </c>
      <c r="K347" s="217">
        <f>IF(AND($A347&lt;&gt;"",'[1]Project Overview'!P344=""),1,0)</f>
        <v>0</v>
      </c>
      <c r="L347" s="217">
        <f>IF(AND($A347&lt;&gt;"",'[1]Project Overview'!AA344=""),1,0)</f>
        <v>0</v>
      </c>
      <c r="M347" s="217"/>
      <c r="N347" s="217"/>
      <c r="O347" s="217">
        <f t="shared" si="60"/>
        <v>1</v>
      </c>
      <c r="P347" s="217" t="str">
        <f t="shared" si="59"/>
        <v/>
      </c>
    </row>
    <row r="348" spans="1:16" hidden="1" x14ac:dyDescent="0.3">
      <c r="A348" s="217" t="str">
        <f>""&amp;'[1]Project Overview'!A345</f>
        <v/>
      </c>
      <c r="B348" s="218">
        <f>'[1]Project Overview'!C345</f>
        <v>0</v>
      </c>
      <c r="C348" s="218">
        <f>'[1]Project Overview'!D345</f>
        <v>0</v>
      </c>
      <c r="D348" s="217">
        <f>'[1]Project Overview'!V345</f>
        <v>0</v>
      </c>
      <c r="E348" s="217"/>
      <c r="F348" s="217">
        <f t="shared" si="61"/>
        <v>1</v>
      </c>
      <c r="G348" s="217">
        <f t="shared" si="62"/>
        <v>0</v>
      </c>
      <c r="H348" s="217">
        <f>IF(AND($A348&lt;&gt;"",'[1]Project Overview'!E345=""),1,0)</f>
        <v>0</v>
      </c>
      <c r="I348" s="217">
        <f>IF(AND($A348&lt;&gt;"",'[1]Project Overview'!G345=""),1,0)</f>
        <v>0</v>
      </c>
      <c r="J348" s="217">
        <f>IF(AND($A348&lt;&gt;"",OR('[1]Project Overview'!J345="ESCO",'[1]Project Overview'!J345="EPC",'[1]Project Overview'!J345="ESCO BUYOUT"),'[1]Project Overview'!L345=""),1,0)</f>
        <v>0</v>
      </c>
      <c r="K348" s="217">
        <f>IF(AND($A348&lt;&gt;"",'[1]Project Overview'!P345=""),1,0)</f>
        <v>0</v>
      </c>
      <c r="L348" s="217">
        <f>IF(AND($A348&lt;&gt;"",'[1]Project Overview'!AA345=""),1,0)</f>
        <v>0</v>
      </c>
      <c r="M348" s="217"/>
      <c r="N348" s="217"/>
      <c r="O348" s="217">
        <f t="shared" si="60"/>
        <v>1</v>
      </c>
      <c r="P348" s="217" t="str">
        <f t="shared" si="59"/>
        <v/>
      </c>
    </row>
    <row r="349" spans="1:16" hidden="1" x14ac:dyDescent="0.3">
      <c r="A349" s="217" t="str">
        <f>""&amp;'[1]Project Overview'!A346</f>
        <v/>
      </c>
      <c r="B349" s="218">
        <f>'[1]Project Overview'!C346</f>
        <v>0</v>
      </c>
      <c r="C349" s="218">
        <f>'[1]Project Overview'!D346</f>
        <v>0</v>
      </c>
      <c r="D349" s="217">
        <f>'[1]Project Overview'!V346</f>
        <v>0</v>
      </c>
      <c r="E349" s="217"/>
      <c r="F349" s="217">
        <f t="shared" si="61"/>
        <v>1</v>
      </c>
      <c r="G349" s="217">
        <f t="shared" si="62"/>
        <v>0</v>
      </c>
      <c r="H349" s="217">
        <f>IF(AND($A349&lt;&gt;"",'[1]Project Overview'!E346=""),1,0)</f>
        <v>0</v>
      </c>
      <c r="I349" s="217">
        <f>IF(AND($A349&lt;&gt;"",'[1]Project Overview'!G346=""),1,0)</f>
        <v>0</v>
      </c>
      <c r="J349" s="217">
        <f>IF(AND($A349&lt;&gt;"",OR('[1]Project Overview'!J346="ESCO",'[1]Project Overview'!J346="EPC",'[1]Project Overview'!J346="ESCO BUYOUT"),'[1]Project Overview'!L346=""),1,0)</f>
        <v>0</v>
      </c>
      <c r="K349" s="217">
        <f>IF(AND($A349&lt;&gt;"",'[1]Project Overview'!P346=""),1,0)</f>
        <v>0</v>
      </c>
      <c r="L349" s="217">
        <f>IF(AND($A349&lt;&gt;"",'[1]Project Overview'!AA346=""),1,0)</f>
        <v>0</v>
      </c>
      <c r="M349" s="217"/>
      <c r="N349" s="217"/>
      <c r="O349" s="217">
        <f t="shared" si="60"/>
        <v>1</v>
      </c>
      <c r="P349" s="217" t="str">
        <f t="shared" si="59"/>
        <v/>
      </c>
    </row>
    <row r="350" spans="1:16" hidden="1" x14ac:dyDescent="0.3">
      <c r="A350" s="217" t="str">
        <f>""&amp;'[1]Project Overview'!A347</f>
        <v/>
      </c>
      <c r="B350" s="218">
        <f>'[1]Project Overview'!C347</f>
        <v>0</v>
      </c>
      <c r="C350" s="218">
        <f>'[1]Project Overview'!D347</f>
        <v>0</v>
      </c>
      <c r="D350" s="217">
        <f>'[1]Project Overview'!V347</f>
        <v>0</v>
      </c>
      <c r="E350" s="217"/>
      <c r="F350" s="217">
        <f t="shared" si="61"/>
        <v>1</v>
      </c>
      <c r="G350" s="217">
        <f t="shared" si="62"/>
        <v>0</v>
      </c>
      <c r="H350" s="217">
        <f>IF(AND($A350&lt;&gt;"",'[1]Project Overview'!E347=""),1,0)</f>
        <v>0</v>
      </c>
      <c r="I350" s="217">
        <f>IF(AND($A350&lt;&gt;"",'[1]Project Overview'!G347=""),1,0)</f>
        <v>0</v>
      </c>
      <c r="J350" s="217">
        <f>IF(AND($A350&lt;&gt;"",OR('[1]Project Overview'!J347="ESCO",'[1]Project Overview'!J347="EPC",'[1]Project Overview'!J347="ESCO BUYOUT"),'[1]Project Overview'!L347=""),1,0)</f>
        <v>0</v>
      </c>
      <c r="K350" s="217">
        <f>IF(AND($A350&lt;&gt;"",'[1]Project Overview'!P347=""),1,0)</f>
        <v>0</v>
      </c>
      <c r="L350" s="217">
        <f>IF(AND($A350&lt;&gt;"",'[1]Project Overview'!AA347=""),1,0)</f>
        <v>0</v>
      </c>
      <c r="M350" s="217"/>
      <c r="N350" s="217"/>
      <c r="O350" s="217">
        <f t="shared" si="60"/>
        <v>1</v>
      </c>
      <c r="P350" s="217" t="str">
        <f t="shared" si="59"/>
        <v/>
      </c>
    </row>
    <row r="351" spans="1:16" hidden="1" x14ac:dyDescent="0.3">
      <c r="A351" s="217" t="str">
        <f>""&amp;'[1]Project Overview'!A348</f>
        <v/>
      </c>
      <c r="B351" s="218">
        <f>'[1]Project Overview'!C348</f>
        <v>0</v>
      </c>
      <c r="C351" s="218">
        <f>'[1]Project Overview'!D348</f>
        <v>0</v>
      </c>
      <c r="D351" s="217">
        <f>'[1]Project Overview'!V348</f>
        <v>0</v>
      </c>
      <c r="E351" s="217"/>
      <c r="F351" s="217">
        <f t="shared" si="61"/>
        <v>1</v>
      </c>
      <c r="G351" s="217">
        <f t="shared" si="62"/>
        <v>0</v>
      </c>
      <c r="H351" s="217">
        <f>IF(AND($A351&lt;&gt;"",'[1]Project Overview'!E348=""),1,0)</f>
        <v>0</v>
      </c>
      <c r="I351" s="217">
        <f>IF(AND($A351&lt;&gt;"",'[1]Project Overview'!G348=""),1,0)</f>
        <v>0</v>
      </c>
      <c r="J351" s="217">
        <f>IF(AND($A351&lt;&gt;"",OR('[1]Project Overview'!J348="ESCO",'[1]Project Overview'!J348="EPC",'[1]Project Overview'!J348="ESCO BUYOUT"),'[1]Project Overview'!L348=""),1,0)</f>
        <v>0</v>
      </c>
      <c r="K351" s="217">
        <f>IF(AND($A351&lt;&gt;"",'[1]Project Overview'!P348=""),1,0)</f>
        <v>0</v>
      </c>
      <c r="L351" s="217">
        <f>IF(AND($A351&lt;&gt;"",'[1]Project Overview'!AA348=""),1,0)</f>
        <v>0</v>
      </c>
      <c r="M351" s="217"/>
      <c r="N351" s="217"/>
      <c r="O351" s="217">
        <f t="shared" si="60"/>
        <v>1</v>
      </c>
      <c r="P351" s="217" t="str">
        <f t="shared" si="59"/>
        <v/>
      </c>
    </row>
    <row r="352" spans="1:16" hidden="1" x14ac:dyDescent="0.3">
      <c r="A352" s="217" t="str">
        <f>""&amp;'[1]Project Overview'!A349</f>
        <v/>
      </c>
      <c r="B352" s="218">
        <f>'[1]Project Overview'!C349</f>
        <v>0</v>
      </c>
      <c r="C352" s="218">
        <f>'[1]Project Overview'!D349</f>
        <v>0</v>
      </c>
      <c r="D352" s="217">
        <f>'[1]Project Overview'!V349</f>
        <v>0</v>
      </c>
      <c r="E352" s="217"/>
      <c r="F352" s="217">
        <f t="shared" si="61"/>
        <v>1</v>
      </c>
      <c r="G352" s="217">
        <f t="shared" si="62"/>
        <v>0</v>
      </c>
      <c r="H352" s="217">
        <f>IF(AND($A352&lt;&gt;"",'[1]Project Overview'!E349=""),1,0)</f>
        <v>0</v>
      </c>
      <c r="I352" s="217">
        <f>IF(AND($A352&lt;&gt;"",'[1]Project Overview'!G349=""),1,0)</f>
        <v>0</v>
      </c>
      <c r="J352" s="217">
        <f>IF(AND($A352&lt;&gt;"",OR('[1]Project Overview'!J349="ESCO",'[1]Project Overview'!J349="EPC",'[1]Project Overview'!J349="ESCO BUYOUT"),'[1]Project Overview'!L349=""),1,0)</f>
        <v>0</v>
      </c>
      <c r="K352" s="217">
        <f>IF(AND($A352&lt;&gt;"",'[1]Project Overview'!P349=""),1,0)</f>
        <v>0</v>
      </c>
      <c r="L352" s="217">
        <f>IF(AND($A352&lt;&gt;"",'[1]Project Overview'!AA349=""),1,0)</f>
        <v>0</v>
      </c>
      <c r="M352" s="217"/>
      <c r="N352" s="217"/>
      <c r="O352" s="217">
        <f t="shared" si="60"/>
        <v>1</v>
      </c>
      <c r="P352" s="217" t="str">
        <f t="shared" si="59"/>
        <v/>
      </c>
    </row>
    <row r="353" spans="1:16" hidden="1" x14ac:dyDescent="0.3">
      <c r="A353" s="217" t="str">
        <f>""&amp;'[1]Project Overview'!A350</f>
        <v/>
      </c>
      <c r="B353" s="218">
        <f>'[1]Project Overview'!C350</f>
        <v>0</v>
      </c>
      <c r="C353" s="218">
        <f>'[1]Project Overview'!D350</f>
        <v>0</v>
      </c>
      <c r="D353" s="217">
        <f>'[1]Project Overview'!V350</f>
        <v>0</v>
      </c>
      <c r="E353" s="217"/>
      <c r="F353" s="217">
        <f t="shared" si="61"/>
        <v>1</v>
      </c>
      <c r="G353" s="217">
        <f t="shared" si="62"/>
        <v>0</v>
      </c>
      <c r="H353" s="217">
        <f>IF(AND($A353&lt;&gt;"",'[1]Project Overview'!E350=""),1,0)</f>
        <v>0</v>
      </c>
      <c r="I353" s="217">
        <f>IF(AND($A353&lt;&gt;"",'[1]Project Overview'!G350=""),1,0)</f>
        <v>0</v>
      </c>
      <c r="J353" s="217">
        <f>IF(AND($A353&lt;&gt;"",OR('[1]Project Overview'!J350="ESCO",'[1]Project Overview'!J350="EPC",'[1]Project Overview'!J350="ESCO BUYOUT"),'[1]Project Overview'!L350=""),1,0)</f>
        <v>0</v>
      </c>
      <c r="K353" s="217">
        <f>IF(AND($A353&lt;&gt;"",'[1]Project Overview'!P350=""),1,0)</f>
        <v>0</v>
      </c>
      <c r="L353" s="217">
        <f>IF(AND($A353&lt;&gt;"",'[1]Project Overview'!AA350=""),1,0)</f>
        <v>0</v>
      </c>
      <c r="M353" s="217"/>
      <c r="N353" s="217"/>
      <c r="O353" s="217">
        <f t="shared" si="60"/>
        <v>1</v>
      </c>
      <c r="P353" s="217" t="str">
        <f t="shared" si="59"/>
        <v/>
      </c>
    </row>
    <row r="354" spans="1:16" hidden="1" x14ac:dyDescent="0.3">
      <c r="A354" s="217" t="str">
        <f>""&amp;'[1]Project Overview'!A351</f>
        <v/>
      </c>
      <c r="B354" s="218">
        <f>'[1]Project Overview'!C351</f>
        <v>0</v>
      </c>
      <c r="C354" s="218">
        <f>'[1]Project Overview'!D351</f>
        <v>0</v>
      </c>
      <c r="D354" s="217">
        <f>'[1]Project Overview'!V351</f>
        <v>0</v>
      </c>
      <c r="E354" s="217"/>
      <c r="F354" s="217">
        <f t="shared" si="61"/>
        <v>1</v>
      </c>
      <c r="G354" s="217">
        <f t="shared" si="62"/>
        <v>0</v>
      </c>
      <c r="H354" s="217">
        <f>IF(AND($A354&lt;&gt;"",'[1]Project Overview'!E351=""),1,0)</f>
        <v>0</v>
      </c>
      <c r="I354" s="217">
        <f>IF(AND($A354&lt;&gt;"",'[1]Project Overview'!G351=""),1,0)</f>
        <v>0</v>
      </c>
      <c r="J354" s="217">
        <f>IF(AND($A354&lt;&gt;"",OR('[1]Project Overview'!J351="ESCO",'[1]Project Overview'!J351="EPC",'[1]Project Overview'!J351="ESCO BUYOUT"),'[1]Project Overview'!L351=""),1,0)</f>
        <v>0</v>
      </c>
      <c r="K354" s="217">
        <f>IF(AND($A354&lt;&gt;"",'[1]Project Overview'!P351=""),1,0)</f>
        <v>0</v>
      </c>
      <c r="L354" s="217">
        <f>IF(AND($A354&lt;&gt;"",'[1]Project Overview'!AA351=""),1,0)</f>
        <v>0</v>
      </c>
      <c r="M354" s="217"/>
      <c r="N354" s="217"/>
      <c r="O354" s="217">
        <f t="shared" si="60"/>
        <v>1</v>
      </c>
      <c r="P354" s="217" t="str">
        <f t="shared" si="59"/>
        <v/>
      </c>
    </row>
    <row r="355" spans="1:16" hidden="1" x14ac:dyDescent="0.3">
      <c r="A355" s="217" t="str">
        <f>""&amp;'[1]Project Overview'!A352</f>
        <v/>
      </c>
      <c r="B355" s="218">
        <f>'[1]Project Overview'!C352</f>
        <v>0</v>
      </c>
      <c r="C355" s="218">
        <f>'[1]Project Overview'!D352</f>
        <v>0</v>
      </c>
      <c r="D355" s="217">
        <f>'[1]Project Overview'!V352</f>
        <v>0</v>
      </c>
      <c r="E355" s="217"/>
      <c r="F355" s="217">
        <f t="shared" si="61"/>
        <v>1</v>
      </c>
      <c r="G355" s="217">
        <f t="shared" si="62"/>
        <v>0</v>
      </c>
      <c r="H355" s="217">
        <f>IF(AND($A355&lt;&gt;"",'[1]Project Overview'!E352=""),1,0)</f>
        <v>0</v>
      </c>
      <c r="I355" s="217">
        <f>IF(AND($A355&lt;&gt;"",'[1]Project Overview'!G352=""),1,0)</f>
        <v>0</v>
      </c>
      <c r="J355" s="217">
        <f>IF(AND($A355&lt;&gt;"",OR('[1]Project Overview'!J352="ESCO",'[1]Project Overview'!J352="EPC",'[1]Project Overview'!J352="ESCO BUYOUT"),'[1]Project Overview'!L352=""),1,0)</f>
        <v>0</v>
      </c>
      <c r="K355" s="217">
        <f>IF(AND($A355&lt;&gt;"",'[1]Project Overview'!P352=""),1,0)</f>
        <v>0</v>
      </c>
      <c r="L355" s="217">
        <f>IF(AND($A355&lt;&gt;"",'[1]Project Overview'!AA352=""),1,0)</f>
        <v>0</v>
      </c>
      <c r="M355" s="217"/>
      <c r="N355" s="217"/>
      <c r="O355" s="217">
        <f t="shared" si="60"/>
        <v>1</v>
      </c>
      <c r="P355" s="217" t="str">
        <f t="shared" si="59"/>
        <v/>
      </c>
    </row>
    <row r="356" spans="1:16" hidden="1" x14ac:dyDescent="0.3">
      <c r="A356" s="217" t="str">
        <f>""&amp;'[1]Project Overview'!A353</f>
        <v/>
      </c>
      <c r="B356" s="218">
        <f>'[1]Project Overview'!C353</f>
        <v>0</v>
      </c>
      <c r="C356" s="218">
        <f>'[1]Project Overview'!D353</f>
        <v>0</v>
      </c>
      <c r="D356" s="217">
        <f>'[1]Project Overview'!V353</f>
        <v>0</v>
      </c>
      <c r="E356" s="217"/>
      <c r="F356" s="217">
        <f t="shared" si="61"/>
        <v>1</v>
      </c>
      <c r="G356" s="217">
        <f t="shared" si="62"/>
        <v>0</v>
      </c>
      <c r="H356" s="217">
        <f>IF(AND($A356&lt;&gt;"",'[1]Project Overview'!E353=""),1,0)</f>
        <v>0</v>
      </c>
      <c r="I356" s="217">
        <f>IF(AND($A356&lt;&gt;"",'[1]Project Overview'!G353=""),1,0)</f>
        <v>0</v>
      </c>
      <c r="J356" s="217">
        <f>IF(AND($A356&lt;&gt;"",OR('[1]Project Overview'!J353="ESCO",'[1]Project Overview'!J353="EPC",'[1]Project Overview'!J353="ESCO BUYOUT"),'[1]Project Overview'!L353=""),1,0)</f>
        <v>0</v>
      </c>
      <c r="K356" s="217">
        <f>IF(AND($A356&lt;&gt;"",'[1]Project Overview'!P353=""),1,0)</f>
        <v>0</v>
      </c>
      <c r="L356" s="217">
        <f>IF(AND($A356&lt;&gt;"",'[1]Project Overview'!AA353=""),1,0)</f>
        <v>0</v>
      </c>
      <c r="M356" s="217"/>
      <c r="N356" s="217"/>
      <c r="O356" s="217">
        <f t="shared" si="60"/>
        <v>1</v>
      </c>
      <c r="P356" s="217" t="str">
        <f t="shared" si="59"/>
        <v/>
      </c>
    </row>
    <row r="357" spans="1:16" hidden="1" x14ac:dyDescent="0.3">
      <c r="A357" s="217" t="str">
        <f>""&amp;'[1]Project Overview'!A354</f>
        <v/>
      </c>
      <c r="B357" s="218">
        <f>'[1]Project Overview'!C354</f>
        <v>0</v>
      </c>
      <c r="C357" s="218">
        <f>'[1]Project Overview'!D354</f>
        <v>0</v>
      </c>
      <c r="D357" s="217">
        <f>'[1]Project Overview'!V354</f>
        <v>0</v>
      </c>
      <c r="E357" s="217"/>
      <c r="F357" s="217">
        <f t="shared" si="61"/>
        <v>1</v>
      </c>
      <c r="G357" s="217">
        <f t="shared" si="62"/>
        <v>0</v>
      </c>
      <c r="H357" s="217">
        <f>IF(AND($A357&lt;&gt;"",'[1]Project Overview'!E354=""),1,0)</f>
        <v>0</v>
      </c>
      <c r="I357" s="217">
        <f>IF(AND($A357&lt;&gt;"",'[1]Project Overview'!G354=""),1,0)</f>
        <v>0</v>
      </c>
      <c r="J357" s="217">
        <f>IF(AND($A357&lt;&gt;"",OR('[1]Project Overview'!J354="ESCO",'[1]Project Overview'!J354="EPC",'[1]Project Overview'!J354="ESCO BUYOUT"),'[1]Project Overview'!L354=""),1,0)</f>
        <v>0</v>
      </c>
      <c r="K357" s="217">
        <f>IF(AND($A357&lt;&gt;"",'[1]Project Overview'!P354=""),1,0)</f>
        <v>0</v>
      </c>
      <c r="L357" s="217">
        <f>IF(AND($A357&lt;&gt;"",'[1]Project Overview'!AA354=""),1,0)</f>
        <v>0</v>
      </c>
      <c r="M357" s="217"/>
      <c r="N357" s="217"/>
      <c r="O357" s="217">
        <f t="shared" si="60"/>
        <v>1</v>
      </c>
      <c r="P357" s="217" t="str">
        <f t="shared" si="59"/>
        <v/>
      </c>
    </row>
    <row r="358" spans="1:16" hidden="1" x14ac:dyDescent="0.3">
      <c r="A358" s="217" t="str">
        <f>""&amp;'[1]Project Overview'!A355</f>
        <v/>
      </c>
      <c r="B358" s="218">
        <f>'[1]Project Overview'!C355</f>
        <v>0</v>
      </c>
      <c r="C358" s="218">
        <f>'[1]Project Overview'!D355</f>
        <v>0</v>
      </c>
      <c r="D358" s="217">
        <f>'[1]Project Overview'!V355</f>
        <v>0</v>
      </c>
      <c r="E358" s="217"/>
      <c r="F358" s="217">
        <f t="shared" si="61"/>
        <v>1</v>
      </c>
      <c r="G358" s="217">
        <f t="shared" si="62"/>
        <v>0</v>
      </c>
      <c r="H358" s="217">
        <f>IF(AND($A358&lt;&gt;"",'[1]Project Overview'!E355=""),1,0)</f>
        <v>0</v>
      </c>
      <c r="I358" s="217">
        <f>IF(AND($A358&lt;&gt;"",'[1]Project Overview'!G355=""),1,0)</f>
        <v>0</v>
      </c>
      <c r="J358" s="217">
        <f>IF(AND($A358&lt;&gt;"",OR('[1]Project Overview'!J355="ESCO",'[1]Project Overview'!J355="EPC",'[1]Project Overview'!J355="ESCO BUYOUT"),'[1]Project Overview'!L355=""),1,0)</f>
        <v>0</v>
      </c>
      <c r="K358" s="217">
        <f>IF(AND($A358&lt;&gt;"",'[1]Project Overview'!P355=""),1,0)</f>
        <v>0</v>
      </c>
      <c r="L358" s="217">
        <f>IF(AND($A358&lt;&gt;"",'[1]Project Overview'!AA355=""),1,0)</f>
        <v>0</v>
      </c>
      <c r="M358" s="217"/>
      <c r="N358" s="217"/>
      <c r="O358" s="217">
        <f t="shared" si="60"/>
        <v>1</v>
      </c>
      <c r="P358" s="217" t="str">
        <f t="shared" si="59"/>
        <v/>
      </c>
    </row>
    <row r="359" spans="1:16" hidden="1" x14ac:dyDescent="0.3">
      <c r="A359" s="217" t="str">
        <f>""&amp;'[1]Project Overview'!A356</f>
        <v/>
      </c>
      <c r="B359" s="218">
        <f>'[1]Project Overview'!C356</f>
        <v>0</v>
      </c>
      <c r="C359" s="218">
        <f>'[1]Project Overview'!D356</f>
        <v>0</v>
      </c>
      <c r="D359" s="217">
        <f>'[1]Project Overview'!V356</f>
        <v>0</v>
      </c>
      <c r="E359" s="217"/>
      <c r="F359" s="217">
        <f t="shared" si="61"/>
        <v>1</v>
      </c>
      <c r="G359" s="217">
        <f t="shared" si="62"/>
        <v>0</v>
      </c>
      <c r="H359" s="217">
        <f>IF(AND($A359&lt;&gt;"",'[1]Project Overview'!E356=""),1,0)</f>
        <v>0</v>
      </c>
      <c r="I359" s="217">
        <f>IF(AND($A359&lt;&gt;"",'[1]Project Overview'!G356=""),1,0)</f>
        <v>0</v>
      </c>
      <c r="J359" s="217">
        <f>IF(AND($A359&lt;&gt;"",OR('[1]Project Overview'!J356="ESCO",'[1]Project Overview'!J356="EPC",'[1]Project Overview'!J356="ESCO BUYOUT"),'[1]Project Overview'!L356=""),1,0)</f>
        <v>0</v>
      </c>
      <c r="K359" s="217">
        <f>IF(AND($A359&lt;&gt;"",'[1]Project Overview'!P356=""),1,0)</f>
        <v>0</v>
      </c>
      <c r="L359" s="217">
        <f>IF(AND($A359&lt;&gt;"",'[1]Project Overview'!AA356=""),1,0)</f>
        <v>0</v>
      </c>
      <c r="M359" s="217"/>
      <c r="N359" s="217"/>
      <c r="O359" s="217">
        <f t="shared" si="60"/>
        <v>1</v>
      </c>
      <c r="P359" s="217" t="str">
        <f t="shared" si="59"/>
        <v/>
      </c>
    </row>
    <row r="360" spans="1:16" hidden="1" x14ac:dyDescent="0.3">
      <c r="A360" s="217" t="str">
        <f>""&amp;'[1]Project Overview'!A357</f>
        <v/>
      </c>
      <c r="B360" s="218">
        <f>'[1]Project Overview'!C357</f>
        <v>0</v>
      </c>
      <c r="C360" s="218">
        <f>'[1]Project Overview'!D357</f>
        <v>0</v>
      </c>
      <c r="D360" s="217">
        <f>'[1]Project Overview'!V357</f>
        <v>0</v>
      </c>
      <c r="E360" s="217"/>
      <c r="F360" s="217">
        <f t="shared" si="61"/>
        <v>1</v>
      </c>
      <c r="G360" s="217">
        <f t="shared" si="62"/>
        <v>0</v>
      </c>
      <c r="H360" s="217">
        <f>IF(AND($A360&lt;&gt;"",'[1]Project Overview'!E357=""),1,0)</f>
        <v>0</v>
      </c>
      <c r="I360" s="217">
        <f>IF(AND($A360&lt;&gt;"",'[1]Project Overview'!G357=""),1,0)</f>
        <v>0</v>
      </c>
      <c r="J360" s="217">
        <f>IF(AND($A360&lt;&gt;"",OR('[1]Project Overview'!J357="ESCO",'[1]Project Overview'!J357="EPC",'[1]Project Overview'!J357="ESCO BUYOUT"),'[1]Project Overview'!L357=""),1,0)</f>
        <v>0</v>
      </c>
      <c r="K360" s="217">
        <f>IF(AND($A360&lt;&gt;"",'[1]Project Overview'!P357=""),1,0)</f>
        <v>0</v>
      </c>
      <c r="L360" s="217">
        <f>IF(AND($A360&lt;&gt;"",'[1]Project Overview'!AA357=""),1,0)</f>
        <v>0</v>
      </c>
      <c r="M360" s="217"/>
      <c r="N360" s="217"/>
      <c r="O360" s="217">
        <f t="shared" si="60"/>
        <v>1</v>
      </c>
      <c r="P360" s="217" t="str">
        <f t="shared" si="59"/>
        <v/>
      </c>
    </row>
    <row r="361" spans="1:16" hidden="1" x14ac:dyDescent="0.3">
      <c r="A361" s="217" t="str">
        <f>""&amp;'[1]Project Overview'!A358</f>
        <v/>
      </c>
      <c r="B361" s="218">
        <f>'[1]Project Overview'!C358</f>
        <v>0</v>
      </c>
      <c r="C361" s="218">
        <f>'[1]Project Overview'!D358</f>
        <v>0</v>
      </c>
      <c r="D361" s="217">
        <f>'[1]Project Overview'!V358</f>
        <v>0</v>
      </c>
      <c r="E361" s="217"/>
      <c r="F361" s="217">
        <f t="shared" si="61"/>
        <v>1</v>
      </c>
      <c r="G361" s="217">
        <f t="shared" si="62"/>
        <v>0</v>
      </c>
      <c r="H361" s="217">
        <f>IF(AND($A361&lt;&gt;"",'[1]Project Overview'!E358=""),1,0)</f>
        <v>0</v>
      </c>
      <c r="I361" s="217">
        <f>IF(AND($A361&lt;&gt;"",'[1]Project Overview'!G358=""),1,0)</f>
        <v>0</v>
      </c>
      <c r="J361" s="217">
        <f>IF(AND($A361&lt;&gt;"",OR('[1]Project Overview'!J358="ESCO",'[1]Project Overview'!J358="EPC",'[1]Project Overview'!J358="ESCO BUYOUT"),'[1]Project Overview'!L358=""),1,0)</f>
        <v>0</v>
      </c>
      <c r="K361" s="217">
        <f>IF(AND($A361&lt;&gt;"",'[1]Project Overview'!P358=""),1,0)</f>
        <v>0</v>
      </c>
      <c r="L361" s="217">
        <f>IF(AND($A361&lt;&gt;"",'[1]Project Overview'!AA358=""),1,0)</f>
        <v>0</v>
      </c>
      <c r="M361" s="217"/>
      <c r="N361" s="217"/>
      <c r="O361" s="217">
        <f t="shared" si="60"/>
        <v>1</v>
      </c>
      <c r="P361" s="217" t="str">
        <f t="shared" si="59"/>
        <v/>
      </c>
    </row>
    <row r="362" spans="1:16" hidden="1" x14ac:dyDescent="0.3">
      <c r="A362" s="217" t="str">
        <f>""&amp;'[1]Project Overview'!A359</f>
        <v/>
      </c>
      <c r="B362" s="218">
        <f>'[1]Project Overview'!C359</f>
        <v>0</v>
      </c>
      <c r="C362" s="218">
        <f>'[1]Project Overview'!D359</f>
        <v>0</v>
      </c>
      <c r="D362" s="217">
        <f>'[1]Project Overview'!V359</f>
        <v>0</v>
      </c>
      <c r="E362" s="217"/>
      <c r="F362" s="217">
        <f t="shared" si="61"/>
        <v>1</v>
      </c>
      <c r="G362" s="217">
        <f t="shared" si="62"/>
        <v>0</v>
      </c>
      <c r="H362" s="217">
        <f>IF(AND($A362&lt;&gt;"",'[1]Project Overview'!E359=""),1,0)</f>
        <v>0</v>
      </c>
      <c r="I362" s="217">
        <f>IF(AND($A362&lt;&gt;"",'[1]Project Overview'!G359=""),1,0)</f>
        <v>0</v>
      </c>
      <c r="J362" s="217">
        <f>IF(AND($A362&lt;&gt;"",OR('[1]Project Overview'!J359="ESCO",'[1]Project Overview'!J359="EPC",'[1]Project Overview'!J359="ESCO BUYOUT"),'[1]Project Overview'!L359=""),1,0)</f>
        <v>0</v>
      </c>
      <c r="K362" s="217">
        <f>IF(AND($A362&lt;&gt;"",'[1]Project Overview'!P359=""),1,0)</f>
        <v>0</v>
      </c>
      <c r="L362" s="217">
        <f>IF(AND($A362&lt;&gt;"",'[1]Project Overview'!AA359=""),1,0)</f>
        <v>0</v>
      </c>
      <c r="M362" s="217"/>
      <c r="N362" s="217"/>
      <c r="O362" s="217">
        <f t="shared" si="60"/>
        <v>1</v>
      </c>
      <c r="P362" s="217" t="str">
        <f t="shared" si="59"/>
        <v/>
      </c>
    </row>
    <row r="363" spans="1:16" hidden="1" x14ac:dyDescent="0.3">
      <c r="A363" s="217" t="str">
        <f>""&amp;'[1]Project Overview'!A360</f>
        <v/>
      </c>
      <c r="B363" s="218">
        <f>'[1]Project Overview'!C360</f>
        <v>0</v>
      </c>
      <c r="C363" s="218">
        <f>'[1]Project Overview'!D360</f>
        <v>0</v>
      </c>
      <c r="D363" s="217">
        <f>'[1]Project Overview'!V360</f>
        <v>0</v>
      </c>
      <c r="E363" s="217"/>
      <c r="F363" s="217">
        <f t="shared" si="61"/>
        <v>1</v>
      </c>
      <c r="G363" s="217">
        <f t="shared" si="62"/>
        <v>0</v>
      </c>
      <c r="H363" s="217">
        <f>IF(AND($A363&lt;&gt;"",'[1]Project Overview'!E360=""),1,0)</f>
        <v>0</v>
      </c>
      <c r="I363" s="217">
        <f>IF(AND($A363&lt;&gt;"",'[1]Project Overview'!G360=""),1,0)</f>
        <v>0</v>
      </c>
      <c r="J363" s="217">
        <f>IF(AND($A363&lt;&gt;"",OR('[1]Project Overview'!J360="ESCO",'[1]Project Overview'!J360="EPC",'[1]Project Overview'!J360="ESCO BUYOUT"),'[1]Project Overview'!L360=""),1,0)</f>
        <v>0</v>
      </c>
      <c r="K363" s="217">
        <f>IF(AND($A363&lt;&gt;"",'[1]Project Overview'!P360=""),1,0)</f>
        <v>0</v>
      </c>
      <c r="L363" s="217">
        <f>IF(AND($A363&lt;&gt;"",'[1]Project Overview'!AA360=""),1,0)</f>
        <v>0</v>
      </c>
      <c r="M363" s="217"/>
      <c r="N363" s="217"/>
      <c r="O363" s="217">
        <f t="shared" si="60"/>
        <v>1</v>
      </c>
      <c r="P363" s="217" t="str">
        <f t="shared" si="59"/>
        <v/>
      </c>
    </row>
    <row r="364" spans="1:16" hidden="1" x14ac:dyDescent="0.3">
      <c r="A364" s="217" t="str">
        <f>""&amp;'[1]Project Overview'!A361</f>
        <v/>
      </c>
      <c r="B364" s="218">
        <f>'[1]Project Overview'!C361</f>
        <v>0</v>
      </c>
      <c r="C364" s="218">
        <f>'[1]Project Overview'!D361</f>
        <v>0</v>
      </c>
      <c r="D364" s="217">
        <f>'[1]Project Overview'!V361</f>
        <v>0</v>
      </c>
      <c r="E364" s="217"/>
      <c r="F364" s="217">
        <f t="shared" si="61"/>
        <v>1</v>
      </c>
      <c r="G364" s="217">
        <f t="shared" si="62"/>
        <v>0</v>
      </c>
      <c r="H364" s="217">
        <f>IF(AND($A364&lt;&gt;"",'[1]Project Overview'!E361=""),1,0)</f>
        <v>0</v>
      </c>
      <c r="I364" s="217">
        <f>IF(AND($A364&lt;&gt;"",'[1]Project Overview'!G361=""),1,0)</f>
        <v>0</v>
      </c>
      <c r="J364" s="217">
        <f>IF(AND($A364&lt;&gt;"",OR('[1]Project Overview'!J361="ESCO",'[1]Project Overview'!J361="EPC",'[1]Project Overview'!J361="ESCO BUYOUT"),'[1]Project Overview'!L361=""),1,0)</f>
        <v>0</v>
      </c>
      <c r="K364" s="217">
        <f>IF(AND($A364&lt;&gt;"",'[1]Project Overview'!P361=""),1,0)</f>
        <v>0</v>
      </c>
      <c r="L364" s="217">
        <f>IF(AND($A364&lt;&gt;"",'[1]Project Overview'!AA361=""),1,0)</f>
        <v>0</v>
      </c>
      <c r="M364" s="217"/>
      <c r="N364" s="217"/>
      <c r="O364" s="217">
        <f t="shared" si="60"/>
        <v>1</v>
      </c>
      <c r="P364" s="217" t="str">
        <f t="shared" si="59"/>
        <v/>
      </c>
    </row>
    <row r="365" spans="1:16" hidden="1" x14ac:dyDescent="0.3">
      <c r="A365" s="217" t="str">
        <f>""&amp;'[1]Project Overview'!A362</f>
        <v/>
      </c>
      <c r="B365" s="218">
        <f>'[1]Project Overview'!C362</f>
        <v>0</v>
      </c>
      <c r="C365" s="218">
        <f>'[1]Project Overview'!D362</f>
        <v>0</v>
      </c>
      <c r="D365" s="217">
        <f>'[1]Project Overview'!V362</f>
        <v>0</v>
      </c>
      <c r="E365" s="217"/>
      <c r="F365" s="217">
        <f t="shared" si="61"/>
        <v>1</v>
      </c>
      <c r="G365" s="217">
        <f t="shared" si="62"/>
        <v>0</v>
      </c>
      <c r="H365" s="217">
        <f>IF(AND($A365&lt;&gt;"",'[1]Project Overview'!E362=""),1,0)</f>
        <v>0</v>
      </c>
      <c r="I365" s="217">
        <f>IF(AND($A365&lt;&gt;"",'[1]Project Overview'!G362=""),1,0)</f>
        <v>0</v>
      </c>
      <c r="J365" s="217">
        <f>IF(AND($A365&lt;&gt;"",OR('[1]Project Overview'!J362="ESCO",'[1]Project Overview'!J362="EPC",'[1]Project Overview'!J362="ESCO BUYOUT"),'[1]Project Overview'!L362=""),1,0)</f>
        <v>0</v>
      </c>
      <c r="K365" s="217">
        <f>IF(AND($A365&lt;&gt;"",'[1]Project Overview'!P362=""),1,0)</f>
        <v>0</v>
      </c>
      <c r="L365" s="217">
        <f>IF(AND($A365&lt;&gt;"",'[1]Project Overview'!AA362=""),1,0)</f>
        <v>0</v>
      </c>
      <c r="M365" s="217"/>
      <c r="N365" s="217"/>
      <c r="O365" s="217">
        <f t="shared" si="60"/>
        <v>1</v>
      </c>
      <c r="P365" s="217" t="str">
        <f t="shared" si="59"/>
        <v/>
      </c>
    </row>
    <row r="366" spans="1:16" hidden="1" x14ac:dyDescent="0.3">
      <c r="A366" s="217" t="str">
        <f>""&amp;'[1]Project Overview'!A363</f>
        <v/>
      </c>
      <c r="B366" s="218">
        <f>'[1]Project Overview'!C363</f>
        <v>0</v>
      </c>
      <c r="C366" s="218">
        <f>'[1]Project Overview'!D363</f>
        <v>0</v>
      </c>
      <c r="D366" s="217">
        <f>'[1]Project Overview'!V363</f>
        <v>0</v>
      </c>
      <c r="E366" s="217"/>
      <c r="F366" s="217">
        <f t="shared" si="61"/>
        <v>1</v>
      </c>
      <c r="G366" s="217">
        <f t="shared" si="62"/>
        <v>0</v>
      </c>
      <c r="H366" s="217">
        <f>IF(AND($A366&lt;&gt;"",'[1]Project Overview'!E363=""),1,0)</f>
        <v>0</v>
      </c>
      <c r="I366" s="217">
        <f>IF(AND($A366&lt;&gt;"",'[1]Project Overview'!G363=""),1,0)</f>
        <v>0</v>
      </c>
      <c r="J366" s="217">
        <f>IF(AND($A366&lt;&gt;"",OR('[1]Project Overview'!J363="ESCO",'[1]Project Overview'!J363="EPC",'[1]Project Overview'!J363="ESCO BUYOUT"),'[1]Project Overview'!L363=""),1,0)</f>
        <v>0</v>
      </c>
      <c r="K366" s="217">
        <f>IF(AND($A366&lt;&gt;"",'[1]Project Overview'!P363=""),1,0)</f>
        <v>0</v>
      </c>
      <c r="L366" s="217">
        <f>IF(AND($A366&lt;&gt;"",'[1]Project Overview'!AA363=""),1,0)</f>
        <v>0</v>
      </c>
      <c r="M366" s="217"/>
      <c r="N366" s="217"/>
      <c r="O366" s="217">
        <f t="shared" si="60"/>
        <v>1</v>
      </c>
      <c r="P366" s="217" t="str">
        <f t="shared" si="59"/>
        <v/>
      </c>
    </row>
    <row r="367" spans="1:16" hidden="1" x14ac:dyDescent="0.3">
      <c r="A367" s="217" t="str">
        <f>""&amp;'[1]Project Overview'!A364</f>
        <v/>
      </c>
      <c r="B367" s="218">
        <f>'[1]Project Overview'!C364</f>
        <v>0</v>
      </c>
      <c r="C367" s="218">
        <f>'[1]Project Overview'!D364</f>
        <v>0</v>
      </c>
      <c r="D367" s="217">
        <f>'[1]Project Overview'!V364</f>
        <v>0</v>
      </c>
      <c r="E367" s="217"/>
      <c r="F367" s="217">
        <f t="shared" si="61"/>
        <v>1</v>
      </c>
      <c r="G367" s="217">
        <f t="shared" si="62"/>
        <v>0</v>
      </c>
      <c r="H367" s="217">
        <f>IF(AND($A367&lt;&gt;"",'[1]Project Overview'!E364=""),1,0)</f>
        <v>0</v>
      </c>
      <c r="I367" s="217">
        <f>IF(AND($A367&lt;&gt;"",'[1]Project Overview'!G364=""),1,0)</f>
        <v>0</v>
      </c>
      <c r="J367" s="217">
        <f>IF(AND($A367&lt;&gt;"",OR('[1]Project Overview'!J364="ESCO",'[1]Project Overview'!J364="EPC",'[1]Project Overview'!J364="ESCO BUYOUT"),'[1]Project Overview'!L364=""),1,0)</f>
        <v>0</v>
      </c>
      <c r="K367" s="217">
        <f>IF(AND($A367&lt;&gt;"",'[1]Project Overview'!P364=""),1,0)</f>
        <v>0</v>
      </c>
      <c r="L367" s="217">
        <f>IF(AND($A367&lt;&gt;"",'[1]Project Overview'!AA364=""),1,0)</f>
        <v>0</v>
      </c>
      <c r="M367" s="217"/>
      <c r="N367" s="217"/>
      <c r="O367" s="217">
        <f t="shared" si="60"/>
        <v>1</v>
      </c>
      <c r="P367" s="217" t="str">
        <f t="shared" si="59"/>
        <v/>
      </c>
    </row>
    <row r="368" spans="1:16" hidden="1" x14ac:dyDescent="0.3">
      <c r="A368" s="217" t="str">
        <f>""&amp;'[1]Project Overview'!A365</f>
        <v/>
      </c>
      <c r="B368" s="218">
        <f>'[1]Project Overview'!C365</f>
        <v>0</v>
      </c>
      <c r="C368" s="218">
        <f>'[1]Project Overview'!D365</f>
        <v>0</v>
      </c>
      <c r="D368" s="217">
        <f>'[1]Project Overview'!V365</f>
        <v>0</v>
      </c>
      <c r="E368" s="217"/>
      <c r="F368" s="217">
        <f t="shared" si="61"/>
        <v>1</v>
      </c>
      <c r="G368" s="217">
        <f t="shared" si="62"/>
        <v>0</v>
      </c>
      <c r="H368" s="217">
        <f>IF(AND($A368&lt;&gt;"",'[1]Project Overview'!E365=""),1,0)</f>
        <v>0</v>
      </c>
      <c r="I368" s="217">
        <f>IF(AND($A368&lt;&gt;"",'[1]Project Overview'!G365=""),1,0)</f>
        <v>0</v>
      </c>
      <c r="J368" s="217">
        <f>IF(AND($A368&lt;&gt;"",OR('[1]Project Overview'!J365="ESCO",'[1]Project Overview'!J365="EPC",'[1]Project Overview'!J365="ESCO BUYOUT"),'[1]Project Overview'!L365=""),1,0)</f>
        <v>0</v>
      </c>
      <c r="K368" s="217">
        <f>IF(AND($A368&lt;&gt;"",'[1]Project Overview'!P365=""),1,0)</f>
        <v>0</v>
      </c>
      <c r="L368" s="217">
        <f>IF(AND($A368&lt;&gt;"",'[1]Project Overview'!AA365=""),1,0)</f>
        <v>0</v>
      </c>
      <c r="M368" s="217"/>
      <c r="N368" s="217"/>
      <c r="O368" s="217">
        <f t="shared" si="60"/>
        <v>1</v>
      </c>
      <c r="P368" s="217" t="str">
        <f t="shared" si="59"/>
        <v/>
      </c>
    </row>
    <row r="369" spans="1:16" hidden="1" x14ac:dyDescent="0.3">
      <c r="A369" s="217" t="str">
        <f>""&amp;'[1]Project Overview'!A366</f>
        <v/>
      </c>
      <c r="B369" s="218">
        <f>'[1]Project Overview'!C366</f>
        <v>0</v>
      </c>
      <c r="C369" s="218">
        <f>'[1]Project Overview'!D366</f>
        <v>0</v>
      </c>
      <c r="D369" s="217">
        <f>'[1]Project Overview'!V366</f>
        <v>0</v>
      </c>
      <c r="E369" s="217"/>
      <c r="F369" s="217">
        <f t="shared" si="61"/>
        <v>1</v>
      </c>
      <c r="G369" s="217">
        <f t="shared" si="62"/>
        <v>0</v>
      </c>
      <c r="H369" s="217">
        <f>IF(AND($A369&lt;&gt;"",'[1]Project Overview'!E366=""),1,0)</f>
        <v>0</v>
      </c>
      <c r="I369" s="217">
        <f>IF(AND($A369&lt;&gt;"",'[1]Project Overview'!G366=""),1,0)</f>
        <v>0</v>
      </c>
      <c r="J369" s="217">
        <f>IF(AND($A369&lt;&gt;"",OR('[1]Project Overview'!J366="ESCO",'[1]Project Overview'!J366="EPC",'[1]Project Overview'!J366="ESCO BUYOUT"),'[1]Project Overview'!L366=""),1,0)</f>
        <v>0</v>
      </c>
      <c r="K369" s="217">
        <f>IF(AND($A369&lt;&gt;"",'[1]Project Overview'!P366=""),1,0)</f>
        <v>0</v>
      </c>
      <c r="L369" s="217">
        <f>IF(AND($A369&lt;&gt;"",'[1]Project Overview'!AA366=""),1,0)</f>
        <v>0</v>
      </c>
      <c r="M369" s="217"/>
      <c r="N369" s="217"/>
      <c r="O369" s="217">
        <f t="shared" si="60"/>
        <v>1</v>
      </c>
      <c r="P369" s="217" t="str">
        <f t="shared" si="59"/>
        <v/>
      </c>
    </row>
    <row r="370" spans="1:16" hidden="1" x14ac:dyDescent="0.3">
      <c r="A370" s="217" t="str">
        <f>""&amp;'[1]Project Overview'!A367</f>
        <v/>
      </c>
      <c r="B370" s="218">
        <f>'[1]Project Overview'!C367</f>
        <v>0</v>
      </c>
      <c r="C370" s="218">
        <f>'[1]Project Overview'!D367</f>
        <v>0</v>
      </c>
      <c r="D370" s="217">
        <f>'[1]Project Overview'!V367</f>
        <v>0</v>
      </c>
      <c r="E370" s="217"/>
      <c r="F370" s="217">
        <f t="shared" si="61"/>
        <v>1</v>
      </c>
      <c r="G370" s="217">
        <f t="shared" si="62"/>
        <v>0</v>
      </c>
      <c r="H370" s="217">
        <f>IF(AND($A370&lt;&gt;"",'[1]Project Overview'!E367=""),1,0)</f>
        <v>0</v>
      </c>
      <c r="I370" s="217">
        <f>IF(AND($A370&lt;&gt;"",'[1]Project Overview'!G367=""),1,0)</f>
        <v>0</v>
      </c>
      <c r="J370" s="217">
        <f>IF(AND($A370&lt;&gt;"",OR('[1]Project Overview'!J367="ESCO",'[1]Project Overview'!J367="EPC",'[1]Project Overview'!J367="ESCO BUYOUT"),'[1]Project Overview'!L367=""),1,0)</f>
        <v>0</v>
      </c>
      <c r="K370" s="217">
        <f>IF(AND($A370&lt;&gt;"",'[1]Project Overview'!P367=""),1,0)</f>
        <v>0</v>
      </c>
      <c r="L370" s="217">
        <f>IF(AND($A370&lt;&gt;"",'[1]Project Overview'!AA367=""),1,0)</f>
        <v>0</v>
      </c>
      <c r="M370" s="217"/>
      <c r="N370" s="217"/>
      <c r="O370" s="217">
        <f t="shared" si="60"/>
        <v>1</v>
      </c>
      <c r="P370" s="217" t="str">
        <f t="shared" si="59"/>
        <v/>
      </c>
    </row>
    <row r="371" spans="1:16" hidden="1" x14ac:dyDescent="0.3">
      <c r="A371" s="217" t="str">
        <f>""&amp;'[1]Project Overview'!A368</f>
        <v/>
      </c>
      <c r="B371" s="218">
        <f>'[1]Project Overview'!C368</f>
        <v>0</v>
      </c>
      <c r="C371" s="218">
        <f>'[1]Project Overview'!D368</f>
        <v>0</v>
      </c>
      <c r="D371" s="217">
        <f>'[1]Project Overview'!V368</f>
        <v>0</v>
      </c>
      <c r="E371" s="217"/>
      <c r="F371" s="217">
        <f t="shared" si="61"/>
        <v>1</v>
      </c>
      <c r="G371" s="217">
        <f t="shared" si="62"/>
        <v>0</v>
      </c>
      <c r="H371" s="217">
        <f>IF(AND($A371&lt;&gt;"",'[1]Project Overview'!E368=""),1,0)</f>
        <v>0</v>
      </c>
      <c r="I371" s="217">
        <f>IF(AND($A371&lt;&gt;"",'[1]Project Overview'!G368=""),1,0)</f>
        <v>0</v>
      </c>
      <c r="J371" s="217">
        <f>IF(AND($A371&lt;&gt;"",OR('[1]Project Overview'!J368="ESCO",'[1]Project Overview'!J368="EPC",'[1]Project Overview'!J368="ESCO BUYOUT"),'[1]Project Overview'!L368=""),1,0)</f>
        <v>0</v>
      </c>
      <c r="K371" s="217">
        <f>IF(AND($A371&lt;&gt;"",'[1]Project Overview'!P368=""),1,0)</f>
        <v>0</v>
      </c>
      <c r="L371" s="217">
        <f>IF(AND($A371&lt;&gt;"",'[1]Project Overview'!AA368=""),1,0)</f>
        <v>0</v>
      </c>
      <c r="M371" s="217"/>
      <c r="N371" s="217"/>
      <c r="O371" s="217">
        <f t="shared" si="60"/>
        <v>1</v>
      </c>
      <c r="P371" s="217" t="str">
        <f t="shared" si="59"/>
        <v/>
      </c>
    </row>
    <row r="372" spans="1:16" hidden="1" x14ac:dyDescent="0.3">
      <c r="A372" s="217" t="str">
        <f>""&amp;'[1]Project Overview'!A369</f>
        <v/>
      </c>
      <c r="B372" s="218">
        <f>'[1]Project Overview'!C369</f>
        <v>0</v>
      </c>
      <c r="C372" s="218">
        <f>'[1]Project Overview'!D369</f>
        <v>0</v>
      </c>
      <c r="D372" s="217">
        <f>'[1]Project Overview'!V369</f>
        <v>0</v>
      </c>
      <c r="E372" s="217"/>
      <c r="F372" s="217">
        <f t="shared" si="61"/>
        <v>1</v>
      </c>
      <c r="G372" s="217">
        <f t="shared" si="62"/>
        <v>0</v>
      </c>
      <c r="H372" s="217">
        <f>IF(AND($A372&lt;&gt;"",'[1]Project Overview'!E369=""),1,0)</f>
        <v>0</v>
      </c>
      <c r="I372" s="217">
        <f>IF(AND($A372&lt;&gt;"",'[1]Project Overview'!G369=""),1,0)</f>
        <v>0</v>
      </c>
      <c r="J372" s="217">
        <f>IF(AND($A372&lt;&gt;"",OR('[1]Project Overview'!J369="ESCO",'[1]Project Overview'!J369="EPC",'[1]Project Overview'!J369="ESCO BUYOUT"),'[1]Project Overview'!L369=""),1,0)</f>
        <v>0</v>
      </c>
      <c r="K372" s="217">
        <f>IF(AND($A372&lt;&gt;"",'[1]Project Overview'!P369=""),1,0)</f>
        <v>0</v>
      </c>
      <c r="L372" s="217">
        <f>IF(AND($A372&lt;&gt;"",'[1]Project Overview'!AA369=""),1,0)</f>
        <v>0</v>
      </c>
      <c r="M372" s="217"/>
      <c r="N372" s="217"/>
      <c r="O372" s="217">
        <f t="shared" si="60"/>
        <v>1</v>
      </c>
      <c r="P372" s="217" t="str">
        <f t="shared" si="59"/>
        <v/>
      </c>
    </row>
    <row r="373" spans="1:16" hidden="1" x14ac:dyDescent="0.3">
      <c r="A373" s="217" t="str">
        <f>""&amp;'[1]Project Overview'!A370</f>
        <v/>
      </c>
      <c r="B373" s="218">
        <f>'[1]Project Overview'!C370</f>
        <v>0</v>
      </c>
      <c r="C373" s="218">
        <f>'[1]Project Overview'!D370</f>
        <v>0</v>
      </c>
      <c r="D373" s="217">
        <f>'[1]Project Overview'!V370</f>
        <v>0</v>
      </c>
      <c r="E373" s="217"/>
      <c r="F373" s="217">
        <f t="shared" si="61"/>
        <v>1</v>
      </c>
      <c r="G373" s="217">
        <f t="shared" si="62"/>
        <v>0</v>
      </c>
      <c r="H373" s="217">
        <f>IF(AND($A373&lt;&gt;"",'[1]Project Overview'!E370=""),1,0)</f>
        <v>0</v>
      </c>
      <c r="I373" s="217">
        <f>IF(AND($A373&lt;&gt;"",'[1]Project Overview'!G370=""),1,0)</f>
        <v>0</v>
      </c>
      <c r="J373" s="217">
        <f>IF(AND($A373&lt;&gt;"",OR('[1]Project Overview'!J370="ESCO",'[1]Project Overview'!J370="EPC",'[1]Project Overview'!J370="ESCO BUYOUT"),'[1]Project Overview'!L370=""),1,0)</f>
        <v>0</v>
      </c>
      <c r="K373" s="217">
        <f>IF(AND($A373&lt;&gt;"",'[1]Project Overview'!P370=""),1,0)</f>
        <v>0</v>
      </c>
      <c r="L373" s="217">
        <f>IF(AND($A373&lt;&gt;"",'[1]Project Overview'!AA370=""),1,0)</f>
        <v>0</v>
      </c>
      <c r="M373" s="217"/>
      <c r="N373" s="217"/>
      <c r="O373" s="217">
        <f t="shared" si="60"/>
        <v>1</v>
      </c>
      <c r="P373" s="217" t="str">
        <f t="shared" si="59"/>
        <v/>
      </c>
    </row>
    <row r="374" spans="1:16" hidden="1" x14ac:dyDescent="0.3">
      <c r="A374" s="217" t="str">
        <f>""&amp;'[1]Project Overview'!A371</f>
        <v/>
      </c>
      <c r="B374" s="218">
        <f>'[1]Project Overview'!C371</f>
        <v>0</v>
      </c>
      <c r="C374" s="218">
        <f>'[1]Project Overview'!D371</f>
        <v>0</v>
      </c>
      <c r="D374" s="217">
        <f>'[1]Project Overview'!V371</f>
        <v>0</v>
      </c>
      <c r="E374" s="217"/>
      <c r="F374" s="217">
        <f t="shared" si="61"/>
        <v>1</v>
      </c>
      <c r="G374" s="217">
        <f t="shared" si="62"/>
        <v>0</v>
      </c>
      <c r="H374" s="217">
        <f>IF(AND($A374&lt;&gt;"",'[1]Project Overview'!E371=""),1,0)</f>
        <v>0</v>
      </c>
      <c r="I374" s="217">
        <f>IF(AND($A374&lt;&gt;"",'[1]Project Overview'!G371=""),1,0)</f>
        <v>0</v>
      </c>
      <c r="J374" s="217">
        <f>IF(AND($A374&lt;&gt;"",OR('[1]Project Overview'!J371="ESCO",'[1]Project Overview'!J371="EPC",'[1]Project Overview'!J371="ESCO BUYOUT"),'[1]Project Overview'!L371=""),1,0)</f>
        <v>0</v>
      </c>
      <c r="K374" s="217">
        <f>IF(AND($A374&lt;&gt;"",'[1]Project Overview'!P371=""),1,0)</f>
        <v>0</v>
      </c>
      <c r="L374" s="217">
        <f>IF(AND($A374&lt;&gt;"",'[1]Project Overview'!AA371=""),1,0)</f>
        <v>0</v>
      </c>
      <c r="M374" s="217"/>
      <c r="N374" s="217"/>
      <c r="O374" s="217">
        <f t="shared" si="60"/>
        <v>1</v>
      </c>
      <c r="P374" s="217" t="str">
        <f t="shared" si="59"/>
        <v/>
      </c>
    </row>
    <row r="375" spans="1:16" hidden="1" x14ac:dyDescent="0.3">
      <c r="A375" s="217" t="str">
        <f>""&amp;'[1]Project Overview'!A372</f>
        <v/>
      </c>
      <c r="B375" s="218">
        <f>'[1]Project Overview'!C372</f>
        <v>0</v>
      </c>
      <c r="C375" s="218">
        <f>'[1]Project Overview'!D372</f>
        <v>0</v>
      </c>
      <c r="D375" s="217">
        <f>'[1]Project Overview'!V372</f>
        <v>0</v>
      </c>
      <c r="E375" s="217"/>
      <c r="F375" s="217">
        <f t="shared" si="61"/>
        <v>1</v>
      </c>
      <c r="G375" s="217">
        <f t="shared" si="62"/>
        <v>0</v>
      </c>
      <c r="H375" s="217">
        <f>IF(AND($A375&lt;&gt;"",'[1]Project Overview'!E372=""),1,0)</f>
        <v>0</v>
      </c>
      <c r="I375" s="217">
        <f>IF(AND($A375&lt;&gt;"",'[1]Project Overview'!G372=""),1,0)</f>
        <v>0</v>
      </c>
      <c r="J375" s="217">
        <f>IF(AND($A375&lt;&gt;"",OR('[1]Project Overview'!J372="ESCO",'[1]Project Overview'!J372="EPC",'[1]Project Overview'!J372="ESCO BUYOUT"),'[1]Project Overview'!L372=""),1,0)</f>
        <v>0</v>
      </c>
      <c r="K375" s="217">
        <f>IF(AND($A375&lt;&gt;"",'[1]Project Overview'!P372=""),1,0)</f>
        <v>0</v>
      </c>
      <c r="L375" s="217">
        <f>IF(AND($A375&lt;&gt;"",'[1]Project Overview'!AA372=""),1,0)</f>
        <v>0</v>
      </c>
      <c r="M375" s="217"/>
      <c r="N375" s="217"/>
      <c r="O375" s="217">
        <f t="shared" si="60"/>
        <v>1</v>
      </c>
      <c r="P375" s="217" t="str">
        <f t="shared" si="59"/>
        <v/>
      </c>
    </row>
    <row r="376" spans="1:16" hidden="1" x14ac:dyDescent="0.3">
      <c r="A376" s="217" t="str">
        <f>""&amp;'[1]Project Overview'!A373</f>
        <v/>
      </c>
      <c r="B376" s="218">
        <f>'[1]Project Overview'!C373</f>
        <v>0</v>
      </c>
      <c r="C376" s="218">
        <f>'[1]Project Overview'!D373</f>
        <v>0</v>
      </c>
      <c r="D376" s="217">
        <f>'[1]Project Overview'!V373</f>
        <v>0</v>
      </c>
      <c r="E376" s="217"/>
      <c r="F376" s="217">
        <f t="shared" si="61"/>
        <v>1</v>
      </c>
      <c r="G376" s="217">
        <f t="shared" si="62"/>
        <v>0</v>
      </c>
      <c r="H376" s="217">
        <f>IF(AND($A376&lt;&gt;"",'[1]Project Overview'!E373=""),1,0)</f>
        <v>0</v>
      </c>
      <c r="I376" s="217">
        <f>IF(AND($A376&lt;&gt;"",'[1]Project Overview'!G373=""),1,0)</f>
        <v>0</v>
      </c>
      <c r="J376" s="217">
        <f>IF(AND($A376&lt;&gt;"",OR('[1]Project Overview'!J373="ESCO",'[1]Project Overview'!J373="EPC",'[1]Project Overview'!J373="ESCO BUYOUT"),'[1]Project Overview'!L373=""),1,0)</f>
        <v>0</v>
      </c>
      <c r="K376" s="217">
        <f>IF(AND($A376&lt;&gt;"",'[1]Project Overview'!P373=""),1,0)</f>
        <v>0</v>
      </c>
      <c r="L376" s="217">
        <f>IF(AND($A376&lt;&gt;"",'[1]Project Overview'!AA373=""),1,0)</f>
        <v>0</v>
      </c>
      <c r="M376" s="217"/>
      <c r="N376" s="217"/>
      <c r="O376" s="217">
        <f t="shared" si="60"/>
        <v>1</v>
      </c>
      <c r="P376" s="217" t="str">
        <f t="shared" si="59"/>
        <v/>
      </c>
    </row>
    <row r="377" spans="1:16" hidden="1" x14ac:dyDescent="0.3">
      <c r="A377" s="217" t="str">
        <f>""&amp;'[1]Project Overview'!A374</f>
        <v/>
      </c>
      <c r="B377" s="218">
        <f>'[1]Project Overview'!C374</f>
        <v>0</v>
      </c>
      <c r="C377" s="218">
        <f>'[1]Project Overview'!D374</f>
        <v>0</v>
      </c>
      <c r="D377" s="217">
        <f>'[1]Project Overview'!V374</f>
        <v>0</v>
      </c>
      <c r="E377" s="217"/>
      <c r="F377" s="217">
        <f t="shared" si="61"/>
        <v>1</v>
      </c>
      <c r="G377" s="217">
        <f t="shared" si="62"/>
        <v>0</v>
      </c>
      <c r="H377" s="217">
        <f>IF(AND($A377&lt;&gt;"",'[1]Project Overview'!E374=""),1,0)</f>
        <v>0</v>
      </c>
      <c r="I377" s="217">
        <f>IF(AND($A377&lt;&gt;"",'[1]Project Overview'!G374=""),1,0)</f>
        <v>0</v>
      </c>
      <c r="J377" s="217">
        <f>IF(AND($A377&lt;&gt;"",OR('[1]Project Overview'!J374="ESCO",'[1]Project Overview'!J374="EPC",'[1]Project Overview'!J374="ESCO BUYOUT"),'[1]Project Overview'!L374=""),1,0)</f>
        <v>0</v>
      </c>
      <c r="K377" s="217">
        <f>IF(AND($A377&lt;&gt;"",'[1]Project Overview'!P374=""),1,0)</f>
        <v>0</v>
      </c>
      <c r="L377" s="217">
        <f>IF(AND($A377&lt;&gt;"",'[1]Project Overview'!AA374=""),1,0)</f>
        <v>0</v>
      </c>
      <c r="M377" s="217"/>
      <c r="N377" s="217"/>
      <c r="O377" s="217">
        <f t="shared" si="60"/>
        <v>1</v>
      </c>
      <c r="P377" s="217" t="str">
        <f t="shared" si="59"/>
        <v/>
      </c>
    </row>
    <row r="378" spans="1:16" hidden="1" x14ac:dyDescent="0.3">
      <c r="A378" s="217" t="str">
        <f>""&amp;'[1]Project Overview'!A375</f>
        <v/>
      </c>
      <c r="B378" s="218">
        <f>'[1]Project Overview'!C375</f>
        <v>0</v>
      </c>
      <c r="C378" s="218">
        <f>'[1]Project Overview'!D375</f>
        <v>0</v>
      </c>
      <c r="D378" s="217">
        <f>'[1]Project Overview'!V375</f>
        <v>0</v>
      </c>
      <c r="E378" s="217"/>
      <c r="F378" s="217">
        <f t="shared" si="61"/>
        <v>1</v>
      </c>
      <c r="G378" s="217">
        <f t="shared" si="62"/>
        <v>0</v>
      </c>
      <c r="H378" s="217">
        <f>IF(AND($A378&lt;&gt;"",'[1]Project Overview'!E375=""),1,0)</f>
        <v>0</v>
      </c>
      <c r="I378" s="217">
        <f>IF(AND($A378&lt;&gt;"",'[1]Project Overview'!G375=""),1,0)</f>
        <v>0</v>
      </c>
      <c r="J378" s="217">
        <f>IF(AND($A378&lt;&gt;"",OR('[1]Project Overview'!J375="ESCO",'[1]Project Overview'!J375="EPC",'[1]Project Overview'!J375="ESCO BUYOUT"),'[1]Project Overview'!L375=""),1,0)</f>
        <v>0</v>
      </c>
      <c r="K378" s="217">
        <f>IF(AND($A378&lt;&gt;"",'[1]Project Overview'!P375=""),1,0)</f>
        <v>0</v>
      </c>
      <c r="L378" s="217">
        <f>IF(AND($A378&lt;&gt;"",'[1]Project Overview'!AA375=""),1,0)</f>
        <v>0</v>
      </c>
      <c r="M378" s="217"/>
      <c r="N378" s="217"/>
      <c r="O378" s="217">
        <f t="shared" si="60"/>
        <v>1</v>
      </c>
      <c r="P378" s="217" t="str">
        <f t="shared" si="59"/>
        <v/>
      </c>
    </row>
    <row r="379" spans="1:16" hidden="1" x14ac:dyDescent="0.3">
      <c r="A379" s="217" t="str">
        <f>""&amp;'[1]Project Overview'!A376</f>
        <v/>
      </c>
      <c r="B379" s="218">
        <f>'[1]Project Overview'!C376</f>
        <v>0</v>
      </c>
      <c r="C379" s="218">
        <f>'[1]Project Overview'!D376</f>
        <v>0</v>
      </c>
      <c r="D379" s="217">
        <f>'[1]Project Overview'!V376</f>
        <v>0</v>
      </c>
      <c r="E379" s="217"/>
      <c r="F379" s="217">
        <f t="shared" si="61"/>
        <v>1</v>
      </c>
      <c r="G379" s="217">
        <f t="shared" si="62"/>
        <v>0</v>
      </c>
      <c r="H379" s="217">
        <f>IF(AND($A379&lt;&gt;"",'[1]Project Overview'!E376=""),1,0)</f>
        <v>0</v>
      </c>
      <c r="I379" s="217">
        <f>IF(AND($A379&lt;&gt;"",'[1]Project Overview'!G376=""),1,0)</f>
        <v>0</v>
      </c>
      <c r="J379" s="217">
        <f>IF(AND($A379&lt;&gt;"",OR('[1]Project Overview'!J376="ESCO",'[1]Project Overview'!J376="EPC",'[1]Project Overview'!J376="ESCO BUYOUT"),'[1]Project Overview'!L376=""),1,0)</f>
        <v>0</v>
      </c>
      <c r="K379" s="217">
        <f>IF(AND($A379&lt;&gt;"",'[1]Project Overview'!P376=""),1,0)</f>
        <v>0</v>
      </c>
      <c r="L379" s="217">
        <f>IF(AND($A379&lt;&gt;"",'[1]Project Overview'!AA376=""),1,0)</f>
        <v>0</v>
      </c>
      <c r="M379" s="217"/>
      <c r="N379" s="217"/>
      <c r="O379" s="217">
        <f t="shared" si="60"/>
        <v>1</v>
      </c>
      <c r="P379" s="217" t="str">
        <f t="shared" si="59"/>
        <v/>
      </c>
    </row>
    <row r="380" spans="1:16" hidden="1" x14ac:dyDescent="0.3">
      <c r="A380" s="217" t="str">
        <f>""&amp;'[1]Project Overview'!A377</f>
        <v/>
      </c>
      <c r="B380" s="218">
        <f>'[1]Project Overview'!C377</f>
        <v>0</v>
      </c>
      <c r="C380" s="218">
        <f>'[1]Project Overview'!D377</f>
        <v>0</v>
      </c>
      <c r="D380" s="217">
        <f>'[1]Project Overview'!V377</f>
        <v>0</v>
      </c>
      <c r="E380" s="217"/>
      <c r="F380" s="217">
        <f t="shared" si="61"/>
        <v>1</v>
      </c>
      <c r="G380" s="217">
        <f t="shared" si="62"/>
        <v>0</v>
      </c>
      <c r="H380" s="217">
        <f>IF(AND($A380&lt;&gt;"",'[1]Project Overview'!E377=""),1,0)</f>
        <v>0</v>
      </c>
      <c r="I380" s="217">
        <f>IF(AND($A380&lt;&gt;"",'[1]Project Overview'!G377=""),1,0)</f>
        <v>0</v>
      </c>
      <c r="J380" s="217">
        <f>IF(AND($A380&lt;&gt;"",OR('[1]Project Overview'!J377="ESCO",'[1]Project Overview'!J377="EPC",'[1]Project Overview'!J377="ESCO BUYOUT"),'[1]Project Overview'!L377=""),1,0)</f>
        <v>0</v>
      </c>
      <c r="K380" s="217">
        <f>IF(AND($A380&lt;&gt;"",'[1]Project Overview'!P377=""),1,0)</f>
        <v>0</v>
      </c>
      <c r="L380" s="217">
        <f>IF(AND($A380&lt;&gt;"",'[1]Project Overview'!AA377=""),1,0)</f>
        <v>0</v>
      </c>
      <c r="M380" s="217"/>
      <c r="N380" s="217"/>
      <c r="O380" s="217">
        <f t="shared" si="60"/>
        <v>1</v>
      </c>
      <c r="P380" s="217" t="str">
        <f t="shared" si="59"/>
        <v/>
      </c>
    </row>
    <row r="381" spans="1:16" hidden="1" x14ac:dyDescent="0.3">
      <c r="A381" s="217" t="str">
        <f>""&amp;'[1]Project Overview'!A378</f>
        <v/>
      </c>
      <c r="B381" s="218">
        <f>'[1]Project Overview'!C378</f>
        <v>0</v>
      </c>
      <c r="C381" s="218">
        <f>'[1]Project Overview'!D378</f>
        <v>0</v>
      </c>
      <c r="D381" s="217">
        <f>'[1]Project Overview'!V378</f>
        <v>0</v>
      </c>
      <c r="E381" s="217"/>
      <c r="F381" s="217">
        <f t="shared" si="61"/>
        <v>1</v>
      </c>
      <c r="G381" s="217">
        <f t="shared" si="62"/>
        <v>0</v>
      </c>
      <c r="H381" s="217">
        <f>IF(AND($A381&lt;&gt;"",'[1]Project Overview'!E378=""),1,0)</f>
        <v>0</v>
      </c>
      <c r="I381" s="217">
        <f>IF(AND($A381&lt;&gt;"",'[1]Project Overview'!G378=""),1,0)</f>
        <v>0</v>
      </c>
      <c r="J381" s="217">
        <f>IF(AND($A381&lt;&gt;"",OR('[1]Project Overview'!J378="ESCO",'[1]Project Overview'!J378="EPC",'[1]Project Overview'!J378="ESCO BUYOUT"),'[1]Project Overview'!L378=""),1,0)</f>
        <v>0</v>
      </c>
      <c r="K381" s="217">
        <f>IF(AND($A381&lt;&gt;"",'[1]Project Overview'!P378=""),1,0)</f>
        <v>0</v>
      </c>
      <c r="L381" s="217">
        <f>IF(AND($A381&lt;&gt;"",'[1]Project Overview'!AA378=""),1,0)</f>
        <v>0</v>
      </c>
      <c r="M381" s="217"/>
      <c r="N381" s="217"/>
      <c r="O381" s="217">
        <f t="shared" si="60"/>
        <v>1</v>
      </c>
      <c r="P381" s="217" t="str">
        <f t="shared" si="59"/>
        <v/>
      </c>
    </row>
    <row r="382" spans="1:16" hidden="1" x14ac:dyDescent="0.3">
      <c r="A382" s="217" t="str">
        <f>""&amp;'[1]Project Overview'!A379</f>
        <v/>
      </c>
      <c r="B382" s="218">
        <f>'[1]Project Overview'!C379</f>
        <v>0</v>
      </c>
      <c r="C382" s="218">
        <f>'[1]Project Overview'!D379</f>
        <v>0</v>
      </c>
      <c r="D382" s="217">
        <f>'[1]Project Overview'!V379</f>
        <v>0</v>
      </c>
      <c r="E382" s="217"/>
      <c r="F382" s="217">
        <f t="shared" si="61"/>
        <v>1</v>
      </c>
      <c r="G382" s="217">
        <f t="shared" si="62"/>
        <v>0</v>
      </c>
      <c r="H382" s="217">
        <f>IF(AND($A382&lt;&gt;"",'[1]Project Overview'!E379=""),1,0)</f>
        <v>0</v>
      </c>
      <c r="I382" s="217">
        <f>IF(AND($A382&lt;&gt;"",'[1]Project Overview'!G379=""),1,0)</f>
        <v>0</v>
      </c>
      <c r="J382" s="217">
        <f>IF(AND($A382&lt;&gt;"",OR('[1]Project Overview'!J379="ESCO",'[1]Project Overview'!J379="EPC",'[1]Project Overview'!J379="ESCO BUYOUT"),'[1]Project Overview'!L379=""),1,0)</f>
        <v>0</v>
      </c>
      <c r="K382" s="217">
        <f>IF(AND($A382&lt;&gt;"",'[1]Project Overview'!P379=""),1,0)</f>
        <v>0</v>
      </c>
      <c r="L382" s="217">
        <f>IF(AND($A382&lt;&gt;"",'[1]Project Overview'!AA379=""),1,0)</f>
        <v>0</v>
      </c>
      <c r="M382" s="217"/>
      <c r="N382" s="217"/>
      <c r="O382" s="217">
        <f t="shared" si="60"/>
        <v>1</v>
      </c>
      <c r="P382" s="217" t="str">
        <f t="shared" si="59"/>
        <v/>
      </c>
    </row>
    <row r="383" spans="1:16" hidden="1" x14ac:dyDescent="0.3">
      <c r="A383" s="217" t="str">
        <f>""&amp;'[1]Project Overview'!A380</f>
        <v/>
      </c>
      <c r="B383" s="218">
        <f>'[1]Project Overview'!C380</f>
        <v>0</v>
      </c>
      <c r="C383" s="218">
        <f>'[1]Project Overview'!D380</f>
        <v>0</v>
      </c>
      <c r="D383" s="217">
        <f>'[1]Project Overview'!V380</f>
        <v>0</v>
      </c>
      <c r="E383" s="217"/>
      <c r="F383" s="217">
        <f t="shared" si="61"/>
        <v>1</v>
      </c>
      <c r="G383" s="217">
        <f t="shared" si="62"/>
        <v>0</v>
      </c>
      <c r="H383" s="217">
        <f>IF(AND($A383&lt;&gt;"",'[1]Project Overview'!E380=""),1,0)</f>
        <v>0</v>
      </c>
      <c r="I383" s="217">
        <f>IF(AND($A383&lt;&gt;"",'[1]Project Overview'!G380=""),1,0)</f>
        <v>0</v>
      </c>
      <c r="J383" s="217">
        <f>IF(AND($A383&lt;&gt;"",OR('[1]Project Overview'!J380="ESCO",'[1]Project Overview'!J380="EPC",'[1]Project Overview'!J380="ESCO BUYOUT"),'[1]Project Overview'!L380=""),1,0)</f>
        <v>0</v>
      </c>
      <c r="K383" s="217">
        <f>IF(AND($A383&lt;&gt;"",'[1]Project Overview'!P380=""),1,0)</f>
        <v>0</v>
      </c>
      <c r="L383" s="217">
        <f>IF(AND($A383&lt;&gt;"",'[1]Project Overview'!AA380=""),1,0)</f>
        <v>0</v>
      </c>
      <c r="M383" s="217"/>
      <c r="N383" s="217"/>
      <c r="O383" s="217">
        <f t="shared" si="60"/>
        <v>1</v>
      </c>
      <c r="P383" s="217" t="str">
        <f t="shared" si="59"/>
        <v/>
      </c>
    </row>
    <row r="384" spans="1:16" hidden="1" x14ac:dyDescent="0.3">
      <c r="A384" s="217" t="str">
        <f>""&amp;'[1]Project Overview'!A381</f>
        <v/>
      </c>
      <c r="B384" s="218">
        <f>'[1]Project Overview'!C381</f>
        <v>0</v>
      </c>
      <c r="C384" s="218">
        <f>'[1]Project Overview'!D381</f>
        <v>0</v>
      </c>
      <c r="D384" s="217">
        <f>'[1]Project Overview'!V381</f>
        <v>0</v>
      </c>
      <c r="E384" s="217"/>
      <c r="F384" s="217">
        <f t="shared" si="61"/>
        <v>1</v>
      </c>
      <c r="G384" s="217">
        <f t="shared" si="62"/>
        <v>0</v>
      </c>
      <c r="H384" s="217">
        <f>IF(AND($A384&lt;&gt;"",'[1]Project Overview'!E381=""),1,0)</f>
        <v>0</v>
      </c>
      <c r="I384" s="217">
        <f>IF(AND($A384&lt;&gt;"",'[1]Project Overview'!G381=""),1,0)</f>
        <v>0</v>
      </c>
      <c r="J384" s="217">
        <f>IF(AND($A384&lt;&gt;"",OR('[1]Project Overview'!J381="ESCO",'[1]Project Overview'!J381="EPC",'[1]Project Overview'!J381="ESCO BUYOUT"),'[1]Project Overview'!L381=""),1,0)</f>
        <v>0</v>
      </c>
      <c r="K384" s="217">
        <f>IF(AND($A384&lt;&gt;"",'[1]Project Overview'!P381=""),1,0)</f>
        <v>0</v>
      </c>
      <c r="L384" s="217">
        <f>IF(AND($A384&lt;&gt;"",'[1]Project Overview'!AA381=""),1,0)</f>
        <v>0</v>
      </c>
      <c r="M384" s="217"/>
      <c r="N384" s="217"/>
      <c r="O384" s="217">
        <f t="shared" si="60"/>
        <v>1</v>
      </c>
      <c r="P384" s="217" t="str">
        <f t="shared" si="59"/>
        <v/>
      </c>
    </row>
    <row r="385" spans="1:16" hidden="1" x14ac:dyDescent="0.3">
      <c r="A385" s="217" t="str">
        <f>""&amp;'[1]Project Overview'!A382</f>
        <v/>
      </c>
      <c r="B385" s="218">
        <f>'[1]Project Overview'!C382</f>
        <v>0</v>
      </c>
      <c r="C385" s="218">
        <f>'[1]Project Overview'!D382</f>
        <v>0</v>
      </c>
      <c r="D385" s="217">
        <f>'[1]Project Overview'!V382</f>
        <v>0</v>
      </c>
      <c r="E385" s="217"/>
      <c r="F385" s="217">
        <f t="shared" si="61"/>
        <v>1</v>
      </c>
      <c r="G385" s="217">
        <f t="shared" si="62"/>
        <v>0</v>
      </c>
      <c r="H385" s="217">
        <f>IF(AND($A385&lt;&gt;"",'[1]Project Overview'!E382=""),1,0)</f>
        <v>0</v>
      </c>
      <c r="I385" s="217">
        <f>IF(AND($A385&lt;&gt;"",'[1]Project Overview'!G382=""),1,0)</f>
        <v>0</v>
      </c>
      <c r="J385" s="217">
        <f>IF(AND($A385&lt;&gt;"",OR('[1]Project Overview'!J382="ESCO",'[1]Project Overview'!J382="EPC",'[1]Project Overview'!J382="ESCO BUYOUT"),'[1]Project Overview'!L382=""),1,0)</f>
        <v>0</v>
      </c>
      <c r="K385" s="217">
        <f>IF(AND($A385&lt;&gt;"",'[1]Project Overview'!P382=""),1,0)</f>
        <v>0</v>
      </c>
      <c r="L385" s="217">
        <f>IF(AND($A385&lt;&gt;"",'[1]Project Overview'!AA382=""),1,0)</f>
        <v>0</v>
      </c>
      <c r="M385" s="217"/>
      <c r="N385" s="217"/>
      <c r="O385" s="217">
        <f t="shared" si="60"/>
        <v>1</v>
      </c>
      <c r="P385" s="217" t="str">
        <f t="shared" si="59"/>
        <v/>
      </c>
    </row>
    <row r="386" spans="1:16" hidden="1" x14ac:dyDescent="0.3">
      <c r="A386" s="217" t="str">
        <f>""&amp;'[1]Project Overview'!A383</f>
        <v/>
      </c>
      <c r="B386" s="218">
        <f>'[1]Project Overview'!C383</f>
        <v>0</v>
      </c>
      <c r="C386" s="218">
        <f>'[1]Project Overview'!D383</f>
        <v>0</v>
      </c>
      <c r="D386" s="217">
        <f>'[1]Project Overview'!V383</f>
        <v>0</v>
      </c>
      <c r="E386" s="217"/>
      <c r="F386" s="217">
        <f t="shared" si="61"/>
        <v>1</v>
      </c>
      <c r="G386" s="217">
        <f t="shared" si="62"/>
        <v>0</v>
      </c>
      <c r="H386" s="217">
        <f>IF(AND($A386&lt;&gt;"",'[1]Project Overview'!E383=""),1,0)</f>
        <v>0</v>
      </c>
      <c r="I386" s="217">
        <f>IF(AND($A386&lt;&gt;"",'[1]Project Overview'!G383=""),1,0)</f>
        <v>0</v>
      </c>
      <c r="J386" s="217">
        <f>IF(AND($A386&lt;&gt;"",OR('[1]Project Overview'!J383="ESCO",'[1]Project Overview'!J383="EPC",'[1]Project Overview'!J383="ESCO BUYOUT"),'[1]Project Overview'!L383=""),1,0)</f>
        <v>0</v>
      </c>
      <c r="K386" s="217">
        <f>IF(AND($A386&lt;&gt;"",'[1]Project Overview'!P383=""),1,0)</f>
        <v>0</v>
      </c>
      <c r="L386" s="217">
        <f>IF(AND($A386&lt;&gt;"",'[1]Project Overview'!AA383=""),1,0)</f>
        <v>0</v>
      </c>
      <c r="M386" s="217"/>
      <c r="N386" s="217"/>
      <c r="O386" s="217">
        <f t="shared" si="60"/>
        <v>1</v>
      </c>
      <c r="P386" s="217" t="str">
        <f t="shared" si="59"/>
        <v/>
      </c>
    </row>
    <row r="387" spans="1:16" hidden="1" x14ac:dyDescent="0.3">
      <c r="A387" s="217" t="str">
        <f>""&amp;'[1]Project Overview'!A384</f>
        <v/>
      </c>
      <c r="B387" s="218">
        <f>'[1]Project Overview'!C384</f>
        <v>0</v>
      </c>
      <c r="C387" s="218">
        <f>'[1]Project Overview'!D384</f>
        <v>0</v>
      </c>
      <c r="D387" s="217">
        <f>'[1]Project Overview'!V384</f>
        <v>0</v>
      </c>
      <c r="E387" s="217"/>
      <c r="F387" s="217">
        <f t="shared" si="61"/>
        <v>1</v>
      </c>
      <c r="G387" s="217">
        <f t="shared" si="62"/>
        <v>0</v>
      </c>
      <c r="H387" s="217">
        <f>IF(AND($A387&lt;&gt;"",'[1]Project Overview'!E384=""),1,0)</f>
        <v>0</v>
      </c>
      <c r="I387" s="217">
        <f>IF(AND($A387&lt;&gt;"",'[1]Project Overview'!G384=""),1,0)</f>
        <v>0</v>
      </c>
      <c r="J387" s="217">
        <f>IF(AND($A387&lt;&gt;"",OR('[1]Project Overview'!J384="ESCO",'[1]Project Overview'!J384="EPC",'[1]Project Overview'!J384="ESCO BUYOUT"),'[1]Project Overview'!L384=""),1,0)</f>
        <v>0</v>
      </c>
      <c r="K387" s="217">
        <f>IF(AND($A387&lt;&gt;"",'[1]Project Overview'!P384=""),1,0)</f>
        <v>0</v>
      </c>
      <c r="L387" s="217">
        <f>IF(AND($A387&lt;&gt;"",'[1]Project Overview'!AA384=""),1,0)</f>
        <v>0</v>
      </c>
      <c r="M387" s="217"/>
      <c r="N387" s="217"/>
      <c r="O387" s="217">
        <f t="shared" si="60"/>
        <v>1</v>
      </c>
      <c r="P387" s="217" t="str">
        <f t="shared" si="59"/>
        <v/>
      </c>
    </row>
    <row r="388" spans="1:16" hidden="1" x14ac:dyDescent="0.3">
      <c r="A388" s="217" t="str">
        <f>""&amp;'[1]Project Overview'!A385</f>
        <v/>
      </c>
      <c r="B388" s="218">
        <f>'[1]Project Overview'!C385</f>
        <v>0</v>
      </c>
      <c r="C388" s="218">
        <f>'[1]Project Overview'!D385</f>
        <v>0</v>
      </c>
      <c r="D388" s="217">
        <f>'[1]Project Overview'!V385</f>
        <v>0</v>
      </c>
      <c r="E388" s="217"/>
      <c r="F388" s="217">
        <f t="shared" si="61"/>
        <v>1</v>
      </c>
      <c r="G388" s="217">
        <f t="shared" si="62"/>
        <v>0</v>
      </c>
      <c r="H388" s="217">
        <f>IF(AND($A388&lt;&gt;"",'[1]Project Overview'!E385=""),1,0)</f>
        <v>0</v>
      </c>
      <c r="I388" s="217">
        <f>IF(AND($A388&lt;&gt;"",'[1]Project Overview'!G385=""),1,0)</f>
        <v>0</v>
      </c>
      <c r="J388" s="217">
        <f>IF(AND($A388&lt;&gt;"",OR('[1]Project Overview'!J385="ESCO",'[1]Project Overview'!J385="EPC",'[1]Project Overview'!J385="ESCO BUYOUT"),'[1]Project Overview'!L385=""),1,0)</f>
        <v>0</v>
      </c>
      <c r="K388" s="217">
        <f>IF(AND($A388&lt;&gt;"",'[1]Project Overview'!P385=""),1,0)</f>
        <v>0</v>
      </c>
      <c r="L388" s="217">
        <f>IF(AND($A388&lt;&gt;"",'[1]Project Overview'!AA385=""),1,0)</f>
        <v>0</v>
      </c>
      <c r="M388" s="217"/>
      <c r="N388" s="217"/>
      <c r="O388" s="217">
        <f t="shared" si="60"/>
        <v>1</v>
      </c>
      <c r="P388" s="217" t="str">
        <f t="shared" si="59"/>
        <v/>
      </c>
    </row>
    <row r="389" spans="1:16" hidden="1" x14ac:dyDescent="0.3">
      <c r="A389" s="217" t="str">
        <f>""&amp;'[1]Project Overview'!A386</f>
        <v/>
      </c>
      <c r="B389" s="218">
        <f>'[1]Project Overview'!C386</f>
        <v>0</v>
      </c>
      <c r="C389" s="218">
        <f>'[1]Project Overview'!D386</f>
        <v>0</v>
      </c>
      <c r="D389" s="217">
        <f>'[1]Project Overview'!V386</f>
        <v>0</v>
      </c>
      <c r="E389" s="217"/>
      <c r="F389" s="217">
        <f t="shared" si="61"/>
        <v>1</v>
      </c>
      <c r="G389" s="217">
        <f t="shared" si="62"/>
        <v>0</v>
      </c>
      <c r="H389" s="217">
        <f>IF(AND($A389&lt;&gt;"",'[1]Project Overview'!E386=""),1,0)</f>
        <v>0</v>
      </c>
      <c r="I389" s="217">
        <f>IF(AND($A389&lt;&gt;"",'[1]Project Overview'!G386=""),1,0)</f>
        <v>0</v>
      </c>
      <c r="J389" s="217">
        <f>IF(AND($A389&lt;&gt;"",OR('[1]Project Overview'!J386="ESCO",'[1]Project Overview'!J386="EPC",'[1]Project Overview'!J386="ESCO BUYOUT"),'[1]Project Overview'!L386=""),1,0)</f>
        <v>0</v>
      </c>
      <c r="K389" s="217">
        <f>IF(AND($A389&lt;&gt;"",'[1]Project Overview'!P386=""),1,0)</f>
        <v>0</v>
      </c>
      <c r="L389" s="217">
        <f>IF(AND($A389&lt;&gt;"",'[1]Project Overview'!AA386=""),1,0)</f>
        <v>0</v>
      </c>
      <c r="M389" s="217"/>
      <c r="N389" s="217"/>
      <c r="O389" s="217">
        <f t="shared" si="60"/>
        <v>1</v>
      </c>
      <c r="P389" s="217" t="str">
        <f t="shared" ref="P389:P452" si="63">IF($A389="","",IF($O389=0,"OK","REVER"))</f>
        <v/>
      </c>
    </row>
    <row r="390" spans="1:16" hidden="1" x14ac:dyDescent="0.3">
      <c r="A390" s="217" t="str">
        <f>""&amp;'[1]Project Overview'!A387</f>
        <v/>
      </c>
      <c r="B390" s="218">
        <f>'[1]Project Overview'!C387</f>
        <v>0</v>
      </c>
      <c r="C390" s="218">
        <f>'[1]Project Overview'!D387</f>
        <v>0</v>
      </c>
      <c r="D390" s="217">
        <f>'[1]Project Overview'!V387</f>
        <v>0</v>
      </c>
      <c r="E390" s="217"/>
      <c r="F390" s="217">
        <f t="shared" si="61"/>
        <v>1</v>
      </c>
      <c r="G390" s="217">
        <f t="shared" si="62"/>
        <v>0</v>
      </c>
      <c r="H390" s="217">
        <f>IF(AND($A390&lt;&gt;"",'[1]Project Overview'!E387=""),1,0)</f>
        <v>0</v>
      </c>
      <c r="I390" s="217">
        <f>IF(AND($A390&lt;&gt;"",'[1]Project Overview'!G387=""),1,0)</f>
        <v>0</v>
      </c>
      <c r="J390" s="217">
        <f>IF(AND($A390&lt;&gt;"",OR('[1]Project Overview'!J387="ESCO",'[1]Project Overview'!J387="EPC",'[1]Project Overview'!J387="ESCO BUYOUT"),'[1]Project Overview'!L387=""),1,0)</f>
        <v>0</v>
      </c>
      <c r="K390" s="217">
        <f>IF(AND($A390&lt;&gt;"",'[1]Project Overview'!P387=""),1,0)</f>
        <v>0</v>
      </c>
      <c r="L390" s="217">
        <f>IF(AND($A390&lt;&gt;"",'[1]Project Overview'!AA387=""),1,0)</f>
        <v>0</v>
      </c>
      <c r="M390" s="217"/>
      <c r="N390" s="217"/>
      <c r="O390" s="217">
        <f t="shared" ref="O390:O453" si="64">SUM(F390:N390)</f>
        <v>1</v>
      </c>
      <c r="P390" s="217" t="str">
        <f t="shared" si="63"/>
        <v/>
      </c>
    </row>
    <row r="391" spans="1:16" hidden="1" x14ac:dyDescent="0.3">
      <c r="A391" s="217" t="str">
        <f>""&amp;'[1]Project Overview'!A388</f>
        <v/>
      </c>
      <c r="B391" s="218">
        <f>'[1]Project Overview'!C388</f>
        <v>0</v>
      </c>
      <c r="C391" s="218">
        <f>'[1]Project Overview'!D388</f>
        <v>0</v>
      </c>
      <c r="D391" s="217">
        <f>'[1]Project Overview'!V388</f>
        <v>0</v>
      </c>
      <c r="E391" s="217"/>
      <c r="F391" s="217">
        <f t="shared" si="61"/>
        <v>1</v>
      </c>
      <c r="G391" s="217">
        <f t="shared" si="62"/>
        <v>0</v>
      </c>
      <c r="H391" s="217">
        <f>IF(AND($A391&lt;&gt;"",'[1]Project Overview'!E388=""),1,0)</f>
        <v>0</v>
      </c>
      <c r="I391" s="217">
        <f>IF(AND($A391&lt;&gt;"",'[1]Project Overview'!G388=""),1,0)</f>
        <v>0</v>
      </c>
      <c r="J391" s="217">
        <f>IF(AND($A391&lt;&gt;"",OR('[1]Project Overview'!J388="ESCO",'[1]Project Overview'!J388="EPC",'[1]Project Overview'!J388="ESCO BUYOUT"),'[1]Project Overview'!L388=""),1,0)</f>
        <v>0</v>
      </c>
      <c r="K391" s="217">
        <f>IF(AND($A391&lt;&gt;"",'[1]Project Overview'!P388=""),1,0)</f>
        <v>0</v>
      </c>
      <c r="L391" s="217">
        <f>IF(AND($A391&lt;&gt;"",'[1]Project Overview'!AA388=""),1,0)</f>
        <v>0</v>
      </c>
      <c r="M391" s="217"/>
      <c r="N391" s="217"/>
      <c r="O391" s="217">
        <f t="shared" si="64"/>
        <v>1</v>
      </c>
      <c r="P391" s="217" t="str">
        <f t="shared" si="63"/>
        <v/>
      </c>
    </row>
    <row r="392" spans="1:16" hidden="1" x14ac:dyDescent="0.3">
      <c r="A392" s="217" t="str">
        <f>""&amp;'[1]Project Overview'!A389</f>
        <v/>
      </c>
      <c r="B392" s="218">
        <f>'[1]Project Overview'!C389</f>
        <v>0</v>
      </c>
      <c r="C392" s="218">
        <f>'[1]Project Overview'!D389</f>
        <v>0</v>
      </c>
      <c r="D392" s="217">
        <f>'[1]Project Overview'!V389</f>
        <v>0</v>
      </c>
      <c r="E392" s="217"/>
      <c r="F392" s="217">
        <f t="shared" si="61"/>
        <v>1</v>
      </c>
      <c r="G392" s="217">
        <f t="shared" si="62"/>
        <v>0</v>
      </c>
      <c r="H392" s="217">
        <f>IF(AND($A392&lt;&gt;"",'[1]Project Overview'!E389=""),1,0)</f>
        <v>0</v>
      </c>
      <c r="I392" s="217">
        <f>IF(AND($A392&lt;&gt;"",'[1]Project Overview'!G389=""),1,0)</f>
        <v>0</v>
      </c>
      <c r="J392" s="217">
        <f>IF(AND($A392&lt;&gt;"",OR('[1]Project Overview'!J389="ESCO",'[1]Project Overview'!J389="EPC",'[1]Project Overview'!J389="ESCO BUYOUT"),'[1]Project Overview'!L389=""),1,0)</f>
        <v>0</v>
      </c>
      <c r="K392" s="217">
        <f>IF(AND($A392&lt;&gt;"",'[1]Project Overview'!P389=""),1,0)</f>
        <v>0</v>
      </c>
      <c r="L392" s="217">
        <f>IF(AND($A392&lt;&gt;"",'[1]Project Overview'!AA389=""),1,0)</f>
        <v>0</v>
      </c>
      <c r="M392" s="217"/>
      <c r="N392" s="217"/>
      <c r="O392" s="217">
        <f t="shared" si="64"/>
        <v>1</v>
      </c>
      <c r="P392" s="217" t="str">
        <f t="shared" si="63"/>
        <v/>
      </c>
    </row>
    <row r="393" spans="1:16" hidden="1" x14ac:dyDescent="0.3">
      <c r="A393" s="217" t="str">
        <f>""&amp;'[1]Project Overview'!A390</f>
        <v/>
      </c>
      <c r="B393" s="218">
        <f>'[1]Project Overview'!C390</f>
        <v>0</v>
      </c>
      <c r="C393" s="218">
        <f>'[1]Project Overview'!D390</f>
        <v>0</v>
      </c>
      <c r="D393" s="217">
        <f>'[1]Project Overview'!V390</f>
        <v>0</v>
      </c>
      <c r="E393" s="217"/>
      <c r="F393" s="217">
        <f t="shared" si="61"/>
        <v>1</v>
      </c>
      <c r="G393" s="217">
        <f t="shared" si="62"/>
        <v>0</v>
      </c>
      <c r="H393" s="217">
        <f>IF(AND($A393&lt;&gt;"",'[1]Project Overview'!E390=""),1,0)</f>
        <v>0</v>
      </c>
      <c r="I393" s="217">
        <f>IF(AND($A393&lt;&gt;"",'[1]Project Overview'!G390=""),1,0)</f>
        <v>0</v>
      </c>
      <c r="J393" s="217">
        <f>IF(AND($A393&lt;&gt;"",OR('[1]Project Overview'!J390="ESCO",'[1]Project Overview'!J390="EPC",'[1]Project Overview'!J390="ESCO BUYOUT"),'[1]Project Overview'!L390=""),1,0)</f>
        <v>0</v>
      </c>
      <c r="K393" s="217">
        <f>IF(AND($A393&lt;&gt;"",'[1]Project Overview'!P390=""),1,0)</f>
        <v>0</v>
      </c>
      <c r="L393" s="217">
        <f>IF(AND($A393&lt;&gt;"",'[1]Project Overview'!AA390=""),1,0)</f>
        <v>0</v>
      </c>
      <c r="M393" s="217"/>
      <c r="N393" s="217"/>
      <c r="O393" s="217">
        <f t="shared" si="64"/>
        <v>1</v>
      </c>
      <c r="P393" s="217" t="str">
        <f t="shared" si="63"/>
        <v/>
      </c>
    </row>
    <row r="394" spans="1:16" hidden="1" x14ac:dyDescent="0.3">
      <c r="A394" s="217" t="str">
        <f>""&amp;'[1]Project Overview'!A391</f>
        <v/>
      </c>
      <c r="B394" s="218">
        <f>'[1]Project Overview'!C391</f>
        <v>0</v>
      </c>
      <c r="C394" s="218">
        <f>'[1]Project Overview'!D391</f>
        <v>0</v>
      </c>
      <c r="D394" s="217">
        <f>'[1]Project Overview'!V391</f>
        <v>0</v>
      </c>
      <c r="E394" s="217"/>
      <c r="F394" s="217">
        <f t="shared" si="61"/>
        <v>1</v>
      </c>
      <c r="G394" s="217">
        <f t="shared" si="62"/>
        <v>0</v>
      </c>
      <c r="H394" s="217">
        <f>IF(AND($A394&lt;&gt;"",'[1]Project Overview'!E391=""),1,0)</f>
        <v>0</v>
      </c>
      <c r="I394" s="217">
        <f>IF(AND($A394&lt;&gt;"",'[1]Project Overview'!G391=""),1,0)</f>
        <v>0</v>
      </c>
      <c r="J394" s="217">
        <f>IF(AND($A394&lt;&gt;"",OR('[1]Project Overview'!J391="ESCO",'[1]Project Overview'!J391="EPC",'[1]Project Overview'!J391="ESCO BUYOUT"),'[1]Project Overview'!L391=""),1,0)</f>
        <v>0</v>
      </c>
      <c r="K394" s="217">
        <f>IF(AND($A394&lt;&gt;"",'[1]Project Overview'!P391=""),1,0)</f>
        <v>0</v>
      </c>
      <c r="L394" s="217">
        <f>IF(AND($A394&lt;&gt;"",'[1]Project Overview'!AA391=""),1,0)</f>
        <v>0</v>
      </c>
      <c r="M394" s="217"/>
      <c r="N394" s="217"/>
      <c r="O394" s="217">
        <f t="shared" si="64"/>
        <v>1</v>
      </c>
      <c r="P394" s="217" t="str">
        <f t="shared" si="63"/>
        <v/>
      </c>
    </row>
    <row r="395" spans="1:16" hidden="1" x14ac:dyDescent="0.3">
      <c r="A395" s="217" t="str">
        <f>""&amp;'[1]Project Overview'!A392</f>
        <v/>
      </c>
      <c r="B395" s="218">
        <f>'[1]Project Overview'!C392</f>
        <v>0</v>
      </c>
      <c r="C395" s="218">
        <f>'[1]Project Overview'!D392</f>
        <v>0</v>
      </c>
      <c r="D395" s="217">
        <f>'[1]Project Overview'!V392</f>
        <v>0</v>
      </c>
      <c r="E395" s="217"/>
      <c r="F395" s="217">
        <f t="shared" si="61"/>
        <v>1</v>
      </c>
      <c r="G395" s="217">
        <f t="shared" si="62"/>
        <v>0</v>
      </c>
      <c r="H395" s="217">
        <f>IF(AND($A395&lt;&gt;"",'[1]Project Overview'!E392=""),1,0)</f>
        <v>0</v>
      </c>
      <c r="I395" s="217">
        <f>IF(AND($A395&lt;&gt;"",'[1]Project Overview'!G392=""),1,0)</f>
        <v>0</v>
      </c>
      <c r="J395" s="217">
        <f>IF(AND($A395&lt;&gt;"",OR('[1]Project Overview'!J392="ESCO",'[1]Project Overview'!J392="EPC",'[1]Project Overview'!J392="ESCO BUYOUT"),'[1]Project Overview'!L392=""),1,0)</f>
        <v>0</v>
      </c>
      <c r="K395" s="217">
        <f>IF(AND($A395&lt;&gt;"",'[1]Project Overview'!P392=""),1,0)</f>
        <v>0</v>
      </c>
      <c r="L395" s="217">
        <f>IF(AND($A395&lt;&gt;"",'[1]Project Overview'!AA392=""),1,0)</f>
        <v>0</v>
      </c>
      <c r="M395" s="217"/>
      <c r="N395" s="217"/>
      <c r="O395" s="217">
        <f t="shared" si="64"/>
        <v>1</v>
      </c>
      <c r="P395" s="217" t="str">
        <f t="shared" si="63"/>
        <v/>
      </c>
    </row>
    <row r="396" spans="1:16" hidden="1" x14ac:dyDescent="0.3">
      <c r="A396" s="217" t="str">
        <f>""&amp;'[1]Project Overview'!A393</f>
        <v/>
      </c>
      <c r="B396" s="218">
        <f>'[1]Project Overview'!C393</f>
        <v>0</v>
      </c>
      <c r="C396" s="218">
        <f>'[1]Project Overview'!D393</f>
        <v>0</v>
      </c>
      <c r="D396" s="217">
        <f>'[1]Project Overview'!V393</f>
        <v>0</v>
      </c>
      <c r="E396" s="217"/>
      <c r="F396" s="217">
        <f t="shared" ref="F396:F459" si="65">IF(OR($A396="",$B396=""),1,0)</f>
        <v>1</v>
      </c>
      <c r="G396" s="217">
        <f t="shared" ref="G396:G459" si="66">IF($C396="",1,0)</f>
        <v>0</v>
      </c>
      <c r="H396" s="217">
        <f>IF(AND($A396&lt;&gt;"",'[1]Project Overview'!E393=""),1,0)</f>
        <v>0</v>
      </c>
      <c r="I396" s="217">
        <f>IF(AND($A396&lt;&gt;"",'[1]Project Overview'!G393=""),1,0)</f>
        <v>0</v>
      </c>
      <c r="J396" s="217">
        <f>IF(AND($A396&lt;&gt;"",OR('[1]Project Overview'!J393="ESCO",'[1]Project Overview'!J393="EPC",'[1]Project Overview'!J393="ESCO BUYOUT"),'[1]Project Overview'!L393=""),1,0)</f>
        <v>0</v>
      </c>
      <c r="K396" s="217">
        <f>IF(AND($A396&lt;&gt;"",'[1]Project Overview'!P393=""),1,0)</f>
        <v>0</v>
      </c>
      <c r="L396" s="217">
        <f>IF(AND($A396&lt;&gt;"",'[1]Project Overview'!AA393=""),1,0)</f>
        <v>0</v>
      </c>
      <c r="M396" s="217"/>
      <c r="N396" s="217"/>
      <c r="O396" s="217">
        <f t="shared" si="64"/>
        <v>1</v>
      </c>
      <c r="P396" s="217" t="str">
        <f t="shared" si="63"/>
        <v/>
      </c>
    </row>
    <row r="397" spans="1:16" hidden="1" x14ac:dyDescent="0.3">
      <c r="A397" s="217" t="str">
        <f>""&amp;'[1]Project Overview'!A394</f>
        <v/>
      </c>
      <c r="B397" s="218">
        <f>'[1]Project Overview'!C394</f>
        <v>0</v>
      </c>
      <c r="C397" s="218">
        <f>'[1]Project Overview'!D394</f>
        <v>0</v>
      </c>
      <c r="D397" s="217">
        <f>'[1]Project Overview'!V394</f>
        <v>0</v>
      </c>
      <c r="E397" s="217"/>
      <c r="F397" s="217">
        <f t="shared" si="65"/>
        <v>1</v>
      </c>
      <c r="G397" s="217">
        <f t="shared" si="66"/>
        <v>0</v>
      </c>
      <c r="H397" s="217">
        <f>IF(AND($A397&lt;&gt;"",'[1]Project Overview'!E394=""),1,0)</f>
        <v>0</v>
      </c>
      <c r="I397" s="217">
        <f>IF(AND($A397&lt;&gt;"",'[1]Project Overview'!G394=""),1,0)</f>
        <v>0</v>
      </c>
      <c r="J397" s="217">
        <f>IF(AND($A397&lt;&gt;"",OR('[1]Project Overview'!J394="ESCO",'[1]Project Overview'!J394="EPC",'[1]Project Overview'!J394="ESCO BUYOUT"),'[1]Project Overview'!L394=""),1,0)</f>
        <v>0</v>
      </c>
      <c r="K397" s="217">
        <f>IF(AND($A397&lt;&gt;"",'[1]Project Overview'!P394=""),1,0)</f>
        <v>0</v>
      </c>
      <c r="L397" s="217">
        <f>IF(AND($A397&lt;&gt;"",'[1]Project Overview'!AA394=""),1,0)</f>
        <v>0</v>
      </c>
      <c r="M397" s="217"/>
      <c r="N397" s="217"/>
      <c r="O397" s="217">
        <f t="shared" si="64"/>
        <v>1</v>
      </c>
      <c r="P397" s="217" t="str">
        <f t="shared" si="63"/>
        <v/>
      </c>
    </row>
    <row r="398" spans="1:16" hidden="1" x14ac:dyDescent="0.3">
      <c r="A398" s="217" t="str">
        <f>""&amp;'[1]Project Overview'!A395</f>
        <v/>
      </c>
      <c r="B398" s="218">
        <f>'[1]Project Overview'!C395</f>
        <v>0</v>
      </c>
      <c r="C398" s="218">
        <f>'[1]Project Overview'!D395</f>
        <v>0</v>
      </c>
      <c r="D398" s="217">
        <f>'[1]Project Overview'!V395</f>
        <v>0</v>
      </c>
      <c r="E398" s="217"/>
      <c r="F398" s="217">
        <f t="shared" si="65"/>
        <v>1</v>
      </c>
      <c r="G398" s="217">
        <f t="shared" si="66"/>
        <v>0</v>
      </c>
      <c r="H398" s="217">
        <f>IF(AND($A398&lt;&gt;"",'[1]Project Overview'!E395=""),1,0)</f>
        <v>0</v>
      </c>
      <c r="I398" s="217">
        <f>IF(AND($A398&lt;&gt;"",'[1]Project Overview'!G395=""),1,0)</f>
        <v>0</v>
      </c>
      <c r="J398" s="217">
        <f>IF(AND($A398&lt;&gt;"",OR('[1]Project Overview'!J395="ESCO",'[1]Project Overview'!J395="EPC",'[1]Project Overview'!J395="ESCO BUYOUT"),'[1]Project Overview'!L395=""),1,0)</f>
        <v>0</v>
      </c>
      <c r="K398" s="217">
        <f>IF(AND($A398&lt;&gt;"",'[1]Project Overview'!P395=""),1,0)</f>
        <v>0</v>
      </c>
      <c r="L398" s="217">
        <f>IF(AND($A398&lt;&gt;"",'[1]Project Overview'!AA395=""),1,0)</f>
        <v>0</v>
      </c>
      <c r="M398" s="217"/>
      <c r="N398" s="217"/>
      <c r="O398" s="217">
        <f t="shared" si="64"/>
        <v>1</v>
      </c>
      <c r="P398" s="217" t="str">
        <f t="shared" si="63"/>
        <v/>
      </c>
    </row>
    <row r="399" spans="1:16" hidden="1" x14ac:dyDescent="0.3">
      <c r="A399" s="217" t="str">
        <f>""&amp;'[1]Project Overview'!A396</f>
        <v/>
      </c>
      <c r="B399" s="218">
        <f>'[1]Project Overview'!C396</f>
        <v>0</v>
      </c>
      <c r="C399" s="218">
        <f>'[1]Project Overview'!D396</f>
        <v>0</v>
      </c>
      <c r="D399" s="217">
        <f>'[1]Project Overview'!V396</f>
        <v>0</v>
      </c>
      <c r="E399" s="217"/>
      <c r="F399" s="217">
        <f t="shared" si="65"/>
        <v>1</v>
      </c>
      <c r="G399" s="217">
        <f t="shared" si="66"/>
        <v>0</v>
      </c>
      <c r="H399" s="217">
        <f>IF(AND($A399&lt;&gt;"",'[1]Project Overview'!E396=""),1,0)</f>
        <v>0</v>
      </c>
      <c r="I399" s="217">
        <f>IF(AND($A399&lt;&gt;"",'[1]Project Overview'!G396=""),1,0)</f>
        <v>0</v>
      </c>
      <c r="J399" s="217">
        <f>IF(AND($A399&lt;&gt;"",OR('[1]Project Overview'!J396="ESCO",'[1]Project Overview'!J396="EPC",'[1]Project Overview'!J396="ESCO BUYOUT"),'[1]Project Overview'!L396=""),1,0)</f>
        <v>0</v>
      </c>
      <c r="K399" s="217">
        <f>IF(AND($A399&lt;&gt;"",'[1]Project Overview'!P396=""),1,0)</f>
        <v>0</v>
      </c>
      <c r="L399" s="217">
        <f>IF(AND($A399&lt;&gt;"",'[1]Project Overview'!AA396=""),1,0)</f>
        <v>0</v>
      </c>
      <c r="M399" s="217"/>
      <c r="N399" s="217"/>
      <c r="O399" s="217">
        <f t="shared" si="64"/>
        <v>1</v>
      </c>
      <c r="P399" s="217" t="str">
        <f t="shared" si="63"/>
        <v/>
      </c>
    </row>
    <row r="400" spans="1:16" hidden="1" x14ac:dyDescent="0.3">
      <c r="A400" s="217" t="str">
        <f>""&amp;'[1]Project Overview'!A397</f>
        <v/>
      </c>
      <c r="B400" s="218">
        <f>'[1]Project Overview'!C397</f>
        <v>0</v>
      </c>
      <c r="C400" s="218">
        <f>'[1]Project Overview'!D397</f>
        <v>0</v>
      </c>
      <c r="D400" s="217">
        <f>'[1]Project Overview'!V397</f>
        <v>0</v>
      </c>
      <c r="E400" s="217"/>
      <c r="F400" s="217">
        <f t="shared" si="65"/>
        <v>1</v>
      </c>
      <c r="G400" s="217">
        <f t="shared" si="66"/>
        <v>0</v>
      </c>
      <c r="H400" s="217">
        <f>IF(AND($A400&lt;&gt;"",'[1]Project Overview'!E397=""),1,0)</f>
        <v>0</v>
      </c>
      <c r="I400" s="217">
        <f>IF(AND($A400&lt;&gt;"",'[1]Project Overview'!G397=""),1,0)</f>
        <v>0</v>
      </c>
      <c r="J400" s="217">
        <f>IF(AND($A400&lt;&gt;"",OR('[1]Project Overview'!J397="ESCO",'[1]Project Overview'!J397="EPC",'[1]Project Overview'!J397="ESCO BUYOUT"),'[1]Project Overview'!L397=""),1,0)</f>
        <v>0</v>
      </c>
      <c r="K400" s="217">
        <f>IF(AND($A400&lt;&gt;"",'[1]Project Overview'!P397=""),1,0)</f>
        <v>0</v>
      </c>
      <c r="L400" s="217">
        <f>IF(AND($A400&lt;&gt;"",'[1]Project Overview'!AA397=""),1,0)</f>
        <v>0</v>
      </c>
      <c r="M400" s="217"/>
      <c r="N400" s="217"/>
      <c r="O400" s="217">
        <f t="shared" si="64"/>
        <v>1</v>
      </c>
      <c r="P400" s="217" t="str">
        <f t="shared" si="63"/>
        <v/>
      </c>
    </row>
    <row r="401" spans="1:16" hidden="1" x14ac:dyDescent="0.3">
      <c r="A401" s="217" t="str">
        <f>""&amp;'[1]Project Overview'!A398</f>
        <v/>
      </c>
      <c r="B401" s="218">
        <f>'[1]Project Overview'!C398</f>
        <v>0</v>
      </c>
      <c r="C401" s="218">
        <f>'[1]Project Overview'!D398</f>
        <v>0</v>
      </c>
      <c r="D401" s="217">
        <f>'[1]Project Overview'!V398</f>
        <v>0</v>
      </c>
      <c r="E401" s="217"/>
      <c r="F401" s="217">
        <f t="shared" si="65"/>
        <v>1</v>
      </c>
      <c r="G401" s="217">
        <f t="shared" si="66"/>
        <v>0</v>
      </c>
      <c r="H401" s="217">
        <f>IF(AND($A401&lt;&gt;"",'[1]Project Overview'!E398=""),1,0)</f>
        <v>0</v>
      </c>
      <c r="I401" s="217">
        <f>IF(AND($A401&lt;&gt;"",'[1]Project Overview'!G398=""),1,0)</f>
        <v>0</v>
      </c>
      <c r="J401" s="217">
        <f>IF(AND($A401&lt;&gt;"",OR('[1]Project Overview'!J398="ESCO",'[1]Project Overview'!J398="EPC",'[1]Project Overview'!J398="ESCO BUYOUT"),'[1]Project Overview'!L398=""),1,0)</f>
        <v>0</v>
      </c>
      <c r="K401" s="217">
        <f>IF(AND($A401&lt;&gt;"",'[1]Project Overview'!P398=""),1,0)</f>
        <v>0</v>
      </c>
      <c r="L401" s="217">
        <f>IF(AND($A401&lt;&gt;"",'[1]Project Overview'!AA398=""),1,0)</f>
        <v>0</v>
      </c>
      <c r="M401" s="217"/>
      <c r="N401" s="217"/>
      <c r="O401" s="217">
        <f t="shared" si="64"/>
        <v>1</v>
      </c>
      <c r="P401" s="217" t="str">
        <f t="shared" si="63"/>
        <v/>
      </c>
    </row>
    <row r="402" spans="1:16" hidden="1" x14ac:dyDescent="0.3">
      <c r="A402" s="217" t="str">
        <f>""&amp;'[1]Project Overview'!A399</f>
        <v/>
      </c>
      <c r="B402" s="218">
        <f>'[1]Project Overview'!C399</f>
        <v>0</v>
      </c>
      <c r="C402" s="218">
        <f>'[1]Project Overview'!D399</f>
        <v>0</v>
      </c>
      <c r="D402" s="217">
        <f>'[1]Project Overview'!V399</f>
        <v>0</v>
      </c>
      <c r="E402" s="217"/>
      <c r="F402" s="217">
        <f t="shared" si="65"/>
        <v>1</v>
      </c>
      <c r="G402" s="217">
        <f t="shared" si="66"/>
        <v>0</v>
      </c>
      <c r="H402" s="217">
        <f>IF(AND($A402&lt;&gt;"",'[1]Project Overview'!E399=""),1,0)</f>
        <v>0</v>
      </c>
      <c r="I402" s="217">
        <f>IF(AND($A402&lt;&gt;"",'[1]Project Overview'!G399=""),1,0)</f>
        <v>0</v>
      </c>
      <c r="J402" s="217">
        <f>IF(AND($A402&lt;&gt;"",OR('[1]Project Overview'!J399="ESCO",'[1]Project Overview'!J399="EPC",'[1]Project Overview'!J399="ESCO BUYOUT"),'[1]Project Overview'!L399=""),1,0)</f>
        <v>0</v>
      </c>
      <c r="K402" s="217">
        <f>IF(AND($A402&lt;&gt;"",'[1]Project Overview'!P399=""),1,0)</f>
        <v>0</v>
      </c>
      <c r="L402" s="217">
        <f>IF(AND($A402&lt;&gt;"",'[1]Project Overview'!AA399=""),1,0)</f>
        <v>0</v>
      </c>
      <c r="M402" s="217"/>
      <c r="N402" s="217"/>
      <c r="O402" s="217">
        <f t="shared" si="64"/>
        <v>1</v>
      </c>
      <c r="P402" s="217" t="str">
        <f t="shared" si="63"/>
        <v/>
      </c>
    </row>
    <row r="403" spans="1:16" hidden="1" x14ac:dyDescent="0.3">
      <c r="A403" s="217" t="str">
        <f>""&amp;'[1]Project Overview'!A400</f>
        <v/>
      </c>
      <c r="B403" s="218">
        <f>'[1]Project Overview'!C400</f>
        <v>0</v>
      </c>
      <c r="C403" s="218">
        <f>'[1]Project Overview'!D400</f>
        <v>0</v>
      </c>
      <c r="D403" s="217">
        <f>'[1]Project Overview'!V400</f>
        <v>0</v>
      </c>
      <c r="E403" s="217"/>
      <c r="F403" s="217">
        <f t="shared" si="65"/>
        <v>1</v>
      </c>
      <c r="G403" s="217">
        <f t="shared" si="66"/>
        <v>0</v>
      </c>
      <c r="H403" s="217">
        <f>IF(AND($A403&lt;&gt;"",'[1]Project Overview'!E400=""),1,0)</f>
        <v>0</v>
      </c>
      <c r="I403" s="217">
        <f>IF(AND($A403&lt;&gt;"",'[1]Project Overview'!G400=""),1,0)</f>
        <v>0</v>
      </c>
      <c r="J403" s="217">
        <f>IF(AND($A403&lt;&gt;"",OR('[1]Project Overview'!J400="ESCO",'[1]Project Overview'!J400="EPC",'[1]Project Overview'!J400="ESCO BUYOUT"),'[1]Project Overview'!L400=""),1,0)</f>
        <v>0</v>
      </c>
      <c r="K403" s="217">
        <f>IF(AND($A403&lt;&gt;"",'[1]Project Overview'!P400=""),1,0)</f>
        <v>0</v>
      </c>
      <c r="L403" s="217">
        <f>IF(AND($A403&lt;&gt;"",'[1]Project Overview'!AA400=""),1,0)</f>
        <v>0</v>
      </c>
      <c r="M403" s="217"/>
      <c r="N403" s="217"/>
      <c r="O403" s="217">
        <f t="shared" si="64"/>
        <v>1</v>
      </c>
      <c r="P403" s="217" t="str">
        <f t="shared" si="63"/>
        <v/>
      </c>
    </row>
    <row r="404" spans="1:16" hidden="1" x14ac:dyDescent="0.3">
      <c r="A404" s="217" t="str">
        <f>""&amp;'[1]Project Overview'!A401</f>
        <v/>
      </c>
      <c r="B404" s="218">
        <f>'[1]Project Overview'!C401</f>
        <v>0</v>
      </c>
      <c r="C404" s="218">
        <f>'[1]Project Overview'!D401</f>
        <v>0</v>
      </c>
      <c r="D404" s="217">
        <f>'[1]Project Overview'!V401</f>
        <v>0</v>
      </c>
      <c r="E404" s="217"/>
      <c r="F404" s="217">
        <f t="shared" si="65"/>
        <v>1</v>
      </c>
      <c r="G404" s="217">
        <f t="shared" si="66"/>
        <v>0</v>
      </c>
      <c r="H404" s="217">
        <f>IF(AND($A404&lt;&gt;"",'[1]Project Overview'!E401=""),1,0)</f>
        <v>0</v>
      </c>
      <c r="I404" s="217">
        <f>IF(AND($A404&lt;&gt;"",'[1]Project Overview'!G401=""),1,0)</f>
        <v>0</v>
      </c>
      <c r="J404" s="217">
        <f>IF(AND($A404&lt;&gt;"",OR('[1]Project Overview'!J401="ESCO",'[1]Project Overview'!J401="EPC",'[1]Project Overview'!J401="ESCO BUYOUT"),'[1]Project Overview'!L401=""),1,0)</f>
        <v>0</v>
      </c>
      <c r="K404" s="217">
        <f>IF(AND($A404&lt;&gt;"",'[1]Project Overview'!P401=""),1,0)</f>
        <v>0</v>
      </c>
      <c r="L404" s="217">
        <f>IF(AND($A404&lt;&gt;"",'[1]Project Overview'!AA401=""),1,0)</f>
        <v>0</v>
      </c>
      <c r="M404" s="217"/>
      <c r="N404" s="217"/>
      <c r="O404" s="217">
        <f t="shared" si="64"/>
        <v>1</v>
      </c>
      <c r="P404" s="217" t="str">
        <f t="shared" si="63"/>
        <v/>
      </c>
    </row>
    <row r="405" spans="1:16" hidden="1" x14ac:dyDescent="0.3">
      <c r="A405" s="217" t="str">
        <f>""&amp;'[1]Project Overview'!A402</f>
        <v/>
      </c>
      <c r="B405" s="218">
        <f>'[1]Project Overview'!C402</f>
        <v>0</v>
      </c>
      <c r="C405" s="218">
        <f>'[1]Project Overview'!D402</f>
        <v>0</v>
      </c>
      <c r="D405" s="217">
        <f>'[1]Project Overview'!V402</f>
        <v>0</v>
      </c>
      <c r="E405" s="217"/>
      <c r="F405" s="217">
        <f t="shared" si="65"/>
        <v>1</v>
      </c>
      <c r="G405" s="217">
        <f t="shared" si="66"/>
        <v>0</v>
      </c>
      <c r="H405" s="217">
        <f>IF(AND($A405&lt;&gt;"",'[1]Project Overview'!E402=""),1,0)</f>
        <v>0</v>
      </c>
      <c r="I405" s="217">
        <f>IF(AND($A405&lt;&gt;"",'[1]Project Overview'!G402=""),1,0)</f>
        <v>0</v>
      </c>
      <c r="J405" s="217">
        <f>IF(AND($A405&lt;&gt;"",OR('[1]Project Overview'!J402="ESCO",'[1]Project Overview'!J402="EPC",'[1]Project Overview'!J402="ESCO BUYOUT"),'[1]Project Overview'!L402=""),1,0)</f>
        <v>0</v>
      </c>
      <c r="K405" s="217">
        <f>IF(AND($A405&lt;&gt;"",'[1]Project Overview'!P402=""),1,0)</f>
        <v>0</v>
      </c>
      <c r="L405" s="217">
        <f>IF(AND($A405&lt;&gt;"",'[1]Project Overview'!AA402=""),1,0)</f>
        <v>0</v>
      </c>
      <c r="M405" s="217"/>
      <c r="N405" s="217"/>
      <c r="O405" s="217">
        <f t="shared" si="64"/>
        <v>1</v>
      </c>
      <c r="P405" s="217" t="str">
        <f t="shared" si="63"/>
        <v/>
      </c>
    </row>
    <row r="406" spans="1:16" hidden="1" x14ac:dyDescent="0.3">
      <c r="A406" s="217" t="str">
        <f>""&amp;'[1]Project Overview'!A403</f>
        <v/>
      </c>
      <c r="B406" s="218">
        <f>'[1]Project Overview'!C403</f>
        <v>0</v>
      </c>
      <c r="C406" s="218">
        <f>'[1]Project Overview'!D403</f>
        <v>0</v>
      </c>
      <c r="D406" s="217">
        <f>'[1]Project Overview'!V403</f>
        <v>0</v>
      </c>
      <c r="E406" s="217"/>
      <c r="F406" s="217">
        <f t="shared" si="65"/>
        <v>1</v>
      </c>
      <c r="G406" s="217">
        <f t="shared" si="66"/>
        <v>0</v>
      </c>
      <c r="H406" s="217">
        <f>IF(AND($A406&lt;&gt;"",'[1]Project Overview'!E403=""),1,0)</f>
        <v>0</v>
      </c>
      <c r="I406" s="217">
        <f>IF(AND($A406&lt;&gt;"",'[1]Project Overview'!G403=""),1,0)</f>
        <v>0</v>
      </c>
      <c r="J406" s="217">
        <f>IF(AND($A406&lt;&gt;"",OR('[1]Project Overview'!J403="ESCO",'[1]Project Overview'!J403="EPC",'[1]Project Overview'!J403="ESCO BUYOUT"),'[1]Project Overview'!L403=""),1,0)</f>
        <v>0</v>
      </c>
      <c r="K406" s="217">
        <f>IF(AND($A406&lt;&gt;"",'[1]Project Overview'!P403=""),1,0)</f>
        <v>0</v>
      </c>
      <c r="L406" s="217">
        <f>IF(AND($A406&lt;&gt;"",'[1]Project Overview'!AA403=""),1,0)</f>
        <v>0</v>
      </c>
      <c r="M406" s="217"/>
      <c r="N406" s="217"/>
      <c r="O406" s="217">
        <f t="shared" si="64"/>
        <v>1</v>
      </c>
      <c r="P406" s="217" t="str">
        <f t="shared" si="63"/>
        <v/>
      </c>
    </row>
    <row r="407" spans="1:16" hidden="1" x14ac:dyDescent="0.3">
      <c r="A407" s="217" t="str">
        <f>""&amp;'[1]Project Overview'!A404</f>
        <v/>
      </c>
      <c r="B407" s="218">
        <f>'[1]Project Overview'!C404</f>
        <v>0</v>
      </c>
      <c r="C407" s="218">
        <f>'[1]Project Overview'!D404</f>
        <v>0</v>
      </c>
      <c r="D407" s="217">
        <f>'[1]Project Overview'!V404</f>
        <v>0</v>
      </c>
      <c r="E407" s="217"/>
      <c r="F407" s="217">
        <f t="shared" si="65"/>
        <v>1</v>
      </c>
      <c r="G407" s="217">
        <f t="shared" si="66"/>
        <v>0</v>
      </c>
      <c r="H407" s="217">
        <f>IF(AND($A407&lt;&gt;"",'[1]Project Overview'!E404=""),1,0)</f>
        <v>0</v>
      </c>
      <c r="I407" s="217">
        <f>IF(AND($A407&lt;&gt;"",'[1]Project Overview'!G404=""),1,0)</f>
        <v>0</v>
      </c>
      <c r="J407" s="217">
        <f>IF(AND($A407&lt;&gt;"",OR('[1]Project Overview'!J404="ESCO",'[1]Project Overview'!J404="EPC",'[1]Project Overview'!J404="ESCO BUYOUT"),'[1]Project Overview'!L404=""),1,0)</f>
        <v>0</v>
      </c>
      <c r="K407" s="217">
        <f>IF(AND($A407&lt;&gt;"",'[1]Project Overview'!P404=""),1,0)</f>
        <v>0</v>
      </c>
      <c r="L407" s="217">
        <f>IF(AND($A407&lt;&gt;"",'[1]Project Overview'!AA404=""),1,0)</f>
        <v>0</v>
      </c>
      <c r="M407" s="217"/>
      <c r="N407" s="217"/>
      <c r="O407" s="217">
        <f t="shared" si="64"/>
        <v>1</v>
      </c>
      <c r="P407" s="217" t="str">
        <f t="shared" si="63"/>
        <v/>
      </c>
    </row>
    <row r="408" spans="1:16" hidden="1" x14ac:dyDescent="0.3">
      <c r="A408" s="217" t="str">
        <f>""&amp;'[1]Project Overview'!A405</f>
        <v/>
      </c>
      <c r="B408" s="218">
        <f>'[1]Project Overview'!C405</f>
        <v>0</v>
      </c>
      <c r="C408" s="218">
        <f>'[1]Project Overview'!D405</f>
        <v>0</v>
      </c>
      <c r="D408" s="217">
        <f>'[1]Project Overview'!V405</f>
        <v>0</v>
      </c>
      <c r="E408" s="217"/>
      <c r="F408" s="217">
        <f t="shared" si="65"/>
        <v>1</v>
      </c>
      <c r="G408" s="217">
        <f t="shared" si="66"/>
        <v>0</v>
      </c>
      <c r="H408" s="217">
        <f>IF(AND($A408&lt;&gt;"",'[1]Project Overview'!E405=""),1,0)</f>
        <v>0</v>
      </c>
      <c r="I408" s="217">
        <f>IF(AND($A408&lt;&gt;"",'[1]Project Overview'!G405=""),1,0)</f>
        <v>0</v>
      </c>
      <c r="J408" s="217">
        <f>IF(AND($A408&lt;&gt;"",OR('[1]Project Overview'!J405="ESCO",'[1]Project Overview'!J405="EPC",'[1]Project Overview'!J405="ESCO BUYOUT"),'[1]Project Overview'!L405=""),1,0)</f>
        <v>0</v>
      </c>
      <c r="K408" s="217">
        <f>IF(AND($A408&lt;&gt;"",'[1]Project Overview'!P405=""),1,0)</f>
        <v>0</v>
      </c>
      <c r="L408" s="217">
        <f>IF(AND($A408&lt;&gt;"",'[1]Project Overview'!AA405=""),1,0)</f>
        <v>0</v>
      </c>
      <c r="M408" s="217"/>
      <c r="N408" s="217"/>
      <c r="O408" s="217">
        <f t="shared" si="64"/>
        <v>1</v>
      </c>
      <c r="P408" s="217" t="str">
        <f t="shared" si="63"/>
        <v/>
      </c>
    </row>
    <row r="409" spans="1:16" hidden="1" x14ac:dyDescent="0.3">
      <c r="A409" s="217" t="str">
        <f>""&amp;'[1]Project Overview'!A406</f>
        <v/>
      </c>
      <c r="B409" s="218">
        <f>'[1]Project Overview'!C406</f>
        <v>0</v>
      </c>
      <c r="C409" s="218">
        <f>'[1]Project Overview'!D406</f>
        <v>0</v>
      </c>
      <c r="D409" s="217">
        <f>'[1]Project Overview'!V406</f>
        <v>0</v>
      </c>
      <c r="E409" s="217"/>
      <c r="F409" s="217">
        <f t="shared" si="65"/>
        <v>1</v>
      </c>
      <c r="G409" s="217">
        <f t="shared" si="66"/>
        <v>0</v>
      </c>
      <c r="H409" s="217">
        <f>IF(AND($A409&lt;&gt;"",'[1]Project Overview'!E406=""),1,0)</f>
        <v>0</v>
      </c>
      <c r="I409" s="217">
        <f>IF(AND($A409&lt;&gt;"",'[1]Project Overview'!G406=""),1,0)</f>
        <v>0</v>
      </c>
      <c r="J409" s="217">
        <f>IF(AND($A409&lt;&gt;"",OR('[1]Project Overview'!J406="ESCO",'[1]Project Overview'!J406="EPC",'[1]Project Overview'!J406="ESCO BUYOUT"),'[1]Project Overview'!L406=""),1,0)</f>
        <v>0</v>
      </c>
      <c r="K409" s="217">
        <f>IF(AND($A409&lt;&gt;"",'[1]Project Overview'!P406=""),1,0)</f>
        <v>0</v>
      </c>
      <c r="L409" s="217">
        <f>IF(AND($A409&lt;&gt;"",'[1]Project Overview'!AA406=""),1,0)</f>
        <v>0</v>
      </c>
      <c r="M409" s="217"/>
      <c r="N409" s="217"/>
      <c r="O409" s="217">
        <f t="shared" si="64"/>
        <v>1</v>
      </c>
      <c r="P409" s="217" t="str">
        <f t="shared" si="63"/>
        <v/>
      </c>
    </row>
    <row r="410" spans="1:16" hidden="1" x14ac:dyDescent="0.3">
      <c r="A410" s="217" t="str">
        <f>""&amp;'[1]Project Overview'!A407</f>
        <v/>
      </c>
      <c r="B410" s="218">
        <f>'[1]Project Overview'!C407</f>
        <v>0</v>
      </c>
      <c r="C410" s="218">
        <f>'[1]Project Overview'!D407</f>
        <v>0</v>
      </c>
      <c r="D410" s="217">
        <f>'[1]Project Overview'!V407</f>
        <v>0</v>
      </c>
      <c r="E410" s="217"/>
      <c r="F410" s="217">
        <f t="shared" si="65"/>
        <v>1</v>
      </c>
      <c r="G410" s="217">
        <f t="shared" si="66"/>
        <v>0</v>
      </c>
      <c r="H410" s="217">
        <f>IF(AND($A410&lt;&gt;"",'[1]Project Overview'!E407=""),1,0)</f>
        <v>0</v>
      </c>
      <c r="I410" s="217">
        <f>IF(AND($A410&lt;&gt;"",'[1]Project Overview'!G407=""),1,0)</f>
        <v>0</v>
      </c>
      <c r="J410" s="217">
        <f>IF(AND($A410&lt;&gt;"",OR('[1]Project Overview'!J407="ESCO",'[1]Project Overview'!J407="EPC",'[1]Project Overview'!J407="ESCO BUYOUT"),'[1]Project Overview'!L407=""),1,0)</f>
        <v>0</v>
      </c>
      <c r="K410" s="217">
        <f>IF(AND($A410&lt;&gt;"",'[1]Project Overview'!P407=""),1,0)</f>
        <v>0</v>
      </c>
      <c r="L410" s="217">
        <f>IF(AND($A410&lt;&gt;"",'[1]Project Overview'!AA407=""),1,0)</f>
        <v>0</v>
      </c>
      <c r="M410" s="217"/>
      <c r="N410" s="217"/>
      <c r="O410" s="217">
        <f t="shared" si="64"/>
        <v>1</v>
      </c>
      <c r="P410" s="217" t="str">
        <f t="shared" si="63"/>
        <v/>
      </c>
    </row>
    <row r="411" spans="1:16" hidden="1" x14ac:dyDescent="0.3">
      <c r="A411" s="217" t="str">
        <f>""&amp;'[1]Project Overview'!A408</f>
        <v/>
      </c>
      <c r="B411" s="218">
        <f>'[1]Project Overview'!C408</f>
        <v>0</v>
      </c>
      <c r="C411" s="218">
        <f>'[1]Project Overview'!D408</f>
        <v>0</v>
      </c>
      <c r="D411" s="217">
        <f>'[1]Project Overview'!V408</f>
        <v>0</v>
      </c>
      <c r="E411" s="217"/>
      <c r="F411" s="217">
        <f t="shared" si="65"/>
        <v>1</v>
      </c>
      <c r="G411" s="217">
        <f t="shared" si="66"/>
        <v>0</v>
      </c>
      <c r="H411" s="217">
        <f>IF(AND($A411&lt;&gt;"",'[1]Project Overview'!E408=""),1,0)</f>
        <v>0</v>
      </c>
      <c r="I411" s="217">
        <f>IF(AND($A411&lt;&gt;"",'[1]Project Overview'!G408=""),1,0)</f>
        <v>0</v>
      </c>
      <c r="J411" s="217">
        <f>IF(AND($A411&lt;&gt;"",OR('[1]Project Overview'!J408="ESCO",'[1]Project Overview'!J408="EPC",'[1]Project Overview'!J408="ESCO BUYOUT"),'[1]Project Overview'!L408=""),1,0)</f>
        <v>0</v>
      </c>
      <c r="K411" s="217">
        <f>IF(AND($A411&lt;&gt;"",'[1]Project Overview'!P408=""),1,0)</f>
        <v>0</v>
      </c>
      <c r="L411" s="217">
        <f>IF(AND($A411&lt;&gt;"",'[1]Project Overview'!AA408=""),1,0)</f>
        <v>0</v>
      </c>
      <c r="M411" s="217"/>
      <c r="N411" s="217"/>
      <c r="O411" s="217">
        <f t="shared" si="64"/>
        <v>1</v>
      </c>
      <c r="P411" s="217" t="str">
        <f t="shared" si="63"/>
        <v/>
      </c>
    </row>
    <row r="412" spans="1:16" hidden="1" x14ac:dyDescent="0.3">
      <c r="A412" s="217" t="str">
        <f>""&amp;'[1]Project Overview'!A409</f>
        <v/>
      </c>
      <c r="B412" s="218">
        <f>'[1]Project Overview'!C409</f>
        <v>0</v>
      </c>
      <c r="C412" s="218">
        <f>'[1]Project Overview'!D409</f>
        <v>0</v>
      </c>
      <c r="D412" s="217">
        <f>'[1]Project Overview'!V409</f>
        <v>0</v>
      </c>
      <c r="E412" s="217"/>
      <c r="F412" s="217">
        <f t="shared" si="65"/>
        <v>1</v>
      </c>
      <c r="G412" s="217">
        <f t="shared" si="66"/>
        <v>0</v>
      </c>
      <c r="H412" s="217">
        <f>IF(AND($A412&lt;&gt;"",'[1]Project Overview'!E409=""),1,0)</f>
        <v>0</v>
      </c>
      <c r="I412" s="217">
        <f>IF(AND($A412&lt;&gt;"",'[1]Project Overview'!G409=""),1,0)</f>
        <v>0</v>
      </c>
      <c r="J412" s="217">
        <f>IF(AND($A412&lt;&gt;"",OR('[1]Project Overview'!J409="ESCO",'[1]Project Overview'!J409="EPC",'[1]Project Overview'!J409="ESCO BUYOUT"),'[1]Project Overview'!L409=""),1,0)</f>
        <v>0</v>
      </c>
      <c r="K412" s="217">
        <f>IF(AND($A412&lt;&gt;"",'[1]Project Overview'!P409=""),1,0)</f>
        <v>0</v>
      </c>
      <c r="L412" s="217">
        <f>IF(AND($A412&lt;&gt;"",'[1]Project Overview'!AA409=""),1,0)</f>
        <v>0</v>
      </c>
      <c r="M412" s="217"/>
      <c r="N412" s="217"/>
      <c r="O412" s="217">
        <f t="shared" si="64"/>
        <v>1</v>
      </c>
      <c r="P412" s="217" t="str">
        <f t="shared" si="63"/>
        <v/>
      </c>
    </row>
    <row r="413" spans="1:16" hidden="1" x14ac:dyDescent="0.3">
      <c r="A413" s="217" t="str">
        <f>""&amp;'[1]Project Overview'!A410</f>
        <v/>
      </c>
      <c r="B413" s="218">
        <f>'[1]Project Overview'!C410</f>
        <v>0</v>
      </c>
      <c r="C413" s="218">
        <f>'[1]Project Overview'!D410</f>
        <v>0</v>
      </c>
      <c r="D413" s="217">
        <f>'[1]Project Overview'!V410</f>
        <v>0</v>
      </c>
      <c r="E413" s="217"/>
      <c r="F413" s="217">
        <f t="shared" si="65"/>
        <v>1</v>
      </c>
      <c r="G413" s="217">
        <f t="shared" si="66"/>
        <v>0</v>
      </c>
      <c r="H413" s="217">
        <f>IF(AND($A413&lt;&gt;"",'[1]Project Overview'!E410=""),1,0)</f>
        <v>0</v>
      </c>
      <c r="I413" s="217">
        <f>IF(AND($A413&lt;&gt;"",'[1]Project Overview'!G410=""),1,0)</f>
        <v>0</v>
      </c>
      <c r="J413" s="217">
        <f>IF(AND($A413&lt;&gt;"",OR('[1]Project Overview'!J410="ESCO",'[1]Project Overview'!J410="EPC",'[1]Project Overview'!J410="ESCO BUYOUT"),'[1]Project Overview'!L410=""),1,0)</f>
        <v>0</v>
      </c>
      <c r="K413" s="217">
        <f>IF(AND($A413&lt;&gt;"",'[1]Project Overview'!P410=""),1,0)</f>
        <v>0</v>
      </c>
      <c r="L413" s="217">
        <f>IF(AND($A413&lt;&gt;"",'[1]Project Overview'!AA410=""),1,0)</f>
        <v>0</v>
      </c>
      <c r="M413" s="217"/>
      <c r="N413" s="217"/>
      <c r="O413" s="217">
        <f t="shared" si="64"/>
        <v>1</v>
      </c>
      <c r="P413" s="217" t="str">
        <f t="shared" si="63"/>
        <v/>
      </c>
    </row>
    <row r="414" spans="1:16" hidden="1" x14ac:dyDescent="0.3">
      <c r="A414" s="217" t="str">
        <f>""&amp;'[1]Project Overview'!A411</f>
        <v/>
      </c>
      <c r="B414" s="218">
        <f>'[1]Project Overview'!C411</f>
        <v>0</v>
      </c>
      <c r="C414" s="218">
        <f>'[1]Project Overview'!D411</f>
        <v>0</v>
      </c>
      <c r="D414" s="217">
        <f>'[1]Project Overview'!V411</f>
        <v>0</v>
      </c>
      <c r="E414" s="217"/>
      <c r="F414" s="217">
        <f t="shared" si="65"/>
        <v>1</v>
      </c>
      <c r="G414" s="217">
        <f t="shared" si="66"/>
        <v>0</v>
      </c>
      <c r="H414" s="217">
        <f>IF(AND($A414&lt;&gt;"",'[1]Project Overview'!E411=""),1,0)</f>
        <v>0</v>
      </c>
      <c r="I414" s="217">
        <f>IF(AND($A414&lt;&gt;"",'[1]Project Overview'!G411=""),1,0)</f>
        <v>0</v>
      </c>
      <c r="J414" s="217">
        <f>IF(AND($A414&lt;&gt;"",OR('[1]Project Overview'!J411="ESCO",'[1]Project Overview'!J411="EPC",'[1]Project Overview'!J411="ESCO BUYOUT"),'[1]Project Overview'!L411=""),1,0)</f>
        <v>0</v>
      </c>
      <c r="K414" s="217">
        <f>IF(AND($A414&lt;&gt;"",'[1]Project Overview'!P411=""),1,0)</f>
        <v>0</v>
      </c>
      <c r="L414" s="217">
        <f>IF(AND($A414&lt;&gt;"",'[1]Project Overview'!AA411=""),1,0)</f>
        <v>0</v>
      </c>
      <c r="M414" s="217"/>
      <c r="N414" s="217"/>
      <c r="O414" s="217">
        <f t="shared" si="64"/>
        <v>1</v>
      </c>
      <c r="P414" s="217" t="str">
        <f t="shared" si="63"/>
        <v/>
      </c>
    </row>
    <row r="415" spans="1:16" hidden="1" x14ac:dyDescent="0.3">
      <c r="A415" s="217" t="str">
        <f>""&amp;'[1]Project Overview'!A412</f>
        <v/>
      </c>
      <c r="B415" s="218">
        <f>'[1]Project Overview'!C412</f>
        <v>0</v>
      </c>
      <c r="C415" s="218">
        <f>'[1]Project Overview'!D412</f>
        <v>0</v>
      </c>
      <c r="D415" s="217">
        <f>'[1]Project Overview'!V412</f>
        <v>0</v>
      </c>
      <c r="E415" s="217"/>
      <c r="F415" s="217">
        <f t="shared" si="65"/>
        <v>1</v>
      </c>
      <c r="G415" s="217">
        <f t="shared" si="66"/>
        <v>0</v>
      </c>
      <c r="H415" s="217">
        <f>IF(AND($A415&lt;&gt;"",'[1]Project Overview'!E412=""),1,0)</f>
        <v>0</v>
      </c>
      <c r="I415" s="217">
        <f>IF(AND($A415&lt;&gt;"",'[1]Project Overview'!G412=""),1,0)</f>
        <v>0</v>
      </c>
      <c r="J415" s="217">
        <f>IF(AND($A415&lt;&gt;"",OR('[1]Project Overview'!J412="ESCO",'[1]Project Overview'!J412="EPC",'[1]Project Overview'!J412="ESCO BUYOUT"),'[1]Project Overview'!L412=""),1,0)</f>
        <v>0</v>
      </c>
      <c r="K415" s="217">
        <f>IF(AND($A415&lt;&gt;"",'[1]Project Overview'!P412=""),1,0)</f>
        <v>0</v>
      </c>
      <c r="L415" s="217">
        <f>IF(AND($A415&lt;&gt;"",'[1]Project Overview'!AA412=""),1,0)</f>
        <v>0</v>
      </c>
      <c r="M415" s="217"/>
      <c r="N415" s="217"/>
      <c r="O415" s="217">
        <f t="shared" si="64"/>
        <v>1</v>
      </c>
      <c r="P415" s="217" t="str">
        <f t="shared" si="63"/>
        <v/>
      </c>
    </row>
    <row r="416" spans="1:16" hidden="1" x14ac:dyDescent="0.3">
      <c r="A416" s="217" t="str">
        <f>""&amp;'[1]Project Overview'!A413</f>
        <v/>
      </c>
      <c r="B416" s="218">
        <f>'[1]Project Overview'!C413</f>
        <v>0</v>
      </c>
      <c r="C416" s="218">
        <f>'[1]Project Overview'!D413</f>
        <v>0</v>
      </c>
      <c r="D416" s="217">
        <f>'[1]Project Overview'!V413</f>
        <v>0</v>
      </c>
      <c r="E416" s="217"/>
      <c r="F416" s="217">
        <f t="shared" si="65"/>
        <v>1</v>
      </c>
      <c r="G416" s="217">
        <f t="shared" si="66"/>
        <v>0</v>
      </c>
      <c r="H416" s="217">
        <f>IF(AND($A416&lt;&gt;"",'[1]Project Overview'!E413=""),1,0)</f>
        <v>0</v>
      </c>
      <c r="I416" s="217">
        <f>IF(AND($A416&lt;&gt;"",'[1]Project Overview'!G413=""),1,0)</f>
        <v>0</v>
      </c>
      <c r="J416" s="217">
        <f>IF(AND($A416&lt;&gt;"",OR('[1]Project Overview'!J413="ESCO",'[1]Project Overview'!J413="EPC",'[1]Project Overview'!J413="ESCO BUYOUT"),'[1]Project Overview'!L413=""),1,0)</f>
        <v>0</v>
      </c>
      <c r="K416" s="217">
        <f>IF(AND($A416&lt;&gt;"",'[1]Project Overview'!P413=""),1,0)</f>
        <v>0</v>
      </c>
      <c r="L416" s="217">
        <f>IF(AND($A416&lt;&gt;"",'[1]Project Overview'!AA413=""),1,0)</f>
        <v>0</v>
      </c>
      <c r="M416" s="217"/>
      <c r="N416" s="217"/>
      <c r="O416" s="217">
        <f t="shared" si="64"/>
        <v>1</v>
      </c>
      <c r="P416" s="217" t="str">
        <f t="shared" si="63"/>
        <v/>
      </c>
    </row>
    <row r="417" spans="1:16" hidden="1" x14ac:dyDescent="0.3">
      <c r="A417" s="217" t="str">
        <f>""&amp;'[1]Project Overview'!A414</f>
        <v/>
      </c>
      <c r="B417" s="218">
        <f>'[1]Project Overview'!C414</f>
        <v>0</v>
      </c>
      <c r="C417" s="218">
        <f>'[1]Project Overview'!D414</f>
        <v>0</v>
      </c>
      <c r="D417" s="217">
        <f>'[1]Project Overview'!V414</f>
        <v>0</v>
      </c>
      <c r="E417" s="217"/>
      <c r="F417" s="217">
        <f t="shared" si="65"/>
        <v>1</v>
      </c>
      <c r="G417" s="217">
        <f t="shared" si="66"/>
        <v>0</v>
      </c>
      <c r="H417" s="217">
        <f>IF(AND($A417&lt;&gt;"",'[1]Project Overview'!E414=""),1,0)</f>
        <v>0</v>
      </c>
      <c r="I417" s="217">
        <f>IF(AND($A417&lt;&gt;"",'[1]Project Overview'!G414=""),1,0)</f>
        <v>0</v>
      </c>
      <c r="J417" s="217">
        <f>IF(AND($A417&lt;&gt;"",OR('[1]Project Overview'!J414="ESCO",'[1]Project Overview'!J414="EPC",'[1]Project Overview'!J414="ESCO BUYOUT"),'[1]Project Overview'!L414=""),1,0)</f>
        <v>0</v>
      </c>
      <c r="K417" s="217">
        <f>IF(AND($A417&lt;&gt;"",'[1]Project Overview'!P414=""),1,0)</f>
        <v>0</v>
      </c>
      <c r="L417" s="217">
        <f>IF(AND($A417&lt;&gt;"",'[1]Project Overview'!AA414=""),1,0)</f>
        <v>0</v>
      </c>
      <c r="M417" s="217"/>
      <c r="N417" s="217"/>
      <c r="O417" s="217">
        <f t="shared" si="64"/>
        <v>1</v>
      </c>
      <c r="P417" s="217" t="str">
        <f t="shared" si="63"/>
        <v/>
      </c>
    </row>
    <row r="418" spans="1:16" hidden="1" x14ac:dyDescent="0.3">
      <c r="A418" s="217" t="str">
        <f>""&amp;'[1]Project Overview'!A415</f>
        <v/>
      </c>
      <c r="B418" s="218">
        <f>'[1]Project Overview'!C415</f>
        <v>0</v>
      </c>
      <c r="C418" s="218">
        <f>'[1]Project Overview'!D415</f>
        <v>0</v>
      </c>
      <c r="D418" s="217">
        <f>'[1]Project Overview'!V415</f>
        <v>0</v>
      </c>
      <c r="E418" s="217"/>
      <c r="F418" s="217">
        <f t="shared" si="65"/>
        <v>1</v>
      </c>
      <c r="G418" s="217">
        <f t="shared" si="66"/>
        <v>0</v>
      </c>
      <c r="H418" s="217">
        <f>IF(AND($A418&lt;&gt;"",'[1]Project Overview'!E415=""),1,0)</f>
        <v>0</v>
      </c>
      <c r="I418" s="217">
        <f>IF(AND($A418&lt;&gt;"",'[1]Project Overview'!G415=""),1,0)</f>
        <v>0</v>
      </c>
      <c r="J418" s="217">
        <f>IF(AND($A418&lt;&gt;"",OR('[1]Project Overview'!J415="ESCO",'[1]Project Overview'!J415="EPC",'[1]Project Overview'!J415="ESCO BUYOUT"),'[1]Project Overview'!L415=""),1,0)</f>
        <v>0</v>
      </c>
      <c r="K418" s="217">
        <f>IF(AND($A418&lt;&gt;"",'[1]Project Overview'!P415=""),1,0)</f>
        <v>0</v>
      </c>
      <c r="L418" s="217">
        <f>IF(AND($A418&lt;&gt;"",'[1]Project Overview'!AA415=""),1,0)</f>
        <v>0</v>
      </c>
      <c r="M418" s="217"/>
      <c r="N418" s="217"/>
      <c r="O418" s="217">
        <f t="shared" si="64"/>
        <v>1</v>
      </c>
      <c r="P418" s="217" t="str">
        <f t="shared" si="63"/>
        <v/>
      </c>
    </row>
    <row r="419" spans="1:16" hidden="1" x14ac:dyDescent="0.3">
      <c r="A419" s="217" t="str">
        <f>""&amp;'[1]Project Overview'!A416</f>
        <v/>
      </c>
      <c r="B419" s="218">
        <f>'[1]Project Overview'!C416</f>
        <v>0</v>
      </c>
      <c r="C419" s="218">
        <f>'[1]Project Overview'!D416</f>
        <v>0</v>
      </c>
      <c r="D419" s="217">
        <f>'[1]Project Overview'!V416</f>
        <v>0</v>
      </c>
      <c r="E419" s="217"/>
      <c r="F419" s="217">
        <f t="shared" si="65"/>
        <v>1</v>
      </c>
      <c r="G419" s="217">
        <f t="shared" si="66"/>
        <v>0</v>
      </c>
      <c r="H419" s="217">
        <f>IF(AND($A419&lt;&gt;"",'[1]Project Overview'!E416=""),1,0)</f>
        <v>0</v>
      </c>
      <c r="I419" s="217">
        <f>IF(AND($A419&lt;&gt;"",'[1]Project Overview'!G416=""),1,0)</f>
        <v>0</v>
      </c>
      <c r="J419" s="217">
        <f>IF(AND($A419&lt;&gt;"",OR('[1]Project Overview'!J416="ESCO",'[1]Project Overview'!J416="EPC",'[1]Project Overview'!J416="ESCO BUYOUT"),'[1]Project Overview'!L416=""),1,0)</f>
        <v>0</v>
      </c>
      <c r="K419" s="217">
        <f>IF(AND($A419&lt;&gt;"",'[1]Project Overview'!P416=""),1,0)</f>
        <v>0</v>
      </c>
      <c r="L419" s="217">
        <f>IF(AND($A419&lt;&gt;"",'[1]Project Overview'!AA416=""),1,0)</f>
        <v>0</v>
      </c>
      <c r="M419" s="217"/>
      <c r="N419" s="217"/>
      <c r="O419" s="217">
        <f t="shared" si="64"/>
        <v>1</v>
      </c>
      <c r="P419" s="217" t="str">
        <f t="shared" si="63"/>
        <v/>
      </c>
    </row>
    <row r="420" spans="1:16" hidden="1" x14ac:dyDescent="0.3">
      <c r="A420" s="217" t="str">
        <f>""&amp;'[1]Project Overview'!A417</f>
        <v/>
      </c>
      <c r="B420" s="218">
        <f>'[1]Project Overview'!C417</f>
        <v>0</v>
      </c>
      <c r="C420" s="218">
        <f>'[1]Project Overview'!D417</f>
        <v>0</v>
      </c>
      <c r="D420" s="217">
        <f>'[1]Project Overview'!V417</f>
        <v>0</v>
      </c>
      <c r="E420" s="217"/>
      <c r="F420" s="217">
        <f t="shared" si="65"/>
        <v>1</v>
      </c>
      <c r="G420" s="217">
        <f t="shared" si="66"/>
        <v>0</v>
      </c>
      <c r="H420" s="217">
        <f>IF(AND($A420&lt;&gt;"",'[1]Project Overview'!E417=""),1,0)</f>
        <v>0</v>
      </c>
      <c r="I420" s="217">
        <f>IF(AND($A420&lt;&gt;"",'[1]Project Overview'!G417=""),1,0)</f>
        <v>0</v>
      </c>
      <c r="J420" s="217">
        <f>IF(AND($A420&lt;&gt;"",OR('[1]Project Overview'!J417="ESCO",'[1]Project Overview'!J417="EPC",'[1]Project Overview'!J417="ESCO BUYOUT"),'[1]Project Overview'!L417=""),1,0)</f>
        <v>0</v>
      </c>
      <c r="K420" s="217">
        <f>IF(AND($A420&lt;&gt;"",'[1]Project Overview'!P417=""),1,0)</f>
        <v>0</v>
      </c>
      <c r="L420" s="217">
        <f>IF(AND($A420&lt;&gt;"",'[1]Project Overview'!AA417=""),1,0)</f>
        <v>0</v>
      </c>
      <c r="M420" s="217"/>
      <c r="N420" s="217"/>
      <c r="O420" s="217">
        <f t="shared" si="64"/>
        <v>1</v>
      </c>
      <c r="P420" s="217" t="str">
        <f t="shared" si="63"/>
        <v/>
      </c>
    </row>
    <row r="421" spans="1:16" hidden="1" x14ac:dyDescent="0.3">
      <c r="A421" s="217" t="str">
        <f>""&amp;'[1]Project Overview'!A418</f>
        <v/>
      </c>
      <c r="B421" s="218">
        <f>'[1]Project Overview'!C418</f>
        <v>0</v>
      </c>
      <c r="C421" s="218">
        <f>'[1]Project Overview'!D418</f>
        <v>0</v>
      </c>
      <c r="D421" s="217">
        <f>'[1]Project Overview'!V418</f>
        <v>0</v>
      </c>
      <c r="E421" s="217"/>
      <c r="F421" s="217">
        <f t="shared" si="65"/>
        <v>1</v>
      </c>
      <c r="G421" s="217">
        <f t="shared" si="66"/>
        <v>0</v>
      </c>
      <c r="H421" s="217">
        <f>IF(AND($A421&lt;&gt;"",'[1]Project Overview'!E418=""),1,0)</f>
        <v>0</v>
      </c>
      <c r="I421" s="217">
        <f>IF(AND($A421&lt;&gt;"",'[1]Project Overview'!G418=""),1,0)</f>
        <v>0</v>
      </c>
      <c r="J421" s="217">
        <f>IF(AND($A421&lt;&gt;"",OR('[1]Project Overview'!J418="ESCO",'[1]Project Overview'!J418="EPC",'[1]Project Overview'!J418="ESCO BUYOUT"),'[1]Project Overview'!L418=""),1,0)</f>
        <v>0</v>
      </c>
      <c r="K421" s="217">
        <f>IF(AND($A421&lt;&gt;"",'[1]Project Overview'!P418=""),1,0)</f>
        <v>0</v>
      </c>
      <c r="L421" s="217">
        <f>IF(AND($A421&lt;&gt;"",'[1]Project Overview'!AA418=""),1,0)</f>
        <v>0</v>
      </c>
      <c r="M421" s="217"/>
      <c r="N421" s="217"/>
      <c r="O421" s="217">
        <f t="shared" si="64"/>
        <v>1</v>
      </c>
      <c r="P421" s="217" t="str">
        <f t="shared" si="63"/>
        <v/>
      </c>
    </row>
    <row r="422" spans="1:16" hidden="1" x14ac:dyDescent="0.3">
      <c r="A422" s="217" t="str">
        <f>""&amp;'[1]Project Overview'!A419</f>
        <v/>
      </c>
      <c r="B422" s="218">
        <f>'[1]Project Overview'!C419</f>
        <v>0</v>
      </c>
      <c r="C422" s="218">
        <f>'[1]Project Overview'!D419</f>
        <v>0</v>
      </c>
      <c r="D422" s="217">
        <f>'[1]Project Overview'!V419</f>
        <v>0</v>
      </c>
      <c r="E422" s="217"/>
      <c r="F422" s="217">
        <f t="shared" si="65"/>
        <v>1</v>
      </c>
      <c r="G422" s="217">
        <f t="shared" si="66"/>
        <v>0</v>
      </c>
      <c r="H422" s="217">
        <f>IF(AND($A422&lt;&gt;"",'[1]Project Overview'!E419=""),1,0)</f>
        <v>0</v>
      </c>
      <c r="I422" s="217">
        <f>IF(AND($A422&lt;&gt;"",'[1]Project Overview'!G419=""),1,0)</f>
        <v>0</v>
      </c>
      <c r="J422" s="217">
        <f>IF(AND($A422&lt;&gt;"",OR('[1]Project Overview'!J419="ESCO",'[1]Project Overview'!J419="EPC",'[1]Project Overview'!J419="ESCO BUYOUT"),'[1]Project Overview'!L419=""),1,0)</f>
        <v>0</v>
      </c>
      <c r="K422" s="217">
        <f>IF(AND($A422&lt;&gt;"",'[1]Project Overview'!P419=""),1,0)</f>
        <v>0</v>
      </c>
      <c r="L422" s="217">
        <f>IF(AND($A422&lt;&gt;"",'[1]Project Overview'!AA419=""),1,0)</f>
        <v>0</v>
      </c>
      <c r="M422" s="217"/>
      <c r="N422" s="217"/>
      <c r="O422" s="217">
        <f t="shared" si="64"/>
        <v>1</v>
      </c>
      <c r="P422" s="217" t="str">
        <f t="shared" si="63"/>
        <v/>
      </c>
    </row>
    <row r="423" spans="1:16" hidden="1" x14ac:dyDescent="0.3">
      <c r="A423" s="217" t="str">
        <f>""&amp;'[1]Project Overview'!A420</f>
        <v/>
      </c>
      <c r="B423" s="218">
        <f>'[1]Project Overview'!C420</f>
        <v>0</v>
      </c>
      <c r="C423" s="218">
        <f>'[1]Project Overview'!D420</f>
        <v>0</v>
      </c>
      <c r="D423" s="217">
        <f>'[1]Project Overview'!V420</f>
        <v>0</v>
      </c>
      <c r="E423" s="217"/>
      <c r="F423" s="217">
        <f t="shared" si="65"/>
        <v>1</v>
      </c>
      <c r="G423" s="217">
        <f t="shared" si="66"/>
        <v>0</v>
      </c>
      <c r="H423" s="217">
        <f>IF(AND($A423&lt;&gt;"",'[1]Project Overview'!E420=""),1,0)</f>
        <v>0</v>
      </c>
      <c r="I423" s="217">
        <f>IF(AND($A423&lt;&gt;"",'[1]Project Overview'!G420=""),1,0)</f>
        <v>0</v>
      </c>
      <c r="J423" s="217">
        <f>IF(AND($A423&lt;&gt;"",OR('[1]Project Overview'!J420="ESCO",'[1]Project Overview'!J420="EPC",'[1]Project Overview'!J420="ESCO BUYOUT"),'[1]Project Overview'!L420=""),1,0)</f>
        <v>0</v>
      </c>
      <c r="K423" s="217">
        <f>IF(AND($A423&lt;&gt;"",'[1]Project Overview'!P420=""),1,0)</f>
        <v>0</v>
      </c>
      <c r="L423" s="217">
        <f>IF(AND($A423&lt;&gt;"",'[1]Project Overview'!AA420=""),1,0)</f>
        <v>0</v>
      </c>
      <c r="M423" s="217"/>
      <c r="N423" s="217"/>
      <c r="O423" s="217">
        <f t="shared" si="64"/>
        <v>1</v>
      </c>
      <c r="P423" s="217" t="str">
        <f t="shared" si="63"/>
        <v/>
      </c>
    </row>
    <row r="424" spans="1:16" hidden="1" x14ac:dyDescent="0.3">
      <c r="A424" s="217" t="str">
        <f>""&amp;'[1]Project Overview'!A421</f>
        <v/>
      </c>
      <c r="B424" s="218">
        <f>'[1]Project Overview'!C421</f>
        <v>0</v>
      </c>
      <c r="C424" s="218">
        <f>'[1]Project Overview'!D421</f>
        <v>0</v>
      </c>
      <c r="D424" s="217">
        <f>'[1]Project Overview'!V421</f>
        <v>0</v>
      </c>
      <c r="E424" s="217"/>
      <c r="F424" s="217">
        <f t="shared" si="65"/>
        <v>1</v>
      </c>
      <c r="G424" s="217">
        <f t="shared" si="66"/>
        <v>0</v>
      </c>
      <c r="H424" s="217">
        <f>IF(AND($A424&lt;&gt;"",'[1]Project Overview'!E421=""),1,0)</f>
        <v>0</v>
      </c>
      <c r="I424" s="217">
        <f>IF(AND($A424&lt;&gt;"",'[1]Project Overview'!G421=""),1,0)</f>
        <v>0</v>
      </c>
      <c r="J424" s="217">
        <f>IF(AND($A424&lt;&gt;"",OR('[1]Project Overview'!J421="ESCO",'[1]Project Overview'!J421="EPC",'[1]Project Overview'!J421="ESCO BUYOUT"),'[1]Project Overview'!L421=""),1,0)</f>
        <v>0</v>
      </c>
      <c r="K424" s="217">
        <f>IF(AND($A424&lt;&gt;"",'[1]Project Overview'!P421=""),1,0)</f>
        <v>0</v>
      </c>
      <c r="L424" s="217">
        <f>IF(AND($A424&lt;&gt;"",'[1]Project Overview'!AA421=""),1,0)</f>
        <v>0</v>
      </c>
      <c r="M424" s="217"/>
      <c r="N424" s="217"/>
      <c r="O424" s="217">
        <f t="shared" si="64"/>
        <v>1</v>
      </c>
      <c r="P424" s="217" t="str">
        <f t="shared" si="63"/>
        <v/>
      </c>
    </row>
    <row r="425" spans="1:16" hidden="1" x14ac:dyDescent="0.3">
      <c r="A425" s="217" t="str">
        <f>""&amp;'[1]Project Overview'!A422</f>
        <v/>
      </c>
      <c r="B425" s="218">
        <f>'[1]Project Overview'!C422</f>
        <v>0</v>
      </c>
      <c r="C425" s="218">
        <f>'[1]Project Overview'!D422</f>
        <v>0</v>
      </c>
      <c r="D425" s="217">
        <f>'[1]Project Overview'!V422</f>
        <v>0</v>
      </c>
      <c r="E425" s="217"/>
      <c r="F425" s="217">
        <f t="shared" si="65"/>
        <v>1</v>
      </c>
      <c r="G425" s="217">
        <f t="shared" si="66"/>
        <v>0</v>
      </c>
      <c r="H425" s="217">
        <f>IF(AND($A425&lt;&gt;"",'[1]Project Overview'!E422=""),1,0)</f>
        <v>0</v>
      </c>
      <c r="I425" s="217">
        <f>IF(AND($A425&lt;&gt;"",'[1]Project Overview'!G422=""),1,0)</f>
        <v>0</v>
      </c>
      <c r="J425" s="217">
        <f>IF(AND($A425&lt;&gt;"",OR('[1]Project Overview'!J422="ESCO",'[1]Project Overview'!J422="EPC",'[1]Project Overview'!J422="ESCO BUYOUT"),'[1]Project Overview'!L422=""),1,0)</f>
        <v>0</v>
      </c>
      <c r="K425" s="217">
        <f>IF(AND($A425&lt;&gt;"",'[1]Project Overview'!P422=""),1,0)</f>
        <v>0</v>
      </c>
      <c r="L425" s="217">
        <f>IF(AND($A425&lt;&gt;"",'[1]Project Overview'!AA422=""),1,0)</f>
        <v>0</v>
      </c>
      <c r="M425" s="217"/>
      <c r="N425" s="217"/>
      <c r="O425" s="217">
        <f t="shared" si="64"/>
        <v>1</v>
      </c>
      <c r="P425" s="217" t="str">
        <f t="shared" si="63"/>
        <v/>
      </c>
    </row>
    <row r="426" spans="1:16" hidden="1" x14ac:dyDescent="0.3">
      <c r="A426" s="217" t="str">
        <f>""&amp;'[1]Project Overview'!A423</f>
        <v/>
      </c>
      <c r="B426" s="218">
        <f>'[1]Project Overview'!C423</f>
        <v>0</v>
      </c>
      <c r="C426" s="218">
        <f>'[1]Project Overview'!D423</f>
        <v>0</v>
      </c>
      <c r="D426" s="217">
        <f>'[1]Project Overview'!V423</f>
        <v>0</v>
      </c>
      <c r="E426" s="217"/>
      <c r="F426" s="217">
        <f t="shared" si="65"/>
        <v>1</v>
      </c>
      <c r="G426" s="217">
        <f t="shared" si="66"/>
        <v>0</v>
      </c>
      <c r="H426" s="217">
        <f>IF(AND($A426&lt;&gt;"",'[1]Project Overview'!E423=""),1,0)</f>
        <v>0</v>
      </c>
      <c r="I426" s="217">
        <f>IF(AND($A426&lt;&gt;"",'[1]Project Overview'!G423=""),1,0)</f>
        <v>0</v>
      </c>
      <c r="J426" s="217">
        <f>IF(AND($A426&lt;&gt;"",OR('[1]Project Overview'!J423="ESCO",'[1]Project Overview'!J423="EPC",'[1]Project Overview'!J423="ESCO BUYOUT"),'[1]Project Overview'!L423=""),1,0)</f>
        <v>0</v>
      </c>
      <c r="K426" s="217">
        <f>IF(AND($A426&lt;&gt;"",'[1]Project Overview'!P423=""),1,0)</f>
        <v>0</v>
      </c>
      <c r="L426" s="217">
        <f>IF(AND($A426&lt;&gt;"",'[1]Project Overview'!AA423=""),1,0)</f>
        <v>0</v>
      </c>
      <c r="M426" s="217"/>
      <c r="N426" s="217"/>
      <c r="O426" s="217">
        <f t="shared" si="64"/>
        <v>1</v>
      </c>
      <c r="P426" s="217" t="str">
        <f t="shared" si="63"/>
        <v/>
      </c>
    </row>
    <row r="427" spans="1:16" hidden="1" x14ac:dyDescent="0.3">
      <c r="A427" s="217" t="str">
        <f>""&amp;'[1]Project Overview'!A424</f>
        <v/>
      </c>
      <c r="B427" s="218">
        <f>'[1]Project Overview'!C424</f>
        <v>0</v>
      </c>
      <c r="C427" s="218">
        <f>'[1]Project Overview'!D424</f>
        <v>0</v>
      </c>
      <c r="D427" s="217">
        <f>'[1]Project Overview'!V424</f>
        <v>0</v>
      </c>
      <c r="E427" s="217"/>
      <c r="F427" s="217">
        <f t="shared" si="65"/>
        <v>1</v>
      </c>
      <c r="G427" s="217">
        <f t="shared" si="66"/>
        <v>0</v>
      </c>
      <c r="H427" s="217">
        <f>IF(AND($A427&lt;&gt;"",'[1]Project Overview'!E424=""),1,0)</f>
        <v>0</v>
      </c>
      <c r="I427" s="217">
        <f>IF(AND($A427&lt;&gt;"",'[1]Project Overview'!G424=""),1,0)</f>
        <v>0</v>
      </c>
      <c r="J427" s="217">
        <f>IF(AND($A427&lt;&gt;"",OR('[1]Project Overview'!J424="ESCO",'[1]Project Overview'!J424="EPC",'[1]Project Overview'!J424="ESCO BUYOUT"),'[1]Project Overview'!L424=""),1,0)</f>
        <v>0</v>
      </c>
      <c r="K427" s="217">
        <f>IF(AND($A427&lt;&gt;"",'[1]Project Overview'!P424=""),1,0)</f>
        <v>0</v>
      </c>
      <c r="L427" s="217">
        <f>IF(AND($A427&lt;&gt;"",'[1]Project Overview'!AA424=""),1,0)</f>
        <v>0</v>
      </c>
      <c r="M427" s="217"/>
      <c r="N427" s="217"/>
      <c r="O427" s="217">
        <f t="shared" si="64"/>
        <v>1</v>
      </c>
      <c r="P427" s="217" t="str">
        <f t="shared" si="63"/>
        <v/>
      </c>
    </row>
    <row r="428" spans="1:16" hidden="1" x14ac:dyDescent="0.3">
      <c r="A428" s="217" t="str">
        <f>""&amp;'[1]Project Overview'!A425</f>
        <v/>
      </c>
      <c r="B428" s="218">
        <f>'[1]Project Overview'!C425</f>
        <v>0</v>
      </c>
      <c r="C428" s="218">
        <f>'[1]Project Overview'!D425</f>
        <v>0</v>
      </c>
      <c r="D428" s="217">
        <f>'[1]Project Overview'!V425</f>
        <v>0</v>
      </c>
      <c r="E428" s="217"/>
      <c r="F428" s="217">
        <f t="shared" si="65"/>
        <v>1</v>
      </c>
      <c r="G428" s="217">
        <f t="shared" si="66"/>
        <v>0</v>
      </c>
      <c r="H428" s="217">
        <f>IF(AND($A428&lt;&gt;"",'[1]Project Overview'!E425=""),1,0)</f>
        <v>0</v>
      </c>
      <c r="I428" s="217">
        <f>IF(AND($A428&lt;&gt;"",'[1]Project Overview'!G425=""),1,0)</f>
        <v>0</v>
      </c>
      <c r="J428" s="217">
        <f>IF(AND($A428&lt;&gt;"",OR('[1]Project Overview'!J425="ESCO",'[1]Project Overview'!J425="EPC",'[1]Project Overview'!J425="ESCO BUYOUT"),'[1]Project Overview'!L425=""),1,0)</f>
        <v>0</v>
      </c>
      <c r="K428" s="217">
        <f>IF(AND($A428&lt;&gt;"",'[1]Project Overview'!P425=""),1,0)</f>
        <v>0</v>
      </c>
      <c r="L428" s="217">
        <f>IF(AND($A428&lt;&gt;"",'[1]Project Overview'!AA425=""),1,0)</f>
        <v>0</v>
      </c>
      <c r="M428" s="217"/>
      <c r="N428" s="217"/>
      <c r="O428" s="217">
        <f t="shared" si="64"/>
        <v>1</v>
      </c>
      <c r="P428" s="217" t="str">
        <f t="shared" si="63"/>
        <v/>
      </c>
    </row>
    <row r="429" spans="1:16" hidden="1" x14ac:dyDescent="0.3">
      <c r="A429" s="217" t="str">
        <f>""&amp;'[1]Project Overview'!A426</f>
        <v/>
      </c>
      <c r="B429" s="218">
        <f>'[1]Project Overview'!C426</f>
        <v>0</v>
      </c>
      <c r="C429" s="218">
        <f>'[1]Project Overview'!D426</f>
        <v>0</v>
      </c>
      <c r="D429" s="217">
        <f>'[1]Project Overview'!V426</f>
        <v>0</v>
      </c>
      <c r="E429" s="217"/>
      <c r="F429" s="217">
        <f t="shared" si="65"/>
        <v>1</v>
      </c>
      <c r="G429" s="217">
        <f t="shared" si="66"/>
        <v>0</v>
      </c>
      <c r="H429" s="217">
        <f>IF(AND($A429&lt;&gt;"",'[1]Project Overview'!E426=""),1,0)</f>
        <v>0</v>
      </c>
      <c r="I429" s="217">
        <f>IF(AND($A429&lt;&gt;"",'[1]Project Overview'!G426=""),1,0)</f>
        <v>0</v>
      </c>
      <c r="J429" s="217">
        <f>IF(AND($A429&lt;&gt;"",OR('[1]Project Overview'!J426="ESCO",'[1]Project Overview'!J426="EPC",'[1]Project Overview'!J426="ESCO BUYOUT"),'[1]Project Overview'!L426=""),1,0)</f>
        <v>0</v>
      </c>
      <c r="K429" s="217">
        <f>IF(AND($A429&lt;&gt;"",'[1]Project Overview'!P426=""),1,0)</f>
        <v>0</v>
      </c>
      <c r="L429" s="217">
        <f>IF(AND($A429&lt;&gt;"",'[1]Project Overview'!AA426=""),1,0)</f>
        <v>0</v>
      </c>
      <c r="M429" s="217"/>
      <c r="N429" s="217"/>
      <c r="O429" s="217">
        <f t="shared" si="64"/>
        <v>1</v>
      </c>
      <c r="P429" s="217" t="str">
        <f t="shared" si="63"/>
        <v/>
      </c>
    </row>
    <row r="430" spans="1:16" hidden="1" x14ac:dyDescent="0.3">
      <c r="A430" s="217" t="str">
        <f>""&amp;'[1]Project Overview'!A427</f>
        <v/>
      </c>
      <c r="B430" s="218">
        <f>'[1]Project Overview'!C427</f>
        <v>0</v>
      </c>
      <c r="C430" s="218">
        <f>'[1]Project Overview'!D427</f>
        <v>0</v>
      </c>
      <c r="D430" s="217">
        <f>'[1]Project Overview'!V427</f>
        <v>0</v>
      </c>
      <c r="E430" s="217"/>
      <c r="F430" s="217">
        <f t="shared" si="65"/>
        <v>1</v>
      </c>
      <c r="G430" s="217">
        <f t="shared" si="66"/>
        <v>0</v>
      </c>
      <c r="H430" s="217">
        <f>IF(AND($A430&lt;&gt;"",'[1]Project Overview'!E427=""),1,0)</f>
        <v>0</v>
      </c>
      <c r="I430" s="217">
        <f>IF(AND($A430&lt;&gt;"",'[1]Project Overview'!G427=""),1,0)</f>
        <v>0</v>
      </c>
      <c r="J430" s="217">
        <f>IF(AND($A430&lt;&gt;"",OR('[1]Project Overview'!J427="ESCO",'[1]Project Overview'!J427="EPC",'[1]Project Overview'!J427="ESCO BUYOUT"),'[1]Project Overview'!L427=""),1,0)</f>
        <v>0</v>
      </c>
      <c r="K430" s="217">
        <f>IF(AND($A430&lt;&gt;"",'[1]Project Overview'!P427=""),1,0)</f>
        <v>0</v>
      </c>
      <c r="L430" s="217">
        <f>IF(AND($A430&lt;&gt;"",'[1]Project Overview'!AA427=""),1,0)</f>
        <v>0</v>
      </c>
      <c r="M430" s="217"/>
      <c r="N430" s="217"/>
      <c r="O430" s="217">
        <f t="shared" si="64"/>
        <v>1</v>
      </c>
      <c r="P430" s="217" t="str">
        <f t="shared" si="63"/>
        <v/>
      </c>
    </row>
    <row r="431" spans="1:16" hidden="1" x14ac:dyDescent="0.3">
      <c r="A431" s="217" t="str">
        <f>""&amp;'[1]Project Overview'!A428</f>
        <v/>
      </c>
      <c r="B431" s="218">
        <f>'[1]Project Overview'!C428</f>
        <v>0</v>
      </c>
      <c r="C431" s="218">
        <f>'[1]Project Overview'!D428</f>
        <v>0</v>
      </c>
      <c r="D431" s="217">
        <f>'[1]Project Overview'!V428</f>
        <v>0</v>
      </c>
      <c r="E431" s="217"/>
      <c r="F431" s="217">
        <f t="shared" si="65"/>
        <v>1</v>
      </c>
      <c r="G431" s="217">
        <f t="shared" si="66"/>
        <v>0</v>
      </c>
      <c r="H431" s="217">
        <f>IF(AND($A431&lt;&gt;"",'[1]Project Overview'!E428=""),1,0)</f>
        <v>0</v>
      </c>
      <c r="I431" s="217">
        <f>IF(AND($A431&lt;&gt;"",'[1]Project Overview'!G428=""),1,0)</f>
        <v>0</v>
      </c>
      <c r="J431" s="217">
        <f>IF(AND($A431&lt;&gt;"",OR('[1]Project Overview'!J428="ESCO",'[1]Project Overview'!J428="EPC",'[1]Project Overview'!J428="ESCO BUYOUT"),'[1]Project Overview'!L428=""),1,0)</f>
        <v>0</v>
      </c>
      <c r="K431" s="217">
        <f>IF(AND($A431&lt;&gt;"",'[1]Project Overview'!P428=""),1,0)</f>
        <v>0</v>
      </c>
      <c r="L431" s="217">
        <f>IF(AND($A431&lt;&gt;"",'[1]Project Overview'!AA428=""),1,0)</f>
        <v>0</v>
      </c>
      <c r="M431" s="217"/>
      <c r="N431" s="217"/>
      <c r="O431" s="217">
        <f t="shared" si="64"/>
        <v>1</v>
      </c>
      <c r="P431" s="217" t="str">
        <f t="shared" si="63"/>
        <v/>
      </c>
    </row>
    <row r="432" spans="1:16" hidden="1" x14ac:dyDescent="0.3">
      <c r="A432" s="217" t="str">
        <f>""&amp;'[1]Project Overview'!A429</f>
        <v/>
      </c>
      <c r="B432" s="218">
        <f>'[1]Project Overview'!C429</f>
        <v>0</v>
      </c>
      <c r="C432" s="218">
        <f>'[1]Project Overview'!D429</f>
        <v>0</v>
      </c>
      <c r="D432" s="217">
        <f>'[1]Project Overview'!V429</f>
        <v>0</v>
      </c>
      <c r="E432" s="217"/>
      <c r="F432" s="217">
        <f t="shared" si="65"/>
        <v>1</v>
      </c>
      <c r="G432" s="217">
        <f t="shared" si="66"/>
        <v>0</v>
      </c>
      <c r="H432" s="217">
        <f>IF(AND($A432&lt;&gt;"",'[1]Project Overview'!E429=""),1,0)</f>
        <v>0</v>
      </c>
      <c r="I432" s="217">
        <f>IF(AND($A432&lt;&gt;"",'[1]Project Overview'!G429=""),1,0)</f>
        <v>0</v>
      </c>
      <c r="J432" s="217">
        <f>IF(AND($A432&lt;&gt;"",OR('[1]Project Overview'!J429="ESCO",'[1]Project Overview'!J429="EPC",'[1]Project Overview'!J429="ESCO BUYOUT"),'[1]Project Overview'!L429=""),1,0)</f>
        <v>0</v>
      </c>
      <c r="K432" s="217">
        <f>IF(AND($A432&lt;&gt;"",'[1]Project Overview'!P429=""),1,0)</f>
        <v>0</v>
      </c>
      <c r="L432" s="217">
        <f>IF(AND($A432&lt;&gt;"",'[1]Project Overview'!AA429=""),1,0)</f>
        <v>0</v>
      </c>
      <c r="M432" s="217"/>
      <c r="N432" s="217"/>
      <c r="O432" s="217">
        <f t="shared" si="64"/>
        <v>1</v>
      </c>
      <c r="P432" s="217" t="str">
        <f t="shared" si="63"/>
        <v/>
      </c>
    </row>
    <row r="433" spans="1:16" hidden="1" x14ac:dyDescent="0.3">
      <c r="A433" s="217" t="str">
        <f>""&amp;'[1]Project Overview'!A430</f>
        <v/>
      </c>
      <c r="B433" s="218">
        <f>'[1]Project Overview'!C430</f>
        <v>0</v>
      </c>
      <c r="C433" s="218">
        <f>'[1]Project Overview'!D430</f>
        <v>0</v>
      </c>
      <c r="D433" s="217">
        <f>'[1]Project Overview'!V430</f>
        <v>0</v>
      </c>
      <c r="E433" s="217"/>
      <c r="F433" s="217">
        <f t="shared" si="65"/>
        <v>1</v>
      </c>
      <c r="G433" s="217">
        <f t="shared" si="66"/>
        <v>0</v>
      </c>
      <c r="H433" s="217">
        <f>IF(AND($A433&lt;&gt;"",'[1]Project Overview'!E430=""),1,0)</f>
        <v>0</v>
      </c>
      <c r="I433" s="217">
        <f>IF(AND($A433&lt;&gt;"",'[1]Project Overview'!G430=""),1,0)</f>
        <v>0</v>
      </c>
      <c r="J433" s="217">
        <f>IF(AND($A433&lt;&gt;"",OR('[1]Project Overview'!J430="ESCO",'[1]Project Overview'!J430="EPC",'[1]Project Overview'!J430="ESCO BUYOUT"),'[1]Project Overview'!L430=""),1,0)</f>
        <v>0</v>
      </c>
      <c r="K433" s="217">
        <f>IF(AND($A433&lt;&gt;"",'[1]Project Overview'!P430=""),1,0)</f>
        <v>0</v>
      </c>
      <c r="L433" s="217">
        <f>IF(AND($A433&lt;&gt;"",'[1]Project Overview'!AA430=""),1,0)</f>
        <v>0</v>
      </c>
      <c r="M433" s="217"/>
      <c r="N433" s="217"/>
      <c r="O433" s="217">
        <f t="shared" si="64"/>
        <v>1</v>
      </c>
      <c r="P433" s="217" t="str">
        <f t="shared" si="63"/>
        <v/>
      </c>
    </row>
    <row r="434" spans="1:16" hidden="1" x14ac:dyDescent="0.3">
      <c r="A434" s="217" t="str">
        <f>""&amp;'[1]Project Overview'!A431</f>
        <v/>
      </c>
      <c r="B434" s="218">
        <f>'[1]Project Overview'!C431</f>
        <v>0</v>
      </c>
      <c r="C434" s="218">
        <f>'[1]Project Overview'!D431</f>
        <v>0</v>
      </c>
      <c r="D434" s="217">
        <f>'[1]Project Overview'!V431</f>
        <v>0</v>
      </c>
      <c r="E434" s="217"/>
      <c r="F434" s="217">
        <f t="shared" si="65"/>
        <v>1</v>
      </c>
      <c r="G434" s="217">
        <f t="shared" si="66"/>
        <v>0</v>
      </c>
      <c r="H434" s="217">
        <f>IF(AND($A434&lt;&gt;"",'[1]Project Overview'!E431=""),1,0)</f>
        <v>0</v>
      </c>
      <c r="I434" s="217">
        <f>IF(AND($A434&lt;&gt;"",'[1]Project Overview'!G431=""),1,0)</f>
        <v>0</v>
      </c>
      <c r="J434" s="217">
        <f>IF(AND($A434&lt;&gt;"",OR('[1]Project Overview'!J431="ESCO",'[1]Project Overview'!J431="EPC",'[1]Project Overview'!J431="ESCO BUYOUT"),'[1]Project Overview'!L431=""),1,0)</f>
        <v>0</v>
      </c>
      <c r="K434" s="217">
        <f>IF(AND($A434&lt;&gt;"",'[1]Project Overview'!P431=""),1,0)</f>
        <v>0</v>
      </c>
      <c r="L434" s="217">
        <f>IF(AND($A434&lt;&gt;"",'[1]Project Overview'!AA431=""),1,0)</f>
        <v>0</v>
      </c>
      <c r="M434" s="217"/>
      <c r="N434" s="217"/>
      <c r="O434" s="217">
        <f t="shared" si="64"/>
        <v>1</v>
      </c>
      <c r="P434" s="217" t="str">
        <f t="shared" si="63"/>
        <v/>
      </c>
    </row>
    <row r="435" spans="1:16" hidden="1" x14ac:dyDescent="0.3">
      <c r="A435" s="217" t="str">
        <f>""&amp;'[1]Project Overview'!A432</f>
        <v/>
      </c>
      <c r="B435" s="218">
        <f>'[1]Project Overview'!C432</f>
        <v>0</v>
      </c>
      <c r="C435" s="218">
        <f>'[1]Project Overview'!D432</f>
        <v>0</v>
      </c>
      <c r="D435" s="217">
        <f>'[1]Project Overview'!V432</f>
        <v>0</v>
      </c>
      <c r="E435" s="217"/>
      <c r="F435" s="217">
        <f t="shared" si="65"/>
        <v>1</v>
      </c>
      <c r="G435" s="217">
        <f t="shared" si="66"/>
        <v>0</v>
      </c>
      <c r="H435" s="217">
        <f>IF(AND($A435&lt;&gt;"",'[1]Project Overview'!E432=""),1,0)</f>
        <v>0</v>
      </c>
      <c r="I435" s="217">
        <f>IF(AND($A435&lt;&gt;"",'[1]Project Overview'!G432=""),1,0)</f>
        <v>0</v>
      </c>
      <c r="J435" s="217">
        <f>IF(AND($A435&lt;&gt;"",OR('[1]Project Overview'!J432="ESCO",'[1]Project Overview'!J432="EPC",'[1]Project Overview'!J432="ESCO BUYOUT"),'[1]Project Overview'!L432=""),1,0)</f>
        <v>0</v>
      </c>
      <c r="K435" s="217">
        <f>IF(AND($A435&lt;&gt;"",'[1]Project Overview'!P432=""),1,0)</f>
        <v>0</v>
      </c>
      <c r="L435" s="217">
        <f>IF(AND($A435&lt;&gt;"",'[1]Project Overview'!AA432=""),1,0)</f>
        <v>0</v>
      </c>
      <c r="M435" s="217"/>
      <c r="N435" s="217"/>
      <c r="O435" s="217">
        <f t="shared" si="64"/>
        <v>1</v>
      </c>
      <c r="P435" s="217" t="str">
        <f t="shared" si="63"/>
        <v/>
      </c>
    </row>
    <row r="436" spans="1:16" hidden="1" x14ac:dyDescent="0.3">
      <c r="A436" s="217" t="str">
        <f>""&amp;'[1]Project Overview'!A433</f>
        <v/>
      </c>
      <c r="B436" s="218">
        <f>'[1]Project Overview'!C433</f>
        <v>0</v>
      </c>
      <c r="C436" s="218">
        <f>'[1]Project Overview'!D433</f>
        <v>0</v>
      </c>
      <c r="D436" s="217">
        <f>'[1]Project Overview'!V433</f>
        <v>0</v>
      </c>
      <c r="E436" s="217"/>
      <c r="F436" s="217">
        <f t="shared" si="65"/>
        <v>1</v>
      </c>
      <c r="G436" s="217">
        <f t="shared" si="66"/>
        <v>0</v>
      </c>
      <c r="H436" s="217">
        <f>IF(AND($A436&lt;&gt;"",'[1]Project Overview'!E433=""),1,0)</f>
        <v>0</v>
      </c>
      <c r="I436" s="217">
        <f>IF(AND($A436&lt;&gt;"",'[1]Project Overview'!G433=""),1,0)</f>
        <v>0</v>
      </c>
      <c r="J436" s="217">
        <f>IF(AND($A436&lt;&gt;"",OR('[1]Project Overview'!J433="ESCO",'[1]Project Overview'!J433="EPC",'[1]Project Overview'!J433="ESCO BUYOUT"),'[1]Project Overview'!L433=""),1,0)</f>
        <v>0</v>
      </c>
      <c r="K436" s="217">
        <f>IF(AND($A436&lt;&gt;"",'[1]Project Overview'!P433=""),1,0)</f>
        <v>0</v>
      </c>
      <c r="L436" s="217">
        <f>IF(AND($A436&lt;&gt;"",'[1]Project Overview'!AA433=""),1,0)</f>
        <v>0</v>
      </c>
      <c r="M436" s="217"/>
      <c r="N436" s="217"/>
      <c r="O436" s="217">
        <f t="shared" si="64"/>
        <v>1</v>
      </c>
      <c r="P436" s="217" t="str">
        <f t="shared" si="63"/>
        <v/>
      </c>
    </row>
    <row r="437" spans="1:16" hidden="1" x14ac:dyDescent="0.3">
      <c r="A437" s="217" t="str">
        <f>""&amp;'[1]Project Overview'!A434</f>
        <v/>
      </c>
      <c r="B437" s="218">
        <f>'[1]Project Overview'!C434</f>
        <v>0</v>
      </c>
      <c r="C437" s="218">
        <f>'[1]Project Overview'!D434</f>
        <v>0</v>
      </c>
      <c r="D437" s="217">
        <f>'[1]Project Overview'!V434</f>
        <v>0</v>
      </c>
      <c r="E437" s="217"/>
      <c r="F437" s="217">
        <f t="shared" si="65"/>
        <v>1</v>
      </c>
      <c r="G437" s="217">
        <f t="shared" si="66"/>
        <v>0</v>
      </c>
      <c r="H437" s="217">
        <f>IF(AND($A437&lt;&gt;"",'[1]Project Overview'!E434=""),1,0)</f>
        <v>0</v>
      </c>
      <c r="I437" s="217">
        <f>IF(AND($A437&lt;&gt;"",'[1]Project Overview'!G434=""),1,0)</f>
        <v>0</v>
      </c>
      <c r="J437" s="217">
        <f>IF(AND($A437&lt;&gt;"",OR('[1]Project Overview'!J434="ESCO",'[1]Project Overview'!J434="EPC",'[1]Project Overview'!J434="ESCO BUYOUT"),'[1]Project Overview'!L434=""),1,0)</f>
        <v>0</v>
      </c>
      <c r="K437" s="217">
        <f>IF(AND($A437&lt;&gt;"",'[1]Project Overview'!P434=""),1,0)</f>
        <v>0</v>
      </c>
      <c r="L437" s="217">
        <f>IF(AND($A437&lt;&gt;"",'[1]Project Overview'!AA434=""),1,0)</f>
        <v>0</v>
      </c>
      <c r="M437" s="217"/>
      <c r="N437" s="217"/>
      <c r="O437" s="217">
        <f t="shared" si="64"/>
        <v>1</v>
      </c>
      <c r="P437" s="217" t="str">
        <f t="shared" si="63"/>
        <v/>
      </c>
    </row>
    <row r="438" spans="1:16" hidden="1" x14ac:dyDescent="0.3">
      <c r="A438" s="217" t="str">
        <f>""&amp;'[1]Project Overview'!A435</f>
        <v/>
      </c>
      <c r="B438" s="218">
        <f>'[1]Project Overview'!C435</f>
        <v>0</v>
      </c>
      <c r="C438" s="218">
        <f>'[1]Project Overview'!D435</f>
        <v>0</v>
      </c>
      <c r="D438" s="217">
        <f>'[1]Project Overview'!V435</f>
        <v>0</v>
      </c>
      <c r="E438" s="217"/>
      <c r="F438" s="217">
        <f t="shared" si="65"/>
        <v>1</v>
      </c>
      <c r="G438" s="217">
        <f t="shared" si="66"/>
        <v>0</v>
      </c>
      <c r="H438" s="217">
        <f>IF(AND($A438&lt;&gt;"",'[1]Project Overview'!E435=""),1,0)</f>
        <v>0</v>
      </c>
      <c r="I438" s="217">
        <f>IF(AND($A438&lt;&gt;"",'[1]Project Overview'!G435=""),1,0)</f>
        <v>0</v>
      </c>
      <c r="J438" s="217">
        <f>IF(AND($A438&lt;&gt;"",OR('[1]Project Overview'!J435="ESCO",'[1]Project Overview'!J435="EPC",'[1]Project Overview'!J435="ESCO BUYOUT"),'[1]Project Overview'!L435=""),1,0)</f>
        <v>0</v>
      </c>
      <c r="K438" s="217">
        <f>IF(AND($A438&lt;&gt;"",'[1]Project Overview'!P435=""),1,0)</f>
        <v>0</v>
      </c>
      <c r="L438" s="217">
        <f>IF(AND($A438&lt;&gt;"",'[1]Project Overview'!AA435=""),1,0)</f>
        <v>0</v>
      </c>
      <c r="M438" s="217"/>
      <c r="N438" s="217"/>
      <c r="O438" s="217">
        <f t="shared" si="64"/>
        <v>1</v>
      </c>
      <c r="P438" s="217" t="str">
        <f t="shared" si="63"/>
        <v/>
      </c>
    </row>
    <row r="439" spans="1:16" hidden="1" x14ac:dyDescent="0.3">
      <c r="A439" s="217" t="str">
        <f>""&amp;'[1]Project Overview'!A436</f>
        <v/>
      </c>
      <c r="B439" s="218">
        <f>'[1]Project Overview'!C436</f>
        <v>0</v>
      </c>
      <c r="C439" s="218">
        <f>'[1]Project Overview'!D436</f>
        <v>0</v>
      </c>
      <c r="D439" s="217">
        <f>'[1]Project Overview'!V436</f>
        <v>0</v>
      </c>
      <c r="E439" s="217"/>
      <c r="F439" s="217">
        <f t="shared" si="65"/>
        <v>1</v>
      </c>
      <c r="G439" s="217">
        <f t="shared" si="66"/>
        <v>0</v>
      </c>
      <c r="H439" s="217">
        <f>IF(AND($A439&lt;&gt;"",'[1]Project Overview'!E436=""),1,0)</f>
        <v>0</v>
      </c>
      <c r="I439" s="217">
        <f>IF(AND($A439&lt;&gt;"",'[1]Project Overview'!G436=""),1,0)</f>
        <v>0</v>
      </c>
      <c r="J439" s="217">
        <f>IF(AND($A439&lt;&gt;"",OR('[1]Project Overview'!J436="ESCO",'[1]Project Overview'!J436="EPC",'[1]Project Overview'!J436="ESCO BUYOUT"),'[1]Project Overview'!L436=""),1,0)</f>
        <v>0</v>
      </c>
      <c r="K439" s="217">
        <f>IF(AND($A439&lt;&gt;"",'[1]Project Overview'!P436=""),1,0)</f>
        <v>0</v>
      </c>
      <c r="L439" s="217">
        <f>IF(AND($A439&lt;&gt;"",'[1]Project Overview'!AA436=""),1,0)</f>
        <v>0</v>
      </c>
      <c r="M439" s="217"/>
      <c r="N439" s="217"/>
      <c r="O439" s="217">
        <f t="shared" si="64"/>
        <v>1</v>
      </c>
      <c r="P439" s="217" t="str">
        <f t="shared" si="63"/>
        <v/>
      </c>
    </row>
    <row r="440" spans="1:16" hidden="1" x14ac:dyDescent="0.3">
      <c r="A440" s="217" t="str">
        <f>""&amp;'[1]Project Overview'!A437</f>
        <v/>
      </c>
      <c r="B440" s="218">
        <f>'[1]Project Overview'!C437</f>
        <v>0</v>
      </c>
      <c r="C440" s="218">
        <f>'[1]Project Overview'!D437</f>
        <v>0</v>
      </c>
      <c r="D440" s="217">
        <f>'[1]Project Overview'!V437</f>
        <v>0</v>
      </c>
      <c r="E440" s="217"/>
      <c r="F440" s="217">
        <f t="shared" si="65"/>
        <v>1</v>
      </c>
      <c r="G440" s="217">
        <f t="shared" si="66"/>
        <v>0</v>
      </c>
      <c r="H440" s="217">
        <f>IF(AND($A440&lt;&gt;"",'[1]Project Overview'!E437=""),1,0)</f>
        <v>0</v>
      </c>
      <c r="I440" s="217">
        <f>IF(AND($A440&lt;&gt;"",'[1]Project Overview'!G437=""),1,0)</f>
        <v>0</v>
      </c>
      <c r="J440" s="217">
        <f>IF(AND($A440&lt;&gt;"",OR('[1]Project Overview'!J437="ESCO",'[1]Project Overview'!J437="EPC",'[1]Project Overview'!J437="ESCO BUYOUT"),'[1]Project Overview'!L437=""),1,0)</f>
        <v>0</v>
      </c>
      <c r="K440" s="217">
        <f>IF(AND($A440&lt;&gt;"",'[1]Project Overview'!P437=""),1,0)</f>
        <v>0</v>
      </c>
      <c r="L440" s="217">
        <f>IF(AND($A440&lt;&gt;"",'[1]Project Overview'!AA437=""),1,0)</f>
        <v>0</v>
      </c>
      <c r="M440" s="217"/>
      <c r="N440" s="217"/>
      <c r="O440" s="217">
        <f t="shared" si="64"/>
        <v>1</v>
      </c>
      <c r="P440" s="217" t="str">
        <f t="shared" si="63"/>
        <v/>
      </c>
    </row>
    <row r="441" spans="1:16" hidden="1" x14ac:dyDescent="0.3">
      <c r="A441" s="217" t="str">
        <f>""&amp;'[1]Project Overview'!A438</f>
        <v/>
      </c>
      <c r="B441" s="218">
        <f>'[1]Project Overview'!C438</f>
        <v>0</v>
      </c>
      <c r="C441" s="218">
        <f>'[1]Project Overview'!D438</f>
        <v>0</v>
      </c>
      <c r="D441" s="217">
        <f>'[1]Project Overview'!V438</f>
        <v>0</v>
      </c>
      <c r="E441" s="217"/>
      <c r="F441" s="217">
        <f t="shared" si="65"/>
        <v>1</v>
      </c>
      <c r="G441" s="217">
        <f t="shared" si="66"/>
        <v>0</v>
      </c>
      <c r="H441" s="217">
        <f>IF(AND($A441&lt;&gt;"",'[1]Project Overview'!E438=""),1,0)</f>
        <v>0</v>
      </c>
      <c r="I441" s="217">
        <f>IF(AND($A441&lt;&gt;"",'[1]Project Overview'!G438=""),1,0)</f>
        <v>0</v>
      </c>
      <c r="J441" s="217">
        <f>IF(AND($A441&lt;&gt;"",OR('[1]Project Overview'!J438="ESCO",'[1]Project Overview'!J438="EPC",'[1]Project Overview'!J438="ESCO BUYOUT"),'[1]Project Overview'!L438=""),1,0)</f>
        <v>0</v>
      </c>
      <c r="K441" s="217">
        <f>IF(AND($A441&lt;&gt;"",'[1]Project Overview'!P438=""),1,0)</f>
        <v>0</v>
      </c>
      <c r="L441" s="217">
        <f>IF(AND($A441&lt;&gt;"",'[1]Project Overview'!AA438=""),1,0)</f>
        <v>0</v>
      </c>
      <c r="M441" s="217"/>
      <c r="N441" s="217"/>
      <c r="O441" s="217">
        <f t="shared" si="64"/>
        <v>1</v>
      </c>
      <c r="P441" s="217" t="str">
        <f t="shared" si="63"/>
        <v/>
      </c>
    </row>
    <row r="442" spans="1:16" hidden="1" x14ac:dyDescent="0.3">
      <c r="A442" s="217" t="str">
        <f>""&amp;'[1]Project Overview'!A439</f>
        <v/>
      </c>
      <c r="B442" s="218">
        <f>'[1]Project Overview'!C439</f>
        <v>0</v>
      </c>
      <c r="C442" s="218">
        <f>'[1]Project Overview'!D439</f>
        <v>0</v>
      </c>
      <c r="D442" s="217">
        <f>'[1]Project Overview'!V439</f>
        <v>0</v>
      </c>
      <c r="E442" s="217"/>
      <c r="F442" s="217">
        <f t="shared" si="65"/>
        <v>1</v>
      </c>
      <c r="G442" s="217">
        <f t="shared" si="66"/>
        <v>0</v>
      </c>
      <c r="H442" s="217">
        <f>IF(AND($A442&lt;&gt;"",'[1]Project Overview'!E439=""),1,0)</f>
        <v>0</v>
      </c>
      <c r="I442" s="217">
        <f>IF(AND($A442&lt;&gt;"",'[1]Project Overview'!G439=""),1,0)</f>
        <v>0</v>
      </c>
      <c r="J442" s="217">
        <f>IF(AND($A442&lt;&gt;"",OR('[1]Project Overview'!J439="ESCO",'[1]Project Overview'!J439="EPC",'[1]Project Overview'!J439="ESCO BUYOUT"),'[1]Project Overview'!L439=""),1,0)</f>
        <v>0</v>
      </c>
      <c r="K442" s="217">
        <f>IF(AND($A442&lt;&gt;"",'[1]Project Overview'!P439=""),1,0)</f>
        <v>0</v>
      </c>
      <c r="L442" s="217">
        <f>IF(AND($A442&lt;&gt;"",'[1]Project Overview'!AA439=""),1,0)</f>
        <v>0</v>
      </c>
      <c r="M442" s="217"/>
      <c r="N442" s="217"/>
      <c r="O442" s="217">
        <f t="shared" si="64"/>
        <v>1</v>
      </c>
      <c r="P442" s="217" t="str">
        <f t="shared" si="63"/>
        <v/>
      </c>
    </row>
    <row r="443" spans="1:16" hidden="1" x14ac:dyDescent="0.3">
      <c r="A443" s="217" t="str">
        <f>""&amp;'[1]Project Overview'!A440</f>
        <v/>
      </c>
      <c r="B443" s="218">
        <f>'[1]Project Overview'!C440</f>
        <v>0</v>
      </c>
      <c r="C443" s="218">
        <f>'[1]Project Overview'!D440</f>
        <v>0</v>
      </c>
      <c r="D443" s="217">
        <f>'[1]Project Overview'!V440</f>
        <v>0</v>
      </c>
      <c r="E443" s="217"/>
      <c r="F443" s="217">
        <f t="shared" si="65"/>
        <v>1</v>
      </c>
      <c r="G443" s="217">
        <f t="shared" si="66"/>
        <v>0</v>
      </c>
      <c r="H443" s="217">
        <f>IF(AND($A443&lt;&gt;"",'[1]Project Overview'!E440=""),1,0)</f>
        <v>0</v>
      </c>
      <c r="I443" s="217">
        <f>IF(AND($A443&lt;&gt;"",'[1]Project Overview'!G440=""),1,0)</f>
        <v>0</v>
      </c>
      <c r="J443" s="217">
        <f>IF(AND($A443&lt;&gt;"",OR('[1]Project Overview'!J440="ESCO",'[1]Project Overview'!J440="EPC",'[1]Project Overview'!J440="ESCO BUYOUT"),'[1]Project Overview'!L440=""),1,0)</f>
        <v>0</v>
      </c>
      <c r="K443" s="217">
        <f>IF(AND($A443&lt;&gt;"",'[1]Project Overview'!P440=""),1,0)</f>
        <v>0</v>
      </c>
      <c r="L443" s="217">
        <f>IF(AND($A443&lt;&gt;"",'[1]Project Overview'!AA440=""),1,0)</f>
        <v>0</v>
      </c>
      <c r="M443" s="217"/>
      <c r="N443" s="217"/>
      <c r="O443" s="217">
        <f t="shared" si="64"/>
        <v>1</v>
      </c>
      <c r="P443" s="217" t="str">
        <f t="shared" si="63"/>
        <v/>
      </c>
    </row>
    <row r="444" spans="1:16" hidden="1" x14ac:dyDescent="0.3">
      <c r="A444" s="217" t="str">
        <f>""&amp;'[1]Project Overview'!A441</f>
        <v/>
      </c>
      <c r="B444" s="218">
        <f>'[1]Project Overview'!C441</f>
        <v>0</v>
      </c>
      <c r="C444" s="218">
        <f>'[1]Project Overview'!D441</f>
        <v>0</v>
      </c>
      <c r="D444" s="217">
        <f>'[1]Project Overview'!V441</f>
        <v>0</v>
      </c>
      <c r="E444" s="217"/>
      <c r="F444" s="217">
        <f t="shared" si="65"/>
        <v>1</v>
      </c>
      <c r="G444" s="217">
        <f t="shared" si="66"/>
        <v>0</v>
      </c>
      <c r="H444" s="217">
        <f>IF(AND($A444&lt;&gt;"",'[1]Project Overview'!E441=""),1,0)</f>
        <v>0</v>
      </c>
      <c r="I444" s="217">
        <f>IF(AND($A444&lt;&gt;"",'[1]Project Overview'!G441=""),1,0)</f>
        <v>0</v>
      </c>
      <c r="J444" s="217">
        <f>IF(AND($A444&lt;&gt;"",OR('[1]Project Overview'!J441="ESCO",'[1]Project Overview'!J441="EPC",'[1]Project Overview'!J441="ESCO BUYOUT"),'[1]Project Overview'!L441=""),1,0)</f>
        <v>0</v>
      </c>
      <c r="K444" s="217">
        <f>IF(AND($A444&lt;&gt;"",'[1]Project Overview'!P441=""),1,0)</f>
        <v>0</v>
      </c>
      <c r="L444" s="217">
        <f>IF(AND($A444&lt;&gt;"",'[1]Project Overview'!AA441=""),1,0)</f>
        <v>0</v>
      </c>
      <c r="M444" s="217"/>
      <c r="N444" s="217"/>
      <c r="O444" s="217">
        <f t="shared" si="64"/>
        <v>1</v>
      </c>
      <c r="P444" s="217" t="str">
        <f t="shared" si="63"/>
        <v/>
      </c>
    </row>
    <row r="445" spans="1:16" hidden="1" x14ac:dyDescent="0.3">
      <c r="A445" s="217" t="str">
        <f>""&amp;'[1]Project Overview'!A442</f>
        <v/>
      </c>
      <c r="B445" s="218">
        <f>'[1]Project Overview'!C442</f>
        <v>0</v>
      </c>
      <c r="C445" s="218">
        <f>'[1]Project Overview'!D442</f>
        <v>0</v>
      </c>
      <c r="D445" s="217">
        <f>'[1]Project Overview'!V442</f>
        <v>0</v>
      </c>
      <c r="E445" s="217"/>
      <c r="F445" s="217">
        <f t="shared" si="65"/>
        <v>1</v>
      </c>
      <c r="G445" s="217">
        <f t="shared" si="66"/>
        <v>0</v>
      </c>
      <c r="H445" s="217">
        <f>IF(AND($A445&lt;&gt;"",'[1]Project Overview'!E442=""),1,0)</f>
        <v>0</v>
      </c>
      <c r="I445" s="217">
        <f>IF(AND($A445&lt;&gt;"",'[1]Project Overview'!G442=""),1,0)</f>
        <v>0</v>
      </c>
      <c r="J445" s="217">
        <f>IF(AND($A445&lt;&gt;"",OR('[1]Project Overview'!J442="ESCO",'[1]Project Overview'!J442="EPC",'[1]Project Overview'!J442="ESCO BUYOUT"),'[1]Project Overview'!L442=""),1,0)</f>
        <v>0</v>
      </c>
      <c r="K445" s="217">
        <f>IF(AND($A445&lt;&gt;"",'[1]Project Overview'!P442=""),1,0)</f>
        <v>0</v>
      </c>
      <c r="L445" s="217">
        <f>IF(AND($A445&lt;&gt;"",'[1]Project Overview'!AA442=""),1,0)</f>
        <v>0</v>
      </c>
      <c r="M445" s="217"/>
      <c r="N445" s="217"/>
      <c r="O445" s="217">
        <f t="shared" si="64"/>
        <v>1</v>
      </c>
      <c r="P445" s="217" t="str">
        <f t="shared" si="63"/>
        <v/>
      </c>
    </row>
    <row r="446" spans="1:16" hidden="1" x14ac:dyDescent="0.3">
      <c r="A446" s="217" t="str">
        <f>""&amp;'[1]Project Overview'!A443</f>
        <v/>
      </c>
      <c r="B446" s="218">
        <f>'[1]Project Overview'!C443</f>
        <v>0</v>
      </c>
      <c r="C446" s="218">
        <f>'[1]Project Overview'!D443</f>
        <v>0</v>
      </c>
      <c r="D446" s="217">
        <f>'[1]Project Overview'!V443</f>
        <v>0</v>
      </c>
      <c r="E446" s="217"/>
      <c r="F446" s="217">
        <f t="shared" si="65"/>
        <v>1</v>
      </c>
      <c r="G446" s="217">
        <f t="shared" si="66"/>
        <v>0</v>
      </c>
      <c r="H446" s="217">
        <f>IF(AND($A446&lt;&gt;"",'[1]Project Overview'!E443=""),1,0)</f>
        <v>0</v>
      </c>
      <c r="I446" s="217">
        <f>IF(AND($A446&lt;&gt;"",'[1]Project Overview'!G443=""),1,0)</f>
        <v>0</v>
      </c>
      <c r="J446" s="217">
        <f>IF(AND($A446&lt;&gt;"",OR('[1]Project Overview'!J443="ESCO",'[1]Project Overview'!J443="EPC",'[1]Project Overview'!J443="ESCO BUYOUT"),'[1]Project Overview'!L443=""),1,0)</f>
        <v>0</v>
      </c>
      <c r="K446" s="217">
        <f>IF(AND($A446&lt;&gt;"",'[1]Project Overview'!P443=""),1,0)</f>
        <v>0</v>
      </c>
      <c r="L446" s="217">
        <f>IF(AND($A446&lt;&gt;"",'[1]Project Overview'!AA443=""),1,0)</f>
        <v>0</v>
      </c>
      <c r="M446" s="217"/>
      <c r="N446" s="217"/>
      <c r="O446" s="217">
        <f t="shared" si="64"/>
        <v>1</v>
      </c>
      <c r="P446" s="217" t="str">
        <f t="shared" si="63"/>
        <v/>
      </c>
    </row>
    <row r="447" spans="1:16" hidden="1" x14ac:dyDescent="0.3">
      <c r="A447" s="217" t="str">
        <f>""&amp;'[1]Project Overview'!A444</f>
        <v/>
      </c>
      <c r="B447" s="218">
        <f>'[1]Project Overview'!C444</f>
        <v>0</v>
      </c>
      <c r="C447" s="218">
        <f>'[1]Project Overview'!D444</f>
        <v>0</v>
      </c>
      <c r="D447" s="217">
        <f>'[1]Project Overview'!V444</f>
        <v>0</v>
      </c>
      <c r="E447" s="217"/>
      <c r="F447" s="217">
        <f t="shared" si="65"/>
        <v>1</v>
      </c>
      <c r="G447" s="217">
        <f t="shared" si="66"/>
        <v>0</v>
      </c>
      <c r="H447" s="217">
        <f>IF(AND($A447&lt;&gt;"",'[1]Project Overview'!E444=""),1,0)</f>
        <v>0</v>
      </c>
      <c r="I447" s="217">
        <f>IF(AND($A447&lt;&gt;"",'[1]Project Overview'!G444=""),1,0)</f>
        <v>0</v>
      </c>
      <c r="J447" s="217">
        <f>IF(AND($A447&lt;&gt;"",OR('[1]Project Overview'!J444="ESCO",'[1]Project Overview'!J444="EPC",'[1]Project Overview'!J444="ESCO BUYOUT"),'[1]Project Overview'!L444=""),1,0)</f>
        <v>0</v>
      </c>
      <c r="K447" s="217">
        <f>IF(AND($A447&lt;&gt;"",'[1]Project Overview'!P444=""),1,0)</f>
        <v>0</v>
      </c>
      <c r="L447" s="217">
        <f>IF(AND($A447&lt;&gt;"",'[1]Project Overview'!AA444=""),1,0)</f>
        <v>0</v>
      </c>
      <c r="M447" s="217"/>
      <c r="N447" s="217"/>
      <c r="O447" s="217">
        <f t="shared" si="64"/>
        <v>1</v>
      </c>
      <c r="P447" s="217" t="str">
        <f t="shared" si="63"/>
        <v/>
      </c>
    </row>
    <row r="448" spans="1:16" hidden="1" x14ac:dyDescent="0.3">
      <c r="A448" s="217" t="str">
        <f>""&amp;'[1]Project Overview'!A445</f>
        <v/>
      </c>
      <c r="B448" s="218">
        <f>'[1]Project Overview'!C445</f>
        <v>0</v>
      </c>
      <c r="C448" s="218">
        <f>'[1]Project Overview'!D445</f>
        <v>0</v>
      </c>
      <c r="D448" s="217">
        <f>'[1]Project Overview'!V445</f>
        <v>0</v>
      </c>
      <c r="E448" s="217"/>
      <c r="F448" s="217">
        <f t="shared" si="65"/>
        <v>1</v>
      </c>
      <c r="G448" s="217">
        <f t="shared" si="66"/>
        <v>0</v>
      </c>
      <c r="H448" s="217">
        <f>IF(AND($A448&lt;&gt;"",'[1]Project Overview'!E445=""),1,0)</f>
        <v>0</v>
      </c>
      <c r="I448" s="217">
        <f>IF(AND($A448&lt;&gt;"",'[1]Project Overview'!G445=""),1,0)</f>
        <v>0</v>
      </c>
      <c r="J448" s="217">
        <f>IF(AND($A448&lt;&gt;"",OR('[1]Project Overview'!J445="ESCO",'[1]Project Overview'!J445="EPC",'[1]Project Overview'!J445="ESCO BUYOUT"),'[1]Project Overview'!L445=""),1,0)</f>
        <v>0</v>
      </c>
      <c r="K448" s="217">
        <f>IF(AND($A448&lt;&gt;"",'[1]Project Overview'!P445=""),1,0)</f>
        <v>0</v>
      </c>
      <c r="L448" s="217">
        <f>IF(AND($A448&lt;&gt;"",'[1]Project Overview'!AA445=""),1,0)</f>
        <v>0</v>
      </c>
      <c r="M448" s="217"/>
      <c r="N448" s="217"/>
      <c r="O448" s="217">
        <f t="shared" si="64"/>
        <v>1</v>
      </c>
      <c r="P448" s="217" t="str">
        <f t="shared" si="63"/>
        <v/>
      </c>
    </row>
    <row r="449" spans="1:16" hidden="1" x14ac:dyDescent="0.3">
      <c r="A449" s="217" t="str">
        <f>""&amp;'[1]Project Overview'!A446</f>
        <v/>
      </c>
      <c r="B449" s="218">
        <f>'[1]Project Overview'!C446</f>
        <v>0</v>
      </c>
      <c r="C449" s="218">
        <f>'[1]Project Overview'!D446</f>
        <v>0</v>
      </c>
      <c r="D449" s="217">
        <f>'[1]Project Overview'!V446</f>
        <v>0</v>
      </c>
      <c r="E449" s="217"/>
      <c r="F449" s="217">
        <f t="shared" si="65"/>
        <v>1</v>
      </c>
      <c r="G449" s="217">
        <f t="shared" si="66"/>
        <v>0</v>
      </c>
      <c r="H449" s="217">
        <f>IF(AND($A449&lt;&gt;"",'[1]Project Overview'!E446=""),1,0)</f>
        <v>0</v>
      </c>
      <c r="I449" s="217">
        <f>IF(AND($A449&lt;&gt;"",'[1]Project Overview'!G446=""),1,0)</f>
        <v>0</v>
      </c>
      <c r="J449" s="217">
        <f>IF(AND($A449&lt;&gt;"",OR('[1]Project Overview'!J446="ESCO",'[1]Project Overview'!J446="EPC",'[1]Project Overview'!J446="ESCO BUYOUT"),'[1]Project Overview'!L446=""),1,0)</f>
        <v>0</v>
      </c>
      <c r="K449" s="217">
        <f>IF(AND($A449&lt;&gt;"",'[1]Project Overview'!P446=""),1,0)</f>
        <v>0</v>
      </c>
      <c r="L449" s="217">
        <f>IF(AND($A449&lt;&gt;"",'[1]Project Overview'!AA446=""),1,0)</f>
        <v>0</v>
      </c>
      <c r="M449" s="217"/>
      <c r="N449" s="217"/>
      <c r="O449" s="217">
        <f t="shared" si="64"/>
        <v>1</v>
      </c>
      <c r="P449" s="217" t="str">
        <f t="shared" si="63"/>
        <v/>
      </c>
    </row>
    <row r="450" spans="1:16" hidden="1" x14ac:dyDescent="0.3">
      <c r="A450" s="217" t="str">
        <f>""&amp;'[1]Project Overview'!A447</f>
        <v/>
      </c>
      <c r="B450" s="218">
        <f>'[1]Project Overview'!C447</f>
        <v>0</v>
      </c>
      <c r="C450" s="218">
        <f>'[1]Project Overview'!D447</f>
        <v>0</v>
      </c>
      <c r="D450" s="217">
        <f>'[1]Project Overview'!V447</f>
        <v>0</v>
      </c>
      <c r="E450" s="217"/>
      <c r="F450" s="217">
        <f t="shared" si="65"/>
        <v>1</v>
      </c>
      <c r="G450" s="217">
        <f t="shared" si="66"/>
        <v>0</v>
      </c>
      <c r="H450" s="217">
        <f>IF(AND($A450&lt;&gt;"",'[1]Project Overview'!E447=""),1,0)</f>
        <v>0</v>
      </c>
      <c r="I450" s="217">
        <f>IF(AND($A450&lt;&gt;"",'[1]Project Overview'!G447=""),1,0)</f>
        <v>0</v>
      </c>
      <c r="J450" s="217">
        <f>IF(AND($A450&lt;&gt;"",OR('[1]Project Overview'!J447="ESCO",'[1]Project Overview'!J447="EPC",'[1]Project Overview'!J447="ESCO BUYOUT"),'[1]Project Overview'!L447=""),1,0)</f>
        <v>0</v>
      </c>
      <c r="K450" s="217">
        <f>IF(AND($A450&lt;&gt;"",'[1]Project Overview'!P447=""),1,0)</f>
        <v>0</v>
      </c>
      <c r="L450" s="217">
        <f>IF(AND($A450&lt;&gt;"",'[1]Project Overview'!AA447=""),1,0)</f>
        <v>0</v>
      </c>
      <c r="M450" s="217"/>
      <c r="N450" s="217"/>
      <c r="O450" s="217">
        <f t="shared" si="64"/>
        <v>1</v>
      </c>
      <c r="P450" s="217" t="str">
        <f t="shared" si="63"/>
        <v/>
      </c>
    </row>
    <row r="451" spans="1:16" hidden="1" x14ac:dyDescent="0.3">
      <c r="A451" s="217" t="str">
        <f>""&amp;'[1]Project Overview'!A448</f>
        <v/>
      </c>
      <c r="B451" s="218">
        <f>'[1]Project Overview'!C448</f>
        <v>0</v>
      </c>
      <c r="C451" s="218">
        <f>'[1]Project Overview'!D448</f>
        <v>0</v>
      </c>
      <c r="D451" s="217">
        <f>'[1]Project Overview'!V448</f>
        <v>0</v>
      </c>
      <c r="E451" s="217"/>
      <c r="F451" s="217">
        <f t="shared" si="65"/>
        <v>1</v>
      </c>
      <c r="G451" s="217">
        <f t="shared" si="66"/>
        <v>0</v>
      </c>
      <c r="H451" s="217">
        <f>IF(AND($A451&lt;&gt;"",'[1]Project Overview'!E448=""),1,0)</f>
        <v>0</v>
      </c>
      <c r="I451" s="217">
        <f>IF(AND($A451&lt;&gt;"",'[1]Project Overview'!G448=""),1,0)</f>
        <v>0</v>
      </c>
      <c r="J451" s="217">
        <f>IF(AND($A451&lt;&gt;"",OR('[1]Project Overview'!J448="ESCO",'[1]Project Overview'!J448="EPC",'[1]Project Overview'!J448="ESCO BUYOUT"),'[1]Project Overview'!L448=""),1,0)</f>
        <v>0</v>
      </c>
      <c r="K451" s="217">
        <f>IF(AND($A451&lt;&gt;"",'[1]Project Overview'!P448=""),1,0)</f>
        <v>0</v>
      </c>
      <c r="L451" s="217">
        <f>IF(AND($A451&lt;&gt;"",'[1]Project Overview'!AA448=""),1,0)</f>
        <v>0</v>
      </c>
      <c r="M451" s="217"/>
      <c r="N451" s="217"/>
      <c r="O451" s="217">
        <f t="shared" si="64"/>
        <v>1</v>
      </c>
      <c r="P451" s="217" t="str">
        <f t="shared" si="63"/>
        <v/>
      </c>
    </row>
    <row r="452" spans="1:16" hidden="1" x14ac:dyDescent="0.3">
      <c r="A452" s="217" t="str">
        <f>""&amp;'[1]Project Overview'!A449</f>
        <v/>
      </c>
      <c r="B452" s="218">
        <f>'[1]Project Overview'!C449</f>
        <v>0</v>
      </c>
      <c r="C452" s="218">
        <f>'[1]Project Overview'!D449</f>
        <v>0</v>
      </c>
      <c r="D452" s="217">
        <f>'[1]Project Overview'!V449</f>
        <v>0</v>
      </c>
      <c r="E452" s="217"/>
      <c r="F452" s="217">
        <f t="shared" si="65"/>
        <v>1</v>
      </c>
      <c r="G452" s="217">
        <f t="shared" si="66"/>
        <v>0</v>
      </c>
      <c r="H452" s="217">
        <f>IF(AND($A452&lt;&gt;"",'[1]Project Overview'!E449=""),1,0)</f>
        <v>0</v>
      </c>
      <c r="I452" s="217">
        <f>IF(AND($A452&lt;&gt;"",'[1]Project Overview'!G449=""),1,0)</f>
        <v>0</v>
      </c>
      <c r="J452" s="217">
        <f>IF(AND($A452&lt;&gt;"",OR('[1]Project Overview'!J449="ESCO",'[1]Project Overview'!J449="EPC",'[1]Project Overview'!J449="ESCO BUYOUT"),'[1]Project Overview'!L449=""),1,0)</f>
        <v>0</v>
      </c>
      <c r="K452" s="217">
        <f>IF(AND($A452&lt;&gt;"",'[1]Project Overview'!P449=""),1,0)</f>
        <v>0</v>
      </c>
      <c r="L452" s="217">
        <f>IF(AND($A452&lt;&gt;"",'[1]Project Overview'!AA449=""),1,0)</f>
        <v>0</v>
      </c>
      <c r="M452" s="217"/>
      <c r="N452" s="217"/>
      <c r="O452" s="217">
        <f t="shared" si="64"/>
        <v>1</v>
      </c>
      <c r="P452" s="217" t="str">
        <f t="shared" si="63"/>
        <v/>
      </c>
    </row>
    <row r="453" spans="1:16" hidden="1" x14ac:dyDescent="0.3">
      <c r="A453" s="217" t="str">
        <f>""&amp;'[1]Project Overview'!A450</f>
        <v/>
      </c>
      <c r="B453" s="218">
        <f>'[1]Project Overview'!C450</f>
        <v>0</v>
      </c>
      <c r="C453" s="218">
        <f>'[1]Project Overview'!D450</f>
        <v>0</v>
      </c>
      <c r="D453" s="217">
        <f>'[1]Project Overview'!V450</f>
        <v>0</v>
      </c>
      <c r="E453" s="217"/>
      <c r="F453" s="217">
        <f t="shared" si="65"/>
        <v>1</v>
      </c>
      <c r="G453" s="217">
        <f t="shared" si="66"/>
        <v>0</v>
      </c>
      <c r="H453" s="217">
        <f>IF(AND($A453&lt;&gt;"",'[1]Project Overview'!E450=""),1,0)</f>
        <v>0</v>
      </c>
      <c r="I453" s="217">
        <f>IF(AND($A453&lt;&gt;"",'[1]Project Overview'!G450=""),1,0)</f>
        <v>0</v>
      </c>
      <c r="J453" s="217">
        <f>IF(AND($A453&lt;&gt;"",OR('[1]Project Overview'!J450="ESCO",'[1]Project Overview'!J450="EPC",'[1]Project Overview'!J450="ESCO BUYOUT"),'[1]Project Overview'!L450=""),1,0)</f>
        <v>0</v>
      </c>
      <c r="K453" s="217">
        <f>IF(AND($A453&lt;&gt;"",'[1]Project Overview'!P450=""),1,0)</f>
        <v>0</v>
      </c>
      <c r="L453" s="217">
        <f>IF(AND($A453&lt;&gt;"",'[1]Project Overview'!AA450=""),1,0)</f>
        <v>0</v>
      </c>
      <c r="M453" s="217"/>
      <c r="N453" s="217"/>
      <c r="O453" s="217">
        <f t="shared" si="64"/>
        <v>1</v>
      </c>
      <c r="P453" s="217" t="str">
        <f t="shared" ref="P453:P516" si="67">IF($A453="","",IF($O453=0,"OK","REVER"))</f>
        <v/>
      </c>
    </row>
    <row r="454" spans="1:16" hidden="1" x14ac:dyDescent="0.3">
      <c r="A454" s="217" t="str">
        <f>""&amp;'[1]Project Overview'!A451</f>
        <v/>
      </c>
      <c r="B454" s="218">
        <f>'[1]Project Overview'!C451</f>
        <v>0</v>
      </c>
      <c r="C454" s="218">
        <f>'[1]Project Overview'!D451</f>
        <v>0</v>
      </c>
      <c r="D454" s="217">
        <f>'[1]Project Overview'!V451</f>
        <v>0</v>
      </c>
      <c r="E454" s="217"/>
      <c r="F454" s="217">
        <f t="shared" si="65"/>
        <v>1</v>
      </c>
      <c r="G454" s="217">
        <f t="shared" si="66"/>
        <v>0</v>
      </c>
      <c r="H454" s="217">
        <f>IF(AND($A454&lt;&gt;"",'[1]Project Overview'!E451=""),1,0)</f>
        <v>0</v>
      </c>
      <c r="I454" s="217">
        <f>IF(AND($A454&lt;&gt;"",'[1]Project Overview'!G451=""),1,0)</f>
        <v>0</v>
      </c>
      <c r="J454" s="217">
        <f>IF(AND($A454&lt;&gt;"",OR('[1]Project Overview'!J451="ESCO",'[1]Project Overview'!J451="EPC",'[1]Project Overview'!J451="ESCO BUYOUT"),'[1]Project Overview'!L451=""),1,0)</f>
        <v>0</v>
      </c>
      <c r="K454" s="217">
        <f>IF(AND($A454&lt;&gt;"",'[1]Project Overview'!P451=""),1,0)</f>
        <v>0</v>
      </c>
      <c r="L454" s="217">
        <f>IF(AND($A454&lt;&gt;"",'[1]Project Overview'!AA451=""),1,0)</f>
        <v>0</v>
      </c>
      <c r="M454" s="217"/>
      <c r="N454" s="217"/>
      <c r="O454" s="217">
        <f t="shared" ref="O454:O517" si="68">SUM(F454:N454)</f>
        <v>1</v>
      </c>
      <c r="P454" s="217" t="str">
        <f t="shared" si="67"/>
        <v/>
      </c>
    </row>
    <row r="455" spans="1:16" hidden="1" x14ac:dyDescent="0.3">
      <c r="A455" s="217" t="str">
        <f>""&amp;'[1]Project Overview'!A452</f>
        <v/>
      </c>
      <c r="B455" s="218">
        <f>'[1]Project Overview'!C452</f>
        <v>0</v>
      </c>
      <c r="C455" s="218">
        <f>'[1]Project Overview'!D452</f>
        <v>0</v>
      </c>
      <c r="D455" s="217">
        <f>'[1]Project Overview'!V452</f>
        <v>0</v>
      </c>
      <c r="E455" s="217"/>
      <c r="F455" s="217">
        <f t="shared" si="65"/>
        <v>1</v>
      </c>
      <c r="G455" s="217">
        <f t="shared" si="66"/>
        <v>0</v>
      </c>
      <c r="H455" s="217">
        <f>IF(AND($A455&lt;&gt;"",'[1]Project Overview'!E452=""),1,0)</f>
        <v>0</v>
      </c>
      <c r="I455" s="217">
        <f>IF(AND($A455&lt;&gt;"",'[1]Project Overview'!G452=""),1,0)</f>
        <v>0</v>
      </c>
      <c r="J455" s="217">
        <f>IF(AND($A455&lt;&gt;"",OR('[1]Project Overview'!J452="ESCO",'[1]Project Overview'!J452="EPC",'[1]Project Overview'!J452="ESCO BUYOUT"),'[1]Project Overview'!L452=""),1,0)</f>
        <v>0</v>
      </c>
      <c r="K455" s="217">
        <f>IF(AND($A455&lt;&gt;"",'[1]Project Overview'!P452=""),1,0)</f>
        <v>0</v>
      </c>
      <c r="L455" s="217">
        <f>IF(AND($A455&lt;&gt;"",'[1]Project Overview'!AA452=""),1,0)</f>
        <v>0</v>
      </c>
      <c r="M455" s="217"/>
      <c r="N455" s="217"/>
      <c r="O455" s="217">
        <f t="shared" si="68"/>
        <v>1</v>
      </c>
      <c r="P455" s="217" t="str">
        <f t="shared" si="67"/>
        <v/>
      </c>
    </row>
    <row r="456" spans="1:16" hidden="1" x14ac:dyDescent="0.3">
      <c r="A456" s="217" t="str">
        <f>""&amp;'[1]Project Overview'!A453</f>
        <v/>
      </c>
      <c r="B456" s="218">
        <f>'[1]Project Overview'!C453</f>
        <v>0</v>
      </c>
      <c r="C456" s="218">
        <f>'[1]Project Overview'!D453</f>
        <v>0</v>
      </c>
      <c r="D456" s="217">
        <f>'[1]Project Overview'!V453</f>
        <v>0</v>
      </c>
      <c r="E456" s="217"/>
      <c r="F456" s="217">
        <f t="shared" si="65"/>
        <v>1</v>
      </c>
      <c r="G456" s="217">
        <f t="shared" si="66"/>
        <v>0</v>
      </c>
      <c r="H456" s="217">
        <f>IF(AND($A456&lt;&gt;"",'[1]Project Overview'!E453=""),1,0)</f>
        <v>0</v>
      </c>
      <c r="I456" s="217">
        <f>IF(AND($A456&lt;&gt;"",'[1]Project Overview'!G453=""),1,0)</f>
        <v>0</v>
      </c>
      <c r="J456" s="217">
        <f>IF(AND($A456&lt;&gt;"",OR('[1]Project Overview'!J453="ESCO",'[1]Project Overview'!J453="EPC",'[1]Project Overview'!J453="ESCO BUYOUT"),'[1]Project Overview'!L453=""),1,0)</f>
        <v>0</v>
      </c>
      <c r="K456" s="217">
        <f>IF(AND($A456&lt;&gt;"",'[1]Project Overview'!P453=""),1,0)</f>
        <v>0</v>
      </c>
      <c r="L456" s="217">
        <f>IF(AND($A456&lt;&gt;"",'[1]Project Overview'!AA453=""),1,0)</f>
        <v>0</v>
      </c>
      <c r="M456" s="217"/>
      <c r="N456" s="217"/>
      <c r="O456" s="217">
        <f t="shared" si="68"/>
        <v>1</v>
      </c>
      <c r="P456" s="217" t="str">
        <f t="shared" si="67"/>
        <v/>
      </c>
    </row>
    <row r="457" spans="1:16" hidden="1" x14ac:dyDescent="0.3">
      <c r="A457" s="217" t="str">
        <f>""&amp;'[1]Project Overview'!A454</f>
        <v/>
      </c>
      <c r="B457" s="218">
        <f>'[1]Project Overview'!C454</f>
        <v>0</v>
      </c>
      <c r="C457" s="218">
        <f>'[1]Project Overview'!D454</f>
        <v>0</v>
      </c>
      <c r="D457" s="217">
        <f>'[1]Project Overview'!V454</f>
        <v>0</v>
      </c>
      <c r="E457" s="217"/>
      <c r="F457" s="217">
        <f t="shared" si="65"/>
        <v>1</v>
      </c>
      <c r="G457" s="217">
        <f t="shared" si="66"/>
        <v>0</v>
      </c>
      <c r="H457" s="217">
        <f>IF(AND($A457&lt;&gt;"",'[1]Project Overview'!E454=""),1,0)</f>
        <v>0</v>
      </c>
      <c r="I457" s="217">
        <f>IF(AND($A457&lt;&gt;"",'[1]Project Overview'!G454=""),1,0)</f>
        <v>0</v>
      </c>
      <c r="J457" s="217">
        <f>IF(AND($A457&lt;&gt;"",OR('[1]Project Overview'!J454="ESCO",'[1]Project Overview'!J454="EPC",'[1]Project Overview'!J454="ESCO BUYOUT"),'[1]Project Overview'!L454=""),1,0)</f>
        <v>0</v>
      </c>
      <c r="K457" s="217">
        <f>IF(AND($A457&lt;&gt;"",'[1]Project Overview'!P454=""),1,0)</f>
        <v>0</v>
      </c>
      <c r="L457" s="217">
        <f>IF(AND($A457&lt;&gt;"",'[1]Project Overview'!AA454=""),1,0)</f>
        <v>0</v>
      </c>
      <c r="M457" s="217"/>
      <c r="N457" s="217"/>
      <c r="O457" s="217">
        <f t="shared" si="68"/>
        <v>1</v>
      </c>
      <c r="P457" s="217" t="str">
        <f t="shared" si="67"/>
        <v/>
      </c>
    </row>
    <row r="458" spans="1:16" hidden="1" x14ac:dyDescent="0.3">
      <c r="A458" s="217" t="str">
        <f>""&amp;'[1]Project Overview'!A455</f>
        <v/>
      </c>
      <c r="B458" s="218">
        <f>'[1]Project Overview'!C455</f>
        <v>0</v>
      </c>
      <c r="C458" s="218">
        <f>'[1]Project Overview'!D455</f>
        <v>0</v>
      </c>
      <c r="D458" s="217">
        <f>'[1]Project Overview'!V455</f>
        <v>0</v>
      </c>
      <c r="E458" s="217"/>
      <c r="F458" s="217">
        <f t="shared" si="65"/>
        <v>1</v>
      </c>
      <c r="G458" s="217">
        <f t="shared" si="66"/>
        <v>0</v>
      </c>
      <c r="H458" s="217">
        <f>IF(AND($A458&lt;&gt;"",'[1]Project Overview'!E455=""),1,0)</f>
        <v>0</v>
      </c>
      <c r="I458" s="217">
        <f>IF(AND($A458&lt;&gt;"",'[1]Project Overview'!G455=""),1,0)</f>
        <v>0</v>
      </c>
      <c r="J458" s="217">
        <f>IF(AND($A458&lt;&gt;"",OR('[1]Project Overview'!J455="ESCO",'[1]Project Overview'!J455="EPC",'[1]Project Overview'!J455="ESCO BUYOUT"),'[1]Project Overview'!L455=""),1,0)</f>
        <v>0</v>
      </c>
      <c r="K458" s="217">
        <f>IF(AND($A458&lt;&gt;"",'[1]Project Overview'!P455=""),1,0)</f>
        <v>0</v>
      </c>
      <c r="L458" s="217">
        <f>IF(AND($A458&lt;&gt;"",'[1]Project Overview'!AA455=""),1,0)</f>
        <v>0</v>
      </c>
      <c r="M458" s="217"/>
      <c r="N458" s="217"/>
      <c r="O458" s="217">
        <f t="shared" si="68"/>
        <v>1</v>
      </c>
      <c r="P458" s="217" t="str">
        <f t="shared" si="67"/>
        <v/>
      </c>
    </row>
    <row r="459" spans="1:16" hidden="1" x14ac:dyDescent="0.3">
      <c r="A459" s="217" t="str">
        <f>""&amp;'[1]Project Overview'!A456</f>
        <v/>
      </c>
      <c r="B459" s="218">
        <f>'[1]Project Overview'!C456</f>
        <v>0</v>
      </c>
      <c r="C459" s="218">
        <f>'[1]Project Overview'!D456</f>
        <v>0</v>
      </c>
      <c r="D459" s="217">
        <f>'[1]Project Overview'!V456</f>
        <v>0</v>
      </c>
      <c r="E459" s="217"/>
      <c r="F459" s="217">
        <f t="shared" si="65"/>
        <v>1</v>
      </c>
      <c r="G459" s="217">
        <f t="shared" si="66"/>
        <v>0</v>
      </c>
      <c r="H459" s="217">
        <f>IF(AND($A459&lt;&gt;"",'[1]Project Overview'!E456=""),1,0)</f>
        <v>0</v>
      </c>
      <c r="I459" s="217">
        <f>IF(AND($A459&lt;&gt;"",'[1]Project Overview'!G456=""),1,0)</f>
        <v>0</v>
      </c>
      <c r="J459" s="217">
        <f>IF(AND($A459&lt;&gt;"",OR('[1]Project Overview'!J456="ESCO",'[1]Project Overview'!J456="EPC",'[1]Project Overview'!J456="ESCO BUYOUT"),'[1]Project Overview'!L456=""),1,0)</f>
        <v>0</v>
      </c>
      <c r="K459" s="217">
        <f>IF(AND($A459&lt;&gt;"",'[1]Project Overview'!P456=""),1,0)</f>
        <v>0</v>
      </c>
      <c r="L459" s="217">
        <f>IF(AND($A459&lt;&gt;"",'[1]Project Overview'!AA456=""),1,0)</f>
        <v>0</v>
      </c>
      <c r="M459" s="217"/>
      <c r="N459" s="217"/>
      <c r="O459" s="217">
        <f t="shared" si="68"/>
        <v>1</v>
      </c>
      <c r="P459" s="217" t="str">
        <f t="shared" si="67"/>
        <v/>
      </c>
    </row>
    <row r="460" spans="1:16" hidden="1" x14ac:dyDescent="0.3">
      <c r="A460" s="217" t="str">
        <f>""&amp;'[1]Project Overview'!A457</f>
        <v/>
      </c>
      <c r="B460" s="218">
        <f>'[1]Project Overview'!C457</f>
        <v>0</v>
      </c>
      <c r="C460" s="218">
        <f>'[1]Project Overview'!D457</f>
        <v>0</v>
      </c>
      <c r="D460" s="217">
        <f>'[1]Project Overview'!V457</f>
        <v>0</v>
      </c>
      <c r="E460" s="217"/>
      <c r="F460" s="217">
        <f t="shared" ref="F460:F523" si="69">IF(OR($A460="",$B460=""),1,0)</f>
        <v>1</v>
      </c>
      <c r="G460" s="217">
        <f t="shared" ref="G460:G523" si="70">IF($C460="",1,0)</f>
        <v>0</v>
      </c>
      <c r="H460" s="217">
        <f>IF(AND($A460&lt;&gt;"",'[1]Project Overview'!E457=""),1,0)</f>
        <v>0</v>
      </c>
      <c r="I460" s="217">
        <f>IF(AND($A460&lt;&gt;"",'[1]Project Overview'!G457=""),1,0)</f>
        <v>0</v>
      </c>
      <c r="J460" s="217">
        <f>IF(AND($A460&lt;&gt;"",OR('[1]Project Overview'!J457="ESCO",'[1]Project Overview'!J457="EPC",'[1]Project Overview'!J457="ESCO BUYOUT"),'[1]Project Overview'!L457=""),1,0)</f>
        <v>0</v>
      </c>
      <c r="K460" s="217">
        <f>IF(AND($A460&lt;&gt;"",'[1]Project Overview'!P457=""),1,0)</f>
        <v>0</v>
      </c>
      <c r="L460" s="217">
        <f>IF(AND($A460&lt;&gt;"",'[1]Project Overview'!AA457=""),1,0)</f>
        <v>0</v>
      </c>
      <c r="M460" s="217"/>
      <c r="N460" s="217"/>
      <c r="O460" s="217">
        <f t="shared" si="68"/>
        <v>1</v>
      </c>
      <c r="P460" s="217" t="str">
        <f t="shared" si="67"/>
        <v/>
      </c>
    </row>
    <row r="461" spans="1:16" hidden="1" x14ac:dyDescent="0.3">
      <c r="A461" s="217" t="str">
        <f>""&amp;'[1]Project Overview'!A458</f>
        <v/>
      </c>
      <c r="B461" s="218">
        <f>'[1]Project Overview'!C458</f>
        <v>0</v>
      </c>
      <c r="C461" s="218">
        <f>'[1]Project Overview'!D458</f>
        <v>0</v>
      </c>
      <c r="D461" s="217">
        <f>'[1]Project Overview'!V458</f>
        <v>0</v>
      </c>
      <c r="E461" s="217"/>
      <c r="F461" s="217">
        <f t="shared" si="69"/>
        <v>1</v>
      </c>
      <c r="G461" s="217">
        <f t="shared" si="70"/>
        <v>0</v>
      </c>
      <c r="H461" s="217">
        <f>IF(AND($A461&lt;&gt;"",'[1]Project Overview'!E458=""),1,0)</f>
        <v>0</v>
      </c>
      <c r="I461" s="217">
        <f>IF(AND($A461&lt;&gt;"",'[1]Project Overview'!G458=""),1,0)</f>
        <v>0</v>
      </c>
      <c r="J461" s="217">
        <f>IF(AND($A461&lt;&gt;"",OR('[1]Project Overview'!J458="ESCO",'[1]Project Overview'!J458="EPC",'[1]Project Overview'!J458="ESCO BUYOUT"),'[1]Project Overview'!L458=""),1,0)</f>
        <v>0</v>
      </c>
      <c r="K461" s="217">
        <f>IF(AND($A461&lt;&gt;"",'[1]Project Overview'!P458=""),1,0)</f>
        <v>0</v>
      </c>
      <c r="L461" s="217">
        <f>IF(AND($A461&lt;&gt;"",'[1]Project Overview'!AA458=""),1,0)</f>
        <v>0</v>
      </c>
      <c r="M461" s="217"/>
      <c r="N461" s="217"/>
      <c r="O461" s="217">
        <f t="shared" si="68"/>
        <v>1</v>
      </c>
      <c r="P461" s="217" t="str">
        <f t="shared" si="67"/>
        <v/>
      </c>
    </row>
    <row r="462" spans="1:16" hidden="1" x14ac:dyDescent="0.3">
      <c r="A462" s="217" t="str">
        <f>""&amp;'[1]Project Overview'!A459</f>
        <v/>
      </c>
      <c r="B462" s="218">
        <f>'[1]Project Overview'!C459</f>
        <v>0</v>
      </c>
      <c r="C462" s="218">
        <f>'[1]Project Overview'!D459</f>
        <v>0</v>
      </c>
      <c r="D462" s="217">
        <f>'[1]Project Overview'!V459</f>
        <v>0</v>
      </c>
      <c r="E462" s="217"/>
      <c r="F462" s="217">
        <f t="shared" si="69"/>
        <v>1</v>
      </c>
      <c r="G462" s="217">
        <f t="shared" si="70"/>
        <v>0</v>
      </c>
      <c r="H462" s="217">
        <f>IF(AND($A462&lt;&gt;"",'[1]Project Overview'!E459=""),1,0)</f>
        <v>0</v>
      </c>
      <c r="I462" s="217">
        <f>IF(AND($A462&lt;&gt;"",'[1]Project Overview'!G459=""),1,0)</f>
        <v>0</v>
      </c>
      <c r="J462" s="217">
        <f>IF(AND($A462&lt;&gt;"",OR('[1]Project Overview'!J459="ESCO",'[1]Project Overview'!J459="EPC",'[1]Project Overview'!J459="ESCO BUYOUT"),'[1]Project Overview'!L459=""),1,0)</f>
        <v>0</v>
      </c>
      <c r="K462" s="217">
        <f>IF(AND($A462&lt;&gt;"",'[1]Project Overview'!P459=""),1,0)</f>
        <v>0</v>
      </c>
      <c r="L462" s="217">
        <f>IF(AND($A462&lt;&gt;"",'[1]Project Overview'!AA459=""),1,0)</f>
        <v>0</v>
      </c>
      <c r="M462" s="217"/>
      <c r="N462" s="217"/>
      <c r="O462" s="217">
        <f t="shared" si="68"/>
        <v>1</v>
      </c>
      <c r="P462" s="217" t="str">
        <f t="shared" si="67"/>
        <v/>
      </c>
    </row>
    <row r="463" spans="1:16" hidden="1" x14ac:dyDescent="0.3">
      <c r="A463" s="217" t="str">
        <f>""&amp;'[1]Project Overview'!A460</f>
        <v/>
      </c>
      <c r="B463" s="218">
        <f>'[1]Project Overview'!C460</f>
        <v>0</v>
      </c>
      <c r="C463" s="218">
        <f>'[1]Project Overview'!D460</f>
        <v>0</v>
      </c>
      <c r="D463" s="217">
        <f>'[1]Project Overview'!V460</f>
        <v>0</v>
      </c>
      <c r="E463" s="217"/>
      <c r="F463" s="217">
        <f t="shared" si="69"/>
        <v>1</v>
      </c>
      <c r="G463" s="217">
        <f t="shared" si="70"/>
        <v>0</v>
      </c>
      <c r="H463" s="217">
        <f>IF(AND($A463&lt;&gt;"",'[1]Project Overview'!E460=""),1,0)</f>
        <v>0</v>
      </c>
      <c r="I463" s="217">
        <f>IF(AND($A463&lt;&gt;"",'[1]Project Overview'!G460=""),1,0)</f>
        <v>0</v>
      </c>
      <c r="J463" s="217">
        <f>IF(AND($A463&lt;&gt;"",OR('[1]Project Overview'!J460="ESCO",'[1]Project Overview'!J460="EPC",'[1]Project Overview'!J460="ESCO BUYOUT"),'[1]Project Overview'!L460=""),1,0)</f>
        <v>0</v>
      </c>
      <c r="K463" s="217">
        <f>IF(AND($A463&lt;&gt;"",'[1]Project Overview'!P460=""),1,0)</f>
        <v>0</v>
      </c>
      <c r="L463" s="217">
        <f>IF(AND($A463&lt;&gt;"",'[1]Project Overview'!AA460=""),1,0)</f>
        <v>0</v>
      </c>
      <c r="M463" s="217"/>
      <c r="N463" s="217"/>
      <c r="O463" s="217">
        <f t="shared" si="68"/>
        <v>1</v>
      </c>
      <c r="P463" s="217" t="str">
        <f t="shared" si="67"/>
        <v/>
      </c>
    </row>
    <row r="464" spans="1:16" hidden="1" x14ac:dyDescent="0.3">
      <c r="A464" s="217" t="str">
        <f>""&amp;'[1]Project Overview'!A461</f>
        <v/>
      </c>
      <c r="B464" s="218">
        <f>'[1]Project Overview'!C461</f>
        <v>0</v>
      </c>
      <c r="C464" s="218">
        <f>'[1]Project Overview'!D461</f>
        <v>0</v>
      </c>
      <c r="D464" s="217">
        <f>'[1]Project Overview'!V461</f>
        <v>0</v>
      </c>
      <c r="E464" s="217"/>
      <c r="F464" s="217">
        <f t="shared" si="69"/>
        <v>1</v>
      </c>
      <c r="G464" s="217">
        <f t="shared" si="70"/>
        <v>0</v>
      </c>
      <c r="H464" s="217">
        <f>IF(AND($A464&lt;&gt;"",'[1]Project Overview'!E461=""),1,0)</f>
        <v>0</v>
      </c>
      <c r="I464" s="217">
        <f>IF(AND($A464&lt;&gt;"",'[1]Project Overview'!G461=""),1,0)</f>
        <v>0</v>
      </c>
      <c r="J464" s="217">
        <f>IF(AND($A464&lt;&gt;"",OR('[1]Project Overview'!J461="ESCO",'[1]Project Overview'!J461="EPC",'[1]Project Overview'!J461="ESCO BUYOUT"),'[1]Project Overview'!L461=""),1,0)</f>
        <v>0</v>
      </c>
      <c r="K464" s="217">
        <f>IF(AND($A464&lt;&gt;"",'[1]Project Overview'!P461=""),1,0)</f>
        <v>0</v>
      </c>
      <c r="L464" s="217">
        <f>IF(AND($A464&lt;&gt;"",'[1]Project Overview'!AA461=""),1,0)</f>
        <v>0</v>
      </c>
      <c r="M464" s="217"/>
      <c r="N464" s="217"/>
      <c r="O464" s="217">
        <f t="shared" si="68"/>
        <v>1</v>
      </c>
      <c r="P464" s="217" t="str">
        <f t="shared" si="67"/>
        <v/>
      </c>
    </row>
    <row r="465" spans="1:16" hidden="1" x14ac:dyDescent="0.3">
      <c r="A465" s="217" t="str">
        <f>""&amp;'[1]Project Overview'!A462</f>
        <v/>
      </c>
      <c r="B465" s="218">
        <f>'[1]Project Overview'!C462</f>
        <v>0</v>
      </c>
      <c r="C465" s="218">
        <f>'[1]Project Overview'!D462</f>
        <v>0</v>
      </c>
      <c r="D465" s="217">
        <f>'[1]Project Overview'!V462</f>
        <v>0</v>
      </c>
      <c r="E465" s="217"/>
      <c r="F465" s="217">
        <f t="shared" si="69"/>
        <v>1</v>
      </c>
      <c r="G465" s="217">
        <f t="shared" si="70"/>
        <v>0</v>
      </c>
      <c r="H465" s="217">
        <f>IF(AND($A465&lt;&gt;"",'[1]Project Overview'!E462=""),1,0)</f>
        <v>0</v>
      </c>
      <c r="I465" s="217">
        <f>IF(AND($A465&lt;&gt;"",'[1]Project Overview'!G462=""),1,0)</f>
        <v>0</v>
      </c>
      <c r="J465" s="217">
        <f>IF(AND($A465&lt;&gt;"",OR('[1]Project Overview'!J462="ESCO",'[1]Project Overview'!J462="EPC",'[1]Project Overview'!J462="ESCO BUYOUT"),'[1]Project Overview'!L462=""),1,0)</f>
        <v>0</v>
      </c>
      <c r="K465" s="217">
        <f>IF(AND($A465&lt;&gt;"",'[1]Project Overview'!P462=""),1,0)</f>
        <v>0</v>
      </c>
      <c r="L465" s="217">
        <f>IF(AND($A465&lt;&gt;"",'[1]Project Overview'!AA462=""),1,0)</f>
        <v>0</v>
      </c>
      <c r="M465" s="217"/>
      <c r="N465" s="217"/>
      <c r="O465" s="217">
        <f t="shared" si="68"/>
        <v>1</v>
      </c>
      <c r="P465" s="217" t="str">
        <f t="shared" si="67"/>
        <v/>
      </c>
    </row>
    <row r="466" spans="1:16" hidden="1" x14ac:dyDescent="0.3">
      <c r="A466" s="217" t="str">
        <f>""&amp;'[1]Project Overview'!A463</f>
        <v/>
      </c>
      <c r="B466" s="218">
        <f>'[1]Project Overview'!C463</f>
        <v>0</v>
      </c>
      <c r="C466" s="218">
        <f>'[1]Project Overview'!D463</f>
        <v>0</v>
      </c>
      <c r="D466" s="217">
        <f>'[1]Project Overview'!V463</f>
        <v>0</v>
      </c>
      <c r="E466" s="217"/>
      <c r="F466" s="217">
        <f t="shared" si="69"/>
        <v>1</v>
      </c>
      <c r="G466" s="217">
        <f t="shared" si="70"/>
        <v>0</v>
      </c>
      <c r="H466" s="217">
        <f>IF(AND($A466&lt;&gt;"",'[1]Project Overview'!E463=""),1,0)</f>
        <v>0</v>
      </c>
      <c r="I466" s="217">
        <f>IF(AND($A466&lt;&gt;"",'[1]Project Overview'!G463=""),1,0)</f>
        <v>0</v>
      </c>
      <c r="J466" s="217">
        <f>IF(AND($A466&lt;&gt;"",OR('[1]Project Overview'!J463="ESCO",'[1]Project Overview'!J463="EPC",'[1]Project Overview'!J463="ESCO BUYOUT"),'[1]Project Overview'!L463=""),1,0)</f>
        <v>0</v>
      </c>
      <c r="K466" s="217">
        <f>IF(AND($A466&lt;&gt;"",'[1]Project Overview'!P463=""),1,0)</f>
        <v>0</v>
      </c>
      <c r="L466" s="217">
        <f>IF(AND($A466&lt;&gt;"",'[1]Project Overview'!AA463=""),1,0)</f>
        <v>0</v>
      </c>
      <c r="M466" s="217"/>
      <c r="N466" s="217"/>
      <c r="O466" s="217">
        <f t="shared" si="68"/>
        <v>1</v>
      </c>
      <c r="P466" s="217" t="str">
        <f t="shared" si="67"/>
        <v/>
      </c>
    </row>
    <row r="467" spans="1:16" hidden="1" x14ac:dyDescent="0.3">
      <c r="A467" s="217" t="str">
        <f>""&amp;'[1]Project Overview'!A464</f>
        <v/>
      </c>
      <c r="B467" s="218">
        <f>'[1]Project Overview'!C464</f>
        <v>0</v>
      </c>
      <c r="C467" s="218">
        <f>'[1]Project Overview'!D464</f>
        <v>0</v>
      </c>
      <c r="D467" s="217">
        <f>'[1]Project Overview'!V464</f>
        <v>0</v>
      </c>
      <c r="E467" s="217"/>
      <c r="F467" s="217">
        <f t="shared" si="69"/>
        <v>1</v>
      </c>
      <c r="G467" s="217">
        <f t="shared" si="70"/>
        <v>0</v>
      </c>
      <c r="H467" s="217">
        <f>IF(AND($A467&lt;&gt;"",'[1]Project Overview'!E464=""),1,0)</f>
        <v>0</v>
      </c>
      <c r="I467" s="217">
        <f>IF(AND($A467&lt;&gt;"",'[1]Project Overview'!G464=""),1,0)</f>
        <v>0</v>
      </c>
      <c r="J467" s="217">
        <f>IF(AND($A467&lt;&gt;"",OR('[1]Project Overview'!J464="ESCO",'[1]Project Overview'!J464="EPC",'[1]Project Overview'!J464="ESCO BUYOUT"),'[1]Project Overview'!L464=""),1,0)</f>
        <v>0</v>
      </c>
      <c r="K467" s="217">
        <f>IF(AND($A467&lt;&gt;"",'[1]Project Overview'!P464=""),1,0)</f>
        <v>0</v>
      </c>
      <c r="L467" s="217">
        <f>IF(AND($A467&lt;&gt;"",'[1]Project Overview'!AA464=""),1,0)</f>
        <v>0</v>
      </c>
      <c r="M467" s="217"/>
      <c r="N467" s="217"/>
      <c r="O467" s="217">
        <f t="shared" si="68"/>
        <v>1</v>
      </c>
      <c r="P467" s="217" t="str">
        <f t="shared" si="67"/>
        <v/>
      </c>
    </row>
    <row r="468" spans="1:16" hidden="1" x14ac:dyDescent="0.3">
      <c r="A468" s="217" t="str">
        <f>""&amp;'[1]Project Overview'!A465</f>
        <v/>
      </c>
      <c r="B468" s="218">
        <f>'[1]Project Overview'!C465</f>
        <v>0</v>
      </c>
      <c r="C468" s="218">
        <f>'[1]Project Overview'!D465</f>
        <v>0</v>
      </c>
      <c r="D468" s="217">
        <f>'[1]Project Overview'!V465</f>
        <v>0</v>
      </c>
      <c r="E468" s="217"/>
      <c r="F468" s="217">
        <f t="shared" si="69"/>
        <v>1</v>
      </c>
      <c r="G468" s="217">
        <f t="shared" si="70"/>
        <v>0</v>
      </c>
      <c r="H468" s="217">
        <f>IF(AND($A468&lt;&gt;"",'[1]Project Overview'!E465=""),1,0)</f>
        <v>0</v>
      </c>
      <c r="I468" s="217">
        <f>IF(AND($A468&lt;&gt;"",'[1]Project Overview'!G465=""),1,0)</f>
        <v>0</v>
      </c>
      <c r="J468" s="217">
        <f>IF(AND($A468&lt;&gt;"",OR('[1]Project Overview'!J465="ESCO",'[1]Project Overview'!J465="EPC",'[1]Project Overview'!J465="ESCO BUYOUT"),'[1]Project Overview'!L465=""),1,0)</f>
        <v>0</v>
      </c>
      <c r="K468" s="217">
        <f>IF(AND($A468&lt;&gt;"",'[1]Project Overview'!P465=""),1,0)</f>
        <v>0</v>
      </c>
      <c r="L468" s="217">
        <f>IF(AND($A468&lt;&gt;"",'[1]Project Overview'!AA465=""),1,0)</f>
        <v>0</v>
      </c>
      <c r="M468" s="217"/>
      <c r="N468" s="217"/>
      <c r="O468" s="217">
        <f t="shared" si="68"/>
        <v>1</v>
      </c>
      <c r="P468" s="217" t="str">
        <f t="shared" si="67"/>
        <v/>
      </c>
    </row>
    <row r="469" spans="1:16" hidden="1" x14ac:dyDescent="0.3">
      <c r="A469" s="217" t="str">
        <f>""&amp;'[1]Project Overview'!A466</f>
        <v/>
      </c>
      <c r="B469" s="218">
        <f>'[1]Project Overview'!C466</f>
        <v>0</v>
      </c>
      <c r="C469" s="218">
        <f>'[1]Project Overview'!D466</f>
        <v>0</v>
      </c>
      <c r="D469" s="217">
        <f>'[1]Project Overview'!V466</f>
        <v>0</v>
      </c>
      <c r="E469" s="217"/>
      <c r="F469" s="217">
        <f t="shared" si="69"/>
        <v>1</v>
      </c>
      <c r="G469" s="217">
        <f t="shared" si="70"/>
        <v>0</v>
      </c>
      <c r="H469" s="217">
        <f>IF(AND($A469&lt;&gt;"",'[1]Project Overview'!E466=""),1,0)</f>
        <v>0</v>
      </c>
      <c r="I469" s="217">
        <f>IF(AND($A469&lt;&gt;"",'[1]Project Overview'!G466=""),1,0)</f>
        <v>0</v>
      </c>
      <c r="J469" s="217">
        <f>IF(AND($A469&lt;&gt;"",OR('[1]Project Overview'!J466="ESCO",'[1]Project Overview'!J466="EPC",'[1]Project Overview'!J466="ESCO BUYOUT"),'[1]Project Overview'!L466=""),1,0)</f>
        <v>0</v>
      </c>
      <c r="K469" s="217">
        <f>IF(AND($A469&lt;&gt;"",'[1]Project Overview'!P466=""),1,0)</f>
        <v>0</v>
      </c>
      <c r="L469" s="217">
        <f>IF(AND($A469&lt;&gt;"",'[1]Project Overview'!AA466=""),1,0)</f>
        <v>0</v>
      </c>
      <c r="M469" s="217"/>
      <c r="N469" s="217"/>
      <c r="O469" s="217">
        <f t="shared" si="68"/>
        <v>1</v>
      </c>
      <c r="P469" s="217" t="str">
        <f t="shared" si="67"/>
        <v/>
      </c>
    </row>
    <row r="470" spans="1:16" hidden="1" x14ac:dyDescent="0.3">
      <c r="A470" s="217" t="str">
        <f>""&amp;'[1]Project Overview'!A467</f>
        <v/>
      </c>
      <c r="B470" s="218">
        <f>'[1]Project Overview'!C467</f>
        <v>0</v>
      </c>
      <c r="C470" s="218">
        <f>'[1]Project Overview'!D467</f>
        <v>0</v>
      </c>
      <c r="D470" s="217">
        <f>'[1]Project Overview'!V467</f>
        <v>0</v>
      </c>
      <c r="E470" s="217"/>
      <c r="F470" s="217">
        <f t="shared" si="69"/>
        <v>1</v>
      </c>
      <c r="G470" s="217">
        <f t="shared" si="70"/>
        <v>0</v>
      </c>
      <c r="H470" s="217">
        <f>IF(AND($A470&lt;&gt;"",'[1]Project Overview'!E467=""),1,0)</f>
        <v>0</v>
      </c>
      <c r="I470" s="217">
        <f>IF(AND($A470&lt;&gt;"",'[1]Project Overview'!G467=""),1,0)</f>
        <v>0</v>
      </c>
      <c r="J470" s="217">
        <f>IF(AND($A470&lt;&gt;"",OR('[1]Project Overview'!J467="ESCO",'[1]Project Overview'!J467="EPC",'[1]Project Overview'!J467="ESCO BUYOUT"),'[1]Project Overview'!L467=""),1,0)</f>
        <v>0</v>
      </c>
      <c r="K470" s="217">
        <f>IF(AND($A470&lt;&gt;"",'[1]Project Overview'!P467=""),1,0)</f>
        <v>0</v>
      </c>
      <c r="L470" s="217">
        <f>IF(AND($A470&lt;&gt;"",'[1]Project Overview'!AA467=""),1,0)</f>
        <v>0</v>
      </c>
      <c r="M470" s="217"/>
      <c r="N470" s="217"/>
      <c r="O470" s="217">
        <f t="shared" si="68"/>
        <v>1</v>
      </c>
      <c r="P470" s="217" t="str">
        <f t="shared" si="67"/>
        <v/>
      </c>
    </row>
    <row r="471" spans="1:16" hidden="1" x14ac:dyDescent="0.3">
      <c r="A471" s="217" t="str">
        <f>""&amp;'[1]Project Overview'!A468</f>
        <v/>
      </c>
      <c r="B471" s="218">
        <f>'[1]Project Overview'!C468</f>
        <v>0</v>
      </c>
      <c r="C471" s="218">
        <f>'[1]Project Overview'!D468</f>
        <v>0</v>
      </c>
      <c r="D471" s="217">
        <f>'[1]Project Overview'!V468</f>
        <v>0</v>
      </c>
      <c r="E471" s="217"/>
      <c r="F471" s="217">
        <f t="shared" si="69"/>
        <v>1</v>
      </c>
      <c r="G471" s="217">
        <f t="shared" si="70"/>
        <v>0</v>
      </c>
      <c r="H471" s="217">
        <f>IF(AND($A471&lt;&gt;"",'[1]Project Overview'!E468=""),1,0)</f>
        <v>0</v>
      </c>
      <c r="I471" s="217">
        <f>IF(AND($A471&lt;&gt;"",'[1]Project Overview'!G468=""),1,0)</f>
        <v>0</v>
      </c>
      <c r="J471" s="217">
        <f>IF(AND($A471&lt;&gt;"",OR('[1]Project Overview'!J468="ESCO",'[1]Project Overview'!J468="EPC",'[1]Project Overview'!J468="ESCO BUYOUT"),'[1]Project Overview'!L468=""),1,0)</f>
        <v>0</v>
      </c>
      <c r="K471" s="217">
        <f>IF(AND($A471&lt;&gt;"",'[1]Project Overview'!P468=""),1,0)</f>
        <v>0</v>
      </c>
      <c r="L471" s="217">
        <f>IF(AND($A471&lt;&gt;"",'[1]Project Overview'!AA468=""),1,0)</f>
        <v>0</v>
      </c>
      <c r="M471" s="217"/>
      <c r="N471" s="217"/>
      <c r="O471" s="217">
        <f t="shared" si="68"/>
        <v>1</v>
      </c>
      <c r="P471" s="217" t="str">
        <f t="shared" si="67"/>
        <v/>
      </c>
    </row>
    <row r="472" spans="1:16" hidden="1" x14ac:dyDescent="0.3">
      <c r="A472" s="217" t="str">
        <f>""&amp;'[1]Project Overview'!A469</f>
        <v/>
      </c>
      <c r="B472" s="218">
        <f>'[1]Project Overview'!C469</f>
        <v>0</v>
      </c>
      <c r="C472" s="218">
        <f>'[1]Project Overview'!D469</f>
        <v>0</v>
      </c>
      <c r="D472" s="217">
        <f>'[1]Project Overview'!V469</f>
        <v>0</v>
      </c>
      <c r="E472" s="217"/>
      <c r="F472" s="217">
        <f t="shared" si="69"/>
        <v>1</v>
      </c>
      <c r="G472" s="217">
        <f t="shared" si="70"/>
        <v>0</v>
      </c>
      <c r="H472" s="217">
        <f>IF(AND($A472&lt;&gt;"",'[1]Project Overview'!E469=""),1,0)</f>
        <v>0</v>
      </c>
      <c r="I472" s="217">
        <f>IF(AND($A472&lt;&gt;"",'[1]Project Overview'!G469=""),1,0)</f>
        <v>0</v>
      </c>
      <c r="J472" s="217">
        <f>IF(AND($A472&lt;&gt;"",OR('[1]Project Overview'!J469="ESCO",'[1]Project Overview'!J469="EPC",'[1]Project Overview'!J469="ESCO BUYOUT"),'[1]Project Overview'!L469=""),1,0)</f>
        <v>0</v>
      </c>
      <c r="K472" s="217">
        <f>IF(AND($A472&lt;&gt;"",'[1]Project Overview'!P469=""),1,0)</f>
        <v>0</v>
      </c>
      <c r="L472" s="217">
        <f>IF(AND($A472&lt;&gt;"",'[1]Project Overview'!AA469=""),1,0)</f>
        <v>0</v>
      </c>
      <c r="M472" s="217"/>
      <c r="N472" s="217"/>
      <c r="O472" s="217">
        <f t="shared" si="68"/>
        <v>1</v>
      </c>
      <c r="P472" s="217" t="str">
        <f t="shared" si="67"/>
        <v/>
      </c>
    </row>
    <row r="473" spans="1:16" hidden="1" x14ac:dyDescent="0.3">
      <c r="A473" s="217" t="str">
        <f>""&amp;'[1]Project Overview'!A470</f>
        <v/>
      </c>
      <c r="B473" s="218">
        <f>'[1]Project Overview'!C470</f>
        <v>0</v>
      </c>
      <c r="C473" s="218">
        <f>'[1]Project Overview'!D470</f>
        <v>0</v>
      </c>
      <c r="D473" s="217">
        <f>'[1]Project Overview'!V470</f>
        <v>0</v>
      </c>
      <c r="E473" s="217"/>
      <c r="F473" s="217">
        <f t="shared" si="69"/>
        <v>1</v>
      </c>
      <c r="G473" s="217">
        <f t="shared" si="70"/>
        <v>0</v>
      </c>
      <c r="H473" s="217">
        <f>IF(AND($A473&lt;&gt;"",'[1]Project Overview'!E470=""),1,0)</f>
        <v>0</v>
      </c>
      <c r="I473" s="217">
        <f>IF(AND($A473&lt;&gt;"",'[1]Project Overview'!G470=""),1,0)</f>
        <v>0</v>
      </c>
      <c r="J473" s="217">
        <f>IF(AND($A473&lt;&gt;"",OR('[1]Project Overview'!J470="ESCO",'[1]Project Overview'!J470="EPC",'[1]Project Overview'!J470="ESCO BUYOUT"),'[1]Project Overview'!L470=""),1,0)</f>
        <v>0</v>
      </c>
      <c r="K473" s="217">
        <f>IF(AND($A473&lt;&gt;"",'[1]Project Overview'!P470=""),1,0)</f>
        <v>0</v>
      </c>
      <c r="L473" s="217">
        <f>IF(AND($A473&lt;&gt;"",'[1]Project Overview'!AA470=""),1,0)</f>
        <v>0</v>
      </c>
      <c r="M473" s="217"/>
      <c r="N473" s="217"/>
      <c r="O473" s="217">
        <f t="shared" si="68"/>
        <v>1</v>
      </c>
      <c r="P473" s="217" t="str">
        <f t="shared" si="67"/>
        <v/>
      </c>
    </row>
    <row r="474" spans="1:16" hidden="1" x14ac:dyDescent="0.3">
      <c r="A474" s="217" t="str">
        <f>""&amp;'[1]Project Overview'!A471</f>
        <v/>
      </c>
      <c r="B474" s="218">
        <f>'[1]Project Overview'!C471</f>
        <v>0</v>
      </c>
      <c r="C474" s="218">
        <f>'[1]Project Overview'!D471</f>
        <v>0</v>
      </c>
      <c r="D474" s="217">
        <f>'[1]Project Overview'!V471</f>
        <v>0</v>
      </c>
      <c r="E474" s="217"/>
      <c r="F474" s="217">
        <f t="shared" si="69"/>
        <v>1</v>
      </c>
      <c r="G474" s="217">
        <f t="shared" si="70"/>
        <v>0</v>
      </c>
      <c r="H474" s="217">
        <f>IF(AND($A474&lt;&gt;"",'[1]Project Overview'!E471=""),1,0)</f>
        <v>0</v>
      </c>
      <c r="I474" s="217">
        <f>IF(AND($A474&lt;&gt;"",'[1]Project Overview'!G471=""),1,0)</f>
        <v>0</v>
      </c>
      <c r="J474" s="217">
        <f>IF(AND($A474&lt;&gt;"",OR('[1]Project Overview'!J471="ESCO",'[1]Project Overview'!J471="EPC",'[1]Project Overview'!J471="ESCO BUYOUT"),'[1]Project Overview'!L471=""),1,0)</f>
        <v>0</v>
      </c>
      <c r="K474" s="217">
        <f>IF(AND($A474&lt;&gt;"",'[1]Project Overview'!P471=""),1,0)</f>
        <v>0</v>
      </c>
      <c r="L474" s="217">
        <f>IF(AND($A474&lt;&gt;"",'[1]Project Overview'!AA471=""),1,0)</f>
        <v>0</v>
      </c>
      <c r="M474" s="217"/>
      <c r="N474" s="217"/>
      <c r="O474" s="217">
        <f t="shared" si="68"/>
        <v>1</v>
      </c>
      <c r="P474" s="217" t="str">
        <f t="shared" si="67"/>
        <v/>
      </c>
    </row>
    <row r="475" spans="1:16" hidden="1" x14ac:dyDescent="0.3">
      <c r="A475" s="217" t="str">
        <f>""&amp;'[1]Project Overview'!A472</f>
        <v/>
      </c>
      <c r="B475" s="218">
        <f>'[1]Project Overview'!C472</f>
        <v>0</v>
      </c>
      <c r="C475" s="218">
        <f>'[1]Project Overview'!D472</f>
        <v>0</v>
      </c>
      <c r="D475" s="217">
        <f>'[1]Project Overview'!V472</f>
        <v>0</v>
      </c>
      <c r="E475" s="217"/>
      <c r="F475" s="217">
        <f t="shared" si="69"/>
        <v>1</v>
      </c>
      <c r="G475" s="217">
        <f t="shared" si="70"/>
        <v>0</v>
      </c>
      <c r="H475" s="217">
        <f>IF(AND($A475&lt;&gt;"",'[1]Project Overview'!E472=""),1,0)</f>
        <v>0</v>
      </c>
      <c r="I475" s="217">
        <f>IF(AND($A475&lt;&gt;"",'[1]Project Overview'!G472=""),1,0)</f>
        <v>0</v>
      </c>
      <c r="J475" s="217">
        <f>IF(AND($A475&lt;&gt;"",OR('[1]Project Overview'!J472="ESCO",'[1]Project Overview'!J472="EPC",'[1]Project Overview'!J472="ESCO BUYOUT"),'[1]Project Overview'!L472=""),1,0)</f>
        <v>0</v>
      </c>
      <c r="K475" s="217">
        <f>IF(AND($A475&lt;&gt;"",'[1]Project Overview'!P472=""),1,0)</f>
        <v>0</v>
      </c>
      <c r="L475" s="217">
        <f>IF(AND($A475&lt;&gt;"",'[1]Project Overview'!AA472=""),1,0)</f>
        <v>0</v>
      </c>
      <c r="M475" s="217"/>
      <c r="N475" s="217"/>
      <c r="O475" s="217">
        <f t="shared" si="68"/>
        <v>1</v>
      </c>
      <c r="P475" s="217" t="str">
        <f t="shared" si="67"/>
        <v/>
      </c>
    </row>
    <row r="476" spans="1:16" hidden="1" x14ac:dyDescent="0.3">
      <c r="A476" s="217" t="str">
        <f>""&amp;'[1]Project Overview'!A473</f>
        <v/>
      </c>
      <c r="B476" s="218">
        <f>'[1]Project Overview'!C473</f>
        <v>0</v>
      </c>
      <c r="C476" s="218">
        <f>'[1]Project Overview'!D473</f>
        <v>0</v>
      </c>
      <c r="D476" s="217">
        <f>'[1]Project Overview'!V473</f>
        <v>0</v>
      </c>
      <c r="E476" s="217"/>
      <c r="F476" s="217">
        <f t="shared" si="69"/>
        <v>1</v>
      </c>
      <c r="G476" s="217">
        <f t="shared" si="70"/>
        <v>0</v>
      </c>
      <c r="H476" s="217">
        <f>IF(AND($A476&lt;&gt;"",'[1]Project Overview'!E473=""),1,0)</f>
        <v>0</v>
      </c>
      <c r="I476" s="217">
        <f>IF(AND($A476&lt;&gt;"",'[1]Project Overview'!G473=""),1,0)</f>
        <v>0</v>
      </c>
      <c r="J476" s="217">
        <f>IF(AND($A476&lt;&gt;"",OR('[1]Project Overview'!J473="ESCO",'[1]Project Overview'!J473="EPC",'[1]Project Overview'!J473="ESCO BUYOUT"),'[1]Project Overview'!L473=""),1,0)</f>
        <v>0</v>
      </c>
      <c r="K476" s="217">
        <f>IF(AND($A476&lt;&gt;"",'[1]Project Overview'!P473=""),1,0)</f>
        <v>0</v>
      </c>
      <c r="L476" s="217">
        <f>IF(AND($A476&lt;&gt;"",'[1]Project Overview'!AA473=""),1,0)</f>
        <v>0</v>
      </c>
      <c r="M476" s="217"/>
      <c r="N476" s="217"/>
      <c r="O476" s="217">
        <f t="shared" si="68"/>
        <v>1</v>
      </c>
      <c r="P476" s="217" t="str">
        <f t="shared" si="67"/>
        <v/>
      </c>
    </row>
    <row r="477" spans="1:16" hidden="1" x14ac:dyDescent="0.3">
      <c r="A477" s="217" t="str">
        <f>""&amp;'[1]Project Overview'!A474</f>
        <v/>
      </c>
      <c r="B477" s="218">
        <f>'[1]Project Overview'!C474</f>
        <v>0</v>
      </c>
      <c r="C477" s="218">
        <f>'[1]Project Overview'!D474</f>
        <v>0</v>
      </c>
      <c r="D477" s="217">
        <f>'[1]Project Overview'!V474</f>
        <v>0</v>
      </c>
      <c r="E477" s="217"/>
      <c r="F477" s="217">
        <f t="shared" si="69"/>
        <v>1</v>
      </c>
      <c r="G477" s="217">
        <f t="shared" si="70"/>
        <v>0</v>
      </c>
      <c r="H477" s="217">
        <f>IF(AND($A477&lt;&gt;"",'[1]Project Overview'!E474=""),1,0)</f>
        <v>0</v>
      </c>
      <c r="I477" s="217">
        <f>IF(AND($A477&lt;&gt;"",'[1]Project Overview'!G474=""),1,0)</f>
        <v>0</v>
      </c>
      <c r="J477" s="217">
        <f>IF(AND($A477&lt;&gt;"",OR('[1]Project Overview'!J474="ESCO",'[1]Project Overview'!J474="EPC",'[1]Project Overview'!J474="ESCO BUYOUT"),'[1]Project Overview'!L474=""),1,0)</f>
        <v>0</v>
      </c>
      <c r="K477" s="217">
        <f>IF(AND($A477&lt;&gt;"",'[1]Project Overview'!P474=""),1,0)</f>
        <v>0</v>
      </c>
      <c r="L477" s="217">
        <f>IF(AND($A477&lt;&gt;"",'[1]Project Overview'!AA474=""),1,0)</f>
        <v>0</v>
      </c>
      <c r="M477" s="217"/>
      <c r="N477" s="217"/>
      <c r="O477" s="217">
        <f t="shared" si="68"/>
        <v>1</v>
      </c>
      <c r="P477" s="217" t="str">
        <f t="shared" si="67"/>
        <v/>
      </c>
    </row>
    <row r="478" spans="1:16" hidden="1" x14ac:dyDescent="0.3">
      <c r="A478" s="217" t="str">
        <f>""&amp;'[1]Project Overview'!A475</f>
        <v/>
      </c>
      <c r="B478" s="218">
        <f>'[1]Project Overview'!C475</f>
        <v>0</v>
      </c>
      <c r="C478" s="218">
        <f>'[1]Project Overview'!D475</f>
        <v>0</v>
      </c>
      <c r="D478" s="217">
        <f>'[1]Project Overview'!V475</f>
        <v>0</v>
      </c>
      <c r="E478" s="217"/>
      <c r="F478" s="217">
        <f t="shared" si="69"/>
        <v>1</v>
      </c>
      <c r="G478" s="217">
        <f t="shared" si="70"/>
        <v>0</v>
      </c>
      <c r="H478" s="217">
        <f>IF(AND($A478&lt;&gt;"",'[1]Project Overview'!E475=""),1,0)</f>
        <v>0</v>
      </c>
      <c r="I478" s="217">
        <f>IF(AND($A478&lt;&gt;"",'[1]Project Overview'!G475=""),1,0)</f>
        <v>0</v>
      </c>
      <c r="J478" s="217">
        <f>IF(AND($A478&lt;&gt;"",OR('[1]Project Overview'!J475="ESCO",'[1]Project Overview'!J475="EPC",'[1]Project Overview'!J475="ESCO BUYOUT"),'[1]Project Overview'!L475=""),1,0)</f>
        <v>0</v>
      </c>
      <c r="K478" s="217">
        <f>IF(AND($A478&lt;&gt;"",'[1]Project Overview'!P475=""),1,0)</f>
        <v>0</v>
      </c>
      <c r="L478" s="217">
        <f>IF(AND($A478&lt;&gt;"",'[1]Project Overview'!AA475=""),1,0)</f>
        <v>0</v>
      </c>
      <c r="M478" s="217"/>
      <c r="N478" s="217"/>
      <c r="O478" s="217">
        <f t="shared" si="68"/>
        <v>1</v>
      </c>
      <c r="P478" s="217" t="str">
        <f t="shared" si="67"/>
        <v/>
      </c>
    </row>
    <row r="479" spans="1:16" hidden="1" x14ac:dyDescent="0.3">
      <c r="A479" s="217" t="str">
        <f>""&amp;'[1]Project Overview'!A476</f>
        <v/>
      </c>
      <c r="B479" s="218">
        <f>'[1]Project Overview'!C476</f>
        <v>0</v>
      </c>
      <c r="C479" s="218">
        <f>'[1]Project Overview'!D476</f>
        <v>0</v>
      </c>
      <c r="D479" s="217">
        <f>'[1]Project Overview'!V476</f>
        <v>0</v>
      </c>
      <c r="E479" s="217"/>
      <c r="F479" s="217">
        <f t="shared" si="69"/>
        <v>1</v>
      </c>
      <c r="G479" s="217">
        <f t="shared" si="70"/>
        <v>0</v>
      </c>
      <c r="H479" s="217">
        <f>IF(AND($A479&lt;&gt;"",'[1]Project Overview'!E476=""),1,0)</f>
        <v>0</v>
      </c>
      <c r="I479" s="217">
        <f>IF(AND($A479&lt;&gt;"",'[1]Project Overview'!G476=""),1,0)</f>
        <v>0</v>
      </c>
      <c r="J479" s="217">
        <f>IF(AND($A479&lt;&gt;"",OR('[1]Project Overview'!J476="ESCO",'[1]Project Overview'!J476="EPC",'[1]Project Overview'!J476="ESCO BUYOUT"),'[1]Project Overview'!L476=""),1,0)</f>
        <v>0</v>
      </c>
      <c r="K479" s="217">
        <f>IF(AND($A479&lt;&gt;"",'[1]Project Overview'!P476=""),1,0)</f>
        <v>0</v>
      </c>
      <c r="L479" s="217">
        <f>IF(AND($A479&lt;&gt;"",'[1]Project Overview'!AA476=""),1,0)</f>
        <v>0</v>
      </c>
      <c r="M479" s="217"/>
      <c r="N479" s="217"/>
      <c r="O479" s="217">
        <f t="shared" si="68"/>
        <v>1</v>
      </c>
      <c r="P479" s="217" t="str">
        <f t="shared" si="67"/>
        <v/>
      </c>
    </row>
    <row r="480" spans="1:16" hidden="1" x14ac:dyDescent="0.3">
      <c r="A480" s="217" t="str">
        <f>""&amp;'[1]Project Overview'!A477</f>
        <v/>
      </c>
      <c r="B480" s="218">
        <f>'[1]Project Overview'!C477</f>
        <v>0</v>
      </c>
      <c r="C480" s="218">
        <f>'[1]Project Overview'!D477</f>
        <v>0</v>
      </c>
      <c r="D480" s="217">
        <f>'[1]Project Overview'!V477</f>
        <v>0</v>
      </c>
      <c r="E480" s="217"/>
      <c r="F480" s="217">
        <f t="shared" si="69"/>
        <v>1</v>
      </c>
      <c r="G480" s="217">
        <f t="shared" si="70"/>
        <v>0</v>
      </c>
      <c r="H480" s="217">
        <f>IF(AND($A480&lt;&gt;"",'[1]Project Overview'!E477=""),1,0)</f>
        <v>0</v>
      </c>
      <c r="I480" s="217">
        <f>IF(AND($A480&lt;&gt;"",'[1]Project Overview'!G477=""),1,0)</f>
        <v>0</v>
      </c>
      <c r="J480" s="217">
        <f>IF(AND($A480&lt;&gt;"",OR('[1]Project Overview'!J477="ESCO",'[1]Project Overview'!J477="EPC",'[1]Project Overview'!J477="ESCO BUYOUT"),'[1]Project Overview'!L477=""),1,0)</f>
        <v>0</v>
      </c>
      <c r="K480" s="217">
        <f>IF(AND($A480&lt;&gt;"",'[1]Project Overview'!P477=""),1,0)</f>
        <v>0</v>
      </c>
      <c r="L480" s="217">
        <f>IF(AND($A480&lt;&gt;"",'[1]Project Overview'!AA477=""),1,0)</f>
        <v>0</v>
      </c>
      <c r="M480" s="217"/>
      <c r="N480" s="217"/>
      <c r="O480" s="217">
        <f t="shared" si="68"/>
        <v>1</v>
      </c>
      <c r="P480" s="217" t="str">
        <f t="shared" si="67"/>
        <v/>
      </c>
    </row>
    <row r="481" spans="1:16" hidden="1" x14ac:dyDescent="0.3">
      <c r="A481" s="217" t="str">
        <f>""&amp;'[1]Project Overview'!A478</f>
        <v/>
      </c>
      <c r="B481" s="218">
        <f>'[1]Project Overview'!C478</f>
        <v>0</v>
      </c>
      <c r="C481" s="218">
        <f>'[1]Project Overview'!D478</f>
        <v>0</v>
      </c>
      <c r="D481" s="217">
        <f>'[1]Project Overview'!V478</f>
        <v>0</v>
      </c>
      <c r="E481" s="217"/>
      <c r="F481" s="217">
        <f t="shared" si="69"/>
        <v>1</v>
      </c>
      <c r="G481" s="217">
        <f t="shared" si="70"/>
        <v>0</v>
      </c>
      <c r="H481" s="217">
        <f>IF(AND($A481&lt;&gt;"",'[1]Project Overview'!E478=""),1,0)</f>
        <v>0</v>
      </c>
      <c r="I481" s="217">
        <f>IF(AND($A481&lt;&gt;"",'[1]Project Overview'!G478=""),1,0)</f>
        <v>0</v>
      </c>
      <c r="J481" s="217">
        <f>IF(AND($A481&lt;&gt;"",OR('[1]Project Overview'!J478="ESCO",'[1]Project Overview'!J478="EPC",'[1]Project Overview'!J478="ESCO BUYOUT"),'[1]Project Overview'!L478=""),1,0)</f>
        <v>0</v>
      </c>
      <c r="K481" s="217">
        <f>IF(AND($A481&lt;&gt;"",'[1]Project Overview'!P478=""),1,0)</f>
        <v>0</v>
      </c>
      <c r="L481" s="217">
        <f>IF(AND($A481&lt;&gt;"",'[1]Project Overview'!AA478=""),1,0)</f>
        <v>0</v>
      </c>
      <c r="M481" s="217"/>
      <c r="N481" s="217"/>
      <c r="O481" s="217">
        <f t="shared" si="68"/>
        <v>1</v>
      </c>
      <c r="P481" s="217" t="str">
        <f t="shared" si="67"/>
        <v/>
      </c>
    </row>
    <row r="482" spans="1:16" hidden="1" x14ac:dyDescent="0.3">
      <c r="A482" s="217" t="str">
        <f>""&amp;'[1]Project Overview'!A479</f>
        <v/>
      </c>
      <c r="B482" s="218">
        <f>'[1]Project Overview'!C479</f>
        <v>0</v>
      </c>
      <c r="C482" s="218">
        <f>'[1]Project Overview'!D479</f>
        <v>0</v>
      </c>
      <c r="D482" s="217">
        <f>'[1]Project Overview'!V479</f>
        <v>0</v>
      </c>
      <c r="E482" s="217"/>
      <c r="F482" s="217">
        <f t="shared" si="69"/>
        <v>1</v>
      </c>
      <c r="G482" s="217">
        <f t="shared" si="70"/>
        <v>0</v>
      </c>
      <c r="H482" s="217">
        <f>IF(AND($A482&lt;&gt;"",'[1]Project Overview'!E479=""),1,0)</f>
        <v>0</v>
      </c>
      <c r="I482" s="217">
        <f>IF(AND($A482&lt;&gt;"",'[1]Project Overview'!G479=""),1,0)</f>
        <v>0</v>
      </c>
      <c r="J482" s="217">
        <f>IF(AND($A482&lt;&gt;"",OR('[1]Project Overview'!J479="ESCO",'[1]Project Overview'!J479="EPC",'[1]Project Overview'!J479="ESCO BUYOUT"),'[1]Project Overview'!L479=""),1,0)</f>
        <v>0</v>
      </c>
      <c r="K482" s="217">
        <f>IF(AND($A482&lt;&gt;"",'[1]Project Overview'!P479=""),1,0)</f>
        <v>0</v>
      </c>
      <c r="L482" s="217">
        <f>IF(AND($A482&lt;&gt;"",'[1]Project Overview'!AA479=""),1,0)</f>
        <v>0</v>
      </c>
      <c r="M482" s="217"/>
      <c r="N482" s="217"/>
      <c r="O482" s="217">
        <f t="shared" si="68"/>
        <v>1</v>
      </c>
      <c r="P482" s="217" t="str">
        <f t="shared" si="67"/>
        <v/>
      </c>
    </row>
    <row r="483" spans="1:16" hidden="1" x14ac:dyDescent="0.3">
      <c r="A483" s="217" t="str">
        <f>""&amp;'[1]Project Overview'!A480</f>
        <v/>
      </c>
      <c r="B483" s="218">
        <f>'[1]Project Overview'!C480</f>
        <v>0</v>
      </c>
      <c r="C483" s="218">
        <f>'[1]Project Overview'!D480</f>
        <v>0</v>
      </c>
      <c r="D483" s="217">
        <f>'[1]Project Overview'!V480</f>
        <v>0</v>
      </c>
      <c r="E483" s="217"/>
      <c r="F483" s="217">
        <f t="shared" si="69"/>
        <v>1</v>
      </c>
      <c r="G483" s="217">
        <f t="shared" si="70"/>
        <v>0</v>
      </c>
      <c r="H483" s="217">
        <f>IF(AND($A483&lt;&gt;"",'[1]Project Overview'!E480=""),1,0)</f>
        <v>0</v>
      </c>
      <c r="I483" s="217">
        <f>IF(AND($A483&lt;&gt;"",'[1]Project Overview'!G480=""),1,0)</f>
        <v>0</v>
      </c>
      <c r="J483" s="217">
        <f>IF(AND($A483&lt;&gt;"",OR('[1]Project Overview'!J480="ESCO",'[1]Project Overview'!J480="EPC",'[1]Project Overview'!J480="ESCO BUYOUT"),'[1]Project Overview'!L480=""),1,0)</f>
        <v>0</v>
      </c>
      <c r="K483" s="217">
        <f>IF(AND($A483&lt;&gt;"",'[1]Project Overview'!P480=""),1,0)</f>
        <v>0</v>
      </c>
      <c r="L483" s="217">
        <f>IF(AND($A483&lt;&gt;"",'[1]Project Overview'!AA480=""),1,0)</f>
        <v>0</v>
      </c>
      <c r="M483" s="217"/>
      <c r="N483" s="217"/>
      <c r="O483" s="217">
        <f t="shared" si="68"/>
        <v>1</v>
      </c>
      <c r="P483" s="217" t="str">
        <f t="shared" si="67"/>
        <v/>
      </c>
    </row>
    <row r="484" spans="1:16" hidden="1" x14ac:dyDescent="0.3">
      <c r="A484" s="217" t="str">
        <f>""&amp;'[1]Project Overview'!A481</f>
        <v/>
      </c>
      <c r="B484" s="218">
        <f>'[1]Project Overview'!C481</f>
        <v>0</v>
      </c>
      <c r="C484" s="218">
        <f>'[1]Project Overview'!D481</f>
        <v>0</v>
      </c>
      <c r="D484" s="217">
        <f>'[1]Project Overview'!V481</f>
        <v>0</v>
      </c>
      <c r="E484" s="217"/>
      <c r="F484" s="217">
        <f t="shared" si="69"/>
        <v>1</v>
      </c>
      <c r="G484" s="217">
        <f t="shared" si="70"/>
        <v>0</v>
      </c>
      <c r="H484" s="217">
        <f>IF(AND($A484&lt;&gt;"",'[1]Project Overview'!E481=""),1,0)</f>
        <v>0</v>
      </c>
      <c r="I484" s="217">
        <f>IF(AND($A484&lt;&gt;"",'[1]Project Overview'!G481=""),1,0)</f>
        <v>0</v>
      </c>
      <c r="J484" s="217">
        <f>IF(AND($A484&lt;&gt;"",OR('[1]Project Overview'!J481="ESCO",'[1]Project Overview'!J481="EPC",'[1]Project Overview'!J481="ESCO BUYOUT"),'[1]Project Overview'!L481=""),1,0)</f>
        <v>0</v>
      </c>
      <c r="K484" s="217">
        <f>IF(AND($A484&lt;&gt;"",'[1]Project Overview'!P481=""),1,0)</f>
        <v>0</v>
      </c>
      <c r="L484" s="217">
        <f>IF(AND($A484&lt;&gt;"",'[1]Project Overview'!AA481=""),1,0)</f>
        <v>0</v>
      </c>
      <c r="M484" s="217"/>
      <c r="N484" s="217"/>
      <c r="O484" s="217">
        <f t="shared" si="68"/>
        <v>1</v>
      </c>
      <c r="P484" s="217" t="str">
        <f t="shared" si="67"/>
        <v/>
      </c>
    </row>
    <row r="485" spans="1:16" hidden="1" x14ac:dyDescent="0.3">
      <c r="A485" s="217" t="str">
        <f>""&amp;'[1]Project Overview'!A482</f>
        <v/>
      </c>
      <c r="B485" s="218">
        <f>'[1]Project Overview'!C482</f>
        <v>0</v>
      </c>
      <c r="C485" s="218">
        <f>'[1]Project Overview'!D482</f>
        <v>0</v>
      </c>
      <c r="D485" s="217">
        <f>'[1]Project Overview'!V482</f>
        <v>0</v>
      </c>
      <c r="E485" s="217"/>
      <c r="F485" s="217">
        <f t="shared" si="69"/>
        <v>1</v>
      </c>
      <c r="G485" s="217">
        <f t="shared" si="70"/>
        <v>0</v>
      </c>
      <c r="H485" s="217">
        <f>IF(AND($A485&lt;&gt;"",'[1]Project Overview'!E482=""),1,0)</f>
        <v>0</v>
      </c>
      <c r="I485" s="217">
        <f>IF(AND($A485&lt;&gt;"",'[1]Project Overview'!G482=""),1,0)</f>
        <v>0</v>
      </c>
      <c r="J485" s="217">
        <f>IF(AND($A485&lt;&gt;"",OR('[1]Project Overview'!J482="ESCO",'[1]Project Overview'!J482="EPC",'[1]Project Overview'!J482="ESCO BUYOUT"),'[1]Project Overview'!L482=""),1,0)</f>
        <v>0</v>
      </c>
      <c r="K485" s="217">
        <f>IF(AND($A485&lt;&gt;"",'[1]Project Overview'!P482=""),1,0)</f>
        <v>0</v>
      </c>
      <c r="L485" s="217">
        <f>IF(AND($A485&lt;&gt;"",'[1]Project Overview'!AA482=""),1,0)</f>
        <v>0</v>
      </c>
      <c r="M485" s="217"/>
      <c r="N485" s="217"/>
      <c r="O485" s="217">
        <f t="shared" si="68"/>
        <v>1</v>
      </c>
      <c r="P485" s="217" t="str">
        <f t="shared" si="67"/>
        <v/>
      </c>
    </row>
    <row r="486" spans="1:16" hidden="1" x14ac:dyDescent="0.3">
      <c r="A486" s="217" t="str">
        <f>""&amp;'[1]Project Overview'!A483</f>
        <v/>
      </c>
      <c r="B486" s="218">
        <f>'[1]Project Overview'!C483</f>
        <v>0</v>
      </c>
      <c r="C486" s="218">
        <f>'[1]Project Overview'!D483</f>
        <v>0</v>
      </c>
      <c r="D486" s="217">
        <f>'[1]Project Overview'!V483</f>
        <v>0</v>
      </c>
      <c r="E486" s="217"/>
      <c r="F486" s="217">
        <f t="shared" si="69"/>
        <v>1</v>
      </c>
      <c r="G486" s="217">
        <f t="shared" si="70"/>
        <v>0</v>
      </c>
      <c r="H486" s="217">
        <f>IF(AND($A486&lt;&gt;"",'[1]Project Overview'!E483=""),1,0)</f>
        <v>0</v>
      </c>
      <c r="I486" s="217">
        <f>IF(AND($A486&lt;&gt;"",'[1]Project Overview'!G483=""),1,0)</f>
        <v>0</v>
      </c>
      <c r="J486" s="217">
        <f>IF(AND($A486&lt;&gt;"",OR('[1]Project Overview'!J483="ESCO",'[1]Project Overview'!J483="EPC",'[1]Project Overview'!J483="ESCO BUYOUT"),'[1]Project Overview'!L483=""),1,0)</f>
        <v>0</v>
      </c>
      <c r="K486" s="217">
        <f>IF(AND($A486&lt;&gt;"",'[1]Project Overview'!P483=""),1,0)</f>
        <v>0</v>
      </c>
      <c r="L486" s="217">
        <f>IF(AND($A486&lt;&gt;"",'[1]Project Overview'!AA483=""),1,0)</f>
        <v>0</v>
      </c>
      <c r="M486" s="217"/>
      <c r="N486" s="217"/>
      <c r="O486" s="217">
        <f t="shared" si="68"/>
        <v>1</v>
      </c>
      <c r="P486" s="217" t="str">
        <f t="shared" si="67"/>
        <v/>
      </c>
    </row>
    <row r="487" spans="1:16" hidden="1" x14ac:dyDescent="0.3">
      <c r="A487" s="217" t="str">
        <f>""&amp;'[1]Project Overview'!A484</f>
        <v/>
      </c>
      <c r="B487" s="218">
        <f>'[1]Project Overview'!C484</f>
        <v>0</v>
      </c>
      <c r="C487" s="218">
        <f>'[1]Project Overview'!D484</f>
        <v>0</v>
      </c>
      <c r="D487" s="217">
        <f>'[1]Project Overview'!V484</f>
        <v>0</v>
      </c>
      <c r="E487" s="217"/>
      <c r="F487" s="217">
        <f t="shared" si="69"/>
        <v>1</v>
      </c>
      <c r="G487" s="217">
        <f t="shared" si="70"/>
        <v>0</v>
      </c>
      <c r="H487" s="217">
        <f>IF(AND($A487&lt;&gt;"",'[1]Project Overview'!E484=""),1,0)</f>
        <v>0</v>
      </c>
      <c r="I487" s="217">
        <f>IF(AND($A487&lt;&gt;"",'[1]Project Overview'!G484=""),1,0)</f>
        <v>0</v>
      </c>
      <c r="J487" s="217">
        <f>IF(AND($A487&lt;&gt;"",OR('[1]Project Overview'!J484="ESCO",'[1]Project Overview'!J484="EPC",'[1]Project Overview'!J484="ESCO BUYOUT"),'[1]Project Overview'!L484=""),1,0)</f>
        <v>0</v>
      </c>
      <c r="K487" s="217">
        <f>IF(AND($A487&lt;&gt;"",'[1]Project Overview'!P484=""),1,0)</f>
        <v>0</v>
      </c>
      <c r="L487" s="217">
        <f>IF(AND($A487&lt;&gt;"",'[1]Project Overview'!AA484=""),1,0)</f>
        <v>0</v>
      </c>
      <c r="M487" s="217"/>
      <c r="N487" s="217"/>
      <c r="O487" s="217">
        <f t="shared" si="68"/>
        <v>1</v>
      </c>
      <c r="P487" s="217" t="str">
        <f t="shared" si="67"/>
        <v/>
      </c>
    </row>
    <row r="488" spans="1:16" hidden="1" x14ac:dyDescent="0.3">
      <c r="A488" s="217" t="str">
        <f>""&amp;'[1]Project Overview'!A485</f>
        <v/>
      </c>
      <c r="B488" s="218">
        <f>'[1]Project Overview'!C485</f>
        <v>0</v>
      </c>
      <c r="C488" s="218">
        <f>'[1]Project Overview'!D485</f>
        <v>0</v>
      </c>
      <c r="D488" s="217">
        <f>'[1]Project Overview'!V485</f>
        <v>0</v>
      </c>
      <c r="E488" s="217"/>
      <c r="F488" s="217">
        <f t="shared" si="69"/>
        <v>1</v>
      </c>
      <c r="G488" s="217">
        <f t="shared" si="70"/>
        <v>0</v>
      </c>
      <c r="H488" s="217">
        <f>IF(AND($A488&lt;&gt;"",'[1]Project Overview'!E485=""),1,0)</f>
        <v>0</v>
      </c>
      <c r="I488" s="217">
        <f>IF(AND($A488&lt;&gt;"",'[1]Project Overview'!G485=""),1,0)</f>
        <v>0</v>
      </c>
      <c r="J488" s="217">
        <f>IF(AND($A488&lt;&gt;"",OR('[1]Project Overview'!J485="ESCO",'[1]Project Overview'!J485="EPC",'[1]Project Overview'!J485="ESCO BUYOUT"),'[1]Project Overview'!L485=""),1,0)</f>
        <v>0</v>
      </c>
      <c r="K488" s="217">
        <f>IF(AND($A488&lt;&gt;"",'[1]Project Overview'!P485=""),1,0)</f>
        <v>0</v>
      </c>
      <c r="L488" s="217">
        <f>IF(AND($A488&lt;&gt;"",'[1]Project Overview'!AA485=""),1,0)</f>
        <v>0</v>
      </c>
      <c r="M488" s="217"/>
      <c r="N488" s="217"/>
      <c r="O488" s="217">
        <f t="shared" si="68"/>
        <v>1</v>
      </c>
      <c r="P488" s="217" t="str">
        <f t="shared" si="67"/>
        <v/>
      </c>
    </row>
    <row r="489" spans="1:16" hidden="1" x14ac:dyDescent="0.3">
      <c r="A489" s="217" t="str">
        <f>""&amp;'[1]Project Overview'!A486</f>
        <v/>
      </c>
      <c r="B489" s="218">
        <f>'[1]Project Overview'!C486</f>
        <v>0</v>
      </c>
      <c r="C489" s="218">
        <f>'[1]Project Overview'!D486</f>
        <v>0</v>
      </c>
      <c r="D489" s="217">
        <f>'[1]Project Overview'!V486</f>
        <v>0</v>
      </c>
      <c r="E489" s="217"/>
      <c r="F489" s="217">
        <f t="shared" si="69"/>
        <v>1</v>
      </c>
      <c r="G489" s="217">
        <f t="shared" si="70"/>
        <v>0</v>
      </c>
      <c r="H489" s="217">
        <f>IF(AND($A489&lt;&gt;"",'[1]Project Overview'!E486=""),1,0)</f>
        <v>0</v>
      </c>
      <c r="I489" s="217">
        <f>IF(AND($A489&lt;&gt;"",'[1]Project Overview'!G486=""),1,0)</f>
        <v>0</v>
      </c>
      <c r="J489" s="217">
        <f>IF(AND($A489&lt;&gt;"",OR('[1]Project Overview'!J486="ESCO",'[1]Project Overview'!J486="EPC",'[1]Project Overview'!J486="ESCO BUYOUT"),'[1]Project Overview'!L486=""),1,0)</f>
        <v>0</v>
      </c>
      <c r="K489" s="217">
        <f>IF(AND($A489&lt;&gt;"",'[1]Project Overview'!P486=""),1,0)</f>
        <v>0</v>
      </c>
      <c r="L489" s="217">
        <f>IF(AND($A489&lt;&gt;"",'[1]Project Overview'!AA486=""),1,0)</f>
        <v>0</v>
      </c>
      <c r="M489" s="217"/>
      <c r="N489" s="217"/>
      <c r="O489" s="217">
        <f t="shared" si="68"/>
        <v>1</v>
      </c>
      <c r="P489" s="217" t="str">
        <f t="shared" si="67"/>
        <v/>
      </c>
    </row>
    <row r="490" spans="1:16" hidden="1" x14ac:dyDescent="0.3">
      <c r="A490" s="217" t="str">
        <f>""&amp;'[1]Project Overview'!A487</f>
        <v/>
      </c>
      <c r="B490" s="218">
        <f>'[1]Project Overview'!C487</f>
        <v>0</v>
      </c>
      <c r="C490" s="218">
        <f>'[1]Project Overview'!D487</f>
        <v>0</v>
      </c>
      <c r="D490" s="217">
        <f>'[1]Project Overview'!V487</f>
        <v>0</v>
      </c>
      <c r="E490" s="217"/>
      <c r="F490" s="217">
        <f t="shared" si="69"/>
        <v>1</v>
      </c>
      <c r="G490" s="217">
        <f t="shared" si="70"/>
        <v>0</v>
      </c>
      <c r="H490" s="217">
        <f>IF(AND($A490&lt;&gt;"",'[1]Project Overview'!E487=""),1,0)</f>
        <v>0</v>
      </c>
      <c r="I490" s="217">
        <f>IF(AND($A490&lt;&gt;"",'[1]Project Overview'!G487=""),1,0)</f>
        <v>0</v>
      </c>
      <c r="J490" s="217">
        <f>IF(AND($A490&lt;&gt;"",OR('[1]Project Overview'!J487="ESCO",'[1]Project Overview'!J487="EPC",'[1]Project Overview'!J487="ESCO BUYOUT"),'[1]Project Overview'!L487=""),1,0)</f>
        <v>0</v>
      </c>
      <c r="K490" s="217">
        <f>IF(AND($A490&lt;&gt;"",'[1]Project Overview'!P487=""),1,0)</f>
        <v>0</v>
      </c>
      <c r="L490" s="217">
        <f>IF(AND($A490&lt;&gt;"",'[1]Project Overview'!AA487=""),1,0)</f>
        <v>0</v>
      </c>
      <c r="M490" s="217"/>
      <c r="N490" s="217"/>
      <c r="O490" s="217">
        <f t="shared" si="68"/>
        <v>1</v>
      </c>
      <c r="P490" s="217" t="str">
        <f t="shared" si="67"/>
        <v/>
      </c>
    </row>
    <row r="491" spans="1:16" hidden="1" x14ac:dyDescent="0.3">
      <c r="A491" s="217" t="str">
        <f>""&amp;'[1]Project Overview'!A488</f>
        <v/>
      </c>
      <c r="B491" s="218">
        <f>'[1]Project Overview'!C488</f>
        <v>0</v>
      </c>
      <c r="C491" s="218">
        <f>'[1]Project Overview'!D488</f>
        <v>0</v>
      </c>
      <c r="D491" s="217">
        <f>'[1]Project Overview'!V488</f>
        <v>0</v>
      </c>
      <c r="E491" s="217"/>
      <c r="F491" s="217">
        <f t="shared" si="69"/>
        <v>1</v>
      </c>
      <c r="G491" s="217">
        <f t="shared" si="70"/>
        <v>0</v>
      </c>
      <c r="H491" s="217">
        <f>IF(AND($A491&lt;&gt;"",'[1]Project Overview'!E488=""),1,0)</f>
        <v>0</v>
      </c>
      <c r="I491" s="217">
        <f>IF(AND($A491&lt;&gt;"",'[1]Project Overview'!G488=""),1,0)</f>
        <v>0</v>
      </c>
      <c r="J491" s="217">
        <f>IF(AND($A491&lt;&gt;"",OR('[1]Project Overview'!J488="ESCO",'[1]Project Overview'!J488="EPC",'[1]Project Overview'!J488="ESCO BUYOUT"),'[1]Project Overview'!L488=""),1,0)</f>
        <v>0</v>
      </c>
      <c r="K491" s="217">
        <f>IF(AND($A491&lt;&gt;"",'[1]Project Overview'!P488=""),1,0)</f>
        <v>0</v>
      </c>
      <c r="L491" s="217">
        <f>IF(AND($A491&lt;&gt;"",'[1]Project Overview'!AA488=""),1,0)</f>
        <v>0</v>
      </c>
      <c r="M491" s="217"/>
      <c r="N491" s="217"/>
      <c r="O491" s="217">
        <f t="shared" si="68"/>
        <v>1</v>
      </c>
      <c r="P491" s="217" t="str">
        <f t="shared" si="67"/>
        <v/>
      </c>
    </row>
    <row r="492" spans="1:16" hidden="1" x14ac:dyDescent="0.3">
      <c r="A492" s="217" t="str">
        <f>""&amp;'[1]Project Overview'!A489</f>
        <v/>
      </c>
      <c r="B492" s="218">
        <f>'[1]Project Overview'!C489</f>
        <v>0</v>
      </c>
      <c r="C492" s="218">
        <f>'[1]Project Overview'!D489</f>
        <v>0</v>
      </c>
      <c r="D492" s="217">
        <f>'[1]Project Overview'!V489</f>
        <v>0</v>
      </c>
      <c r="E492" s="217"/>
      <c r="F492" s="217">
        <f t="shared" si="69"/>
        <v>1</v>
      </c>
      <c r="G492" s="217">
        <f t="shared" si="70"/>
        <v>0</v>
      </c>
      <c r="H492" s="217">
        <f>IF(AND($A492&lt;&gt;"",'[1]Project Overview'!E489=""),1,0)</f>
        <v>0</v>
      </c>
      <c r="I492" s="217">
        <f>IF(AND($A492&lt;&gt;"",'[1]Project Overview'!G489=""),1,0)</f>
        <v>0</v>
      </c>
      <c r="J492" s="217">
        <f>IF(AND($A492&lt;&gt;"",OR('[1]Project Overview'!J489="ESCO",'[1]Project Overview'!J489="EPC",'[1]Project Overview'!J489="ESCO BUYOUT"),'[1]Project Overview'!L489=""),1,0)</f>
        <v>0</v>
      </c>
      <c r="K492" s="217">
        <f>IF(AND($A492&lt;&gt;"",'[1]Project Overview'!P489=""),1,0)</f>
        <v>0</v>
      </c>
      <c r="L492" s="217">
        <f>IF(AND($A492&lt;&gt;"",'[1]Project Overview'!AA489=""),1,0)</f>
        <v>0</v>
      </c>
      <c r="M492" s="217"/>
      <c r="N492" s="217"/>
      <c r="O492" s="217">
        <f t="shared" si="68"/>
        <v>1</v>
      </c>
      <c r="P492" s="217" t="str">
        <f t="shared" si="67"/>
        <v/>
      </c>
    </row>
    <row r="493" spans="1:16" hidden="1" x14ac:dyDescent="0.3">
      <c r="A493" s="217" t="str">
        <f>""&amp;'[1]Project Overview'!A490</f>
        <v/>
      </c>
      <c r="B493" s="218">
        <f>'[1]Project Overview'!C490</f>
        <v>0</v>
      </c>
      <c r="C493" s="218">
        <f>'[1]Project Overview'!D490</f>
        <v>0</v>
      </c>
      <c r="D493" s="217">
        <f>'[1]Project Overview'!V490</f>
        <v>0</v>
      </c>
      <c r="E493" s="217"/>
      <c r="F493" s="217">
        <f t="shared" si="69"/>
        <v>1</v>
      </c>
      <c r="G493" s="217">
        <f t="shared" si="70"/>
        <v>0</v>
      </c>
      <c r="H493" s="217">
        <f>IF(AND($A493&lt;&gt;"",'[1]Project Overview'!E490=""),1,0)</f>
        <v>0</v>
      </c>
      <c r="I493" s="217">
        <f>IF(AND($A493&lt;&gt;"",'[1]Project Overview'!G490=""),1,0)</f>
        <v>0</v>
      </c>
      <c r="J493" s="217">
        <f>IF(AND($A493&lt;&gt;"",OR('[1]Project Overview'!J490="ESCO",'[1]Project Overview'!J490="EPC",'[1]Project Overview'!J490="ESCO BUYOUT"),'[1]Project Overview'!L490=""),1,0)</f>
        <v>0</v>
      </c>
      <c r="K493" s="217">
        <f>IF(AND($A493&lt;&gt;"",'[1]Project Overview'!P490=""),1,0)</f>
        <v>0</v>
      </c>
      <c r="L493" s="217">
        <f>IF(AND($A493&lt;&gt;"",'[1]Project Overview'!AA490=""),1,0)</f>
        <v>0</v>
      </c>
      <c r="M493" s="217"/>
      <c r="N493" s="217"/>
      <c r="O493" s="217">
        <f t="shared" si="68"/>
        <v>1</v>
      </c>
      <c r="P493" s="217" t="str">
        <f t="shared" si="67"/>
        <v/>
      </c>
    </row>
    <row r="494" spans="1:16" hidden="1" x14ac:dyDescent="0.3">
      <c r="A494" s="217" t="str">
        <f>""&amp;'[1]Project Overview'!A491</f>
        <v/>
      </c>
      <c r="B494" s="218">
        <f>'[1]Project Overview'!C491</f>
        <v>0</v>
      </c>
      <c r="C494" s="218">
        <f>'[1]Project Overview'!D491</f>
        <v>0</v>
      </c>
      <c r="D494" s="217">
        <f>'[1]Project Overview'!V491</f>
        <v>0</v>
      </c>
      <c r="E494" s="217"/>
      <c r="F494" s="217">
        <f t="shared" si="69"/>
        <v>1</v>
      </c>
      <c r="G494" s="217">
        <f t="shared" si="70"/>
        <v>0</v>
      </c>
      <c r="H494" s="217">
        <f>IF(AND($A494&lt;&gt;"",'[1]Project Overview'!E491=""),1,0)</f>
        <v>0</v>
      </c>
      <c r="I494" s="217">
        <f>IF(AND($A494&lt;&gt;"",'[1]Project Overview'!G491=""),1,0)</f>
        <v>0</v>
      </c>
      <c r="J494" s="217">
        <f>IF(AND($A494&lt;&gt;"",OR('[1]Project Overview'!J491="ESCO",'[1]Project Overview'!J491="EPC",'[1]Project Overview'!J491="ESCO BUYOUT"),'[1]Project Overview'!L491=""),1,0)</f>
        <v>0</v>
      </c>
      <c r="K494" s="217">
        <f>IF(AND($A494&lt;&gt;"",'[1]Project Overview'!P491=""),1,0)</f>
        <v>0</v>
      </c>
      <c r="L494" s="217">
        <f>IF(AND($A494&lt;&gt;"",'[1]Project Overview'!AA491=""),1,0)</f>
        <v>0</v>
      </c>
      <c r="M494" s="217"/>
      <c r="N494" s="217"/>
      <c r="O494" s="217">
        <f t="shared" si="68"/>
        <v>1</v>
      </c>
      <c r="P494" s="217" t="str">
        <f t="shared" si="67"/>
        <v/>
      </c>
    </row>
    <row r="495" spans="1:16" hidden="1" x14ac:dyDescent="0.3">
      <c r="A495" s="217" t="str">
        <f>""&amp;'[1]Project Overview'!A492</f>
        <v/>
      </c>
      <c r="B495" s="218">
        <f>'[1]Project Overview'!C492</f>
        <v>0</v>
      </c>
      <c r="C495" s="218">
        <f>'[1]Project Overview'!D492</f>
        <v>0</v>
      </c>
      <c r="D495" s="217">
        <f>'[1]Project Overview'!V492</f>
        <v>0</v>
      </c>
      <c r="E495" s="217"/>
      <c r="F495" s="217">
        <f t="shared" si="69"/>
        <v>1</v>
      </c>
      <c r="G495" s="217">
        <f t="shared" si="70"/>
        <v>0</v>
      </c>
      <c r="H495" s="217">
        <f>IF(AND($A495&lt;&gt;"",'[1]Project Overview'!E492=""),1,0)</f>
        <v>0</v>
      </c>
      <c r="I495" s="217">
        <f>IF(AND($A495&lt;&gt;"",'[1]Project Overview'!G492=""),1,0)</f>
        <v>0</v>
      </c>
      <c r="J495" s="217">
        <f>IF(AND($A495&lt;&gt;"",OR('[1]Project Overview'!J492="ESCO",'[1]Project Overview'!J492="EPC",'[1]Project Overview'!J492="ESCO BUYOUT"),'[1]Project Overview'!L492=""),1,0)</f>
        <v>0</v>
      </c>
      <c r="K495" s="217">
        <f>IF(AND($A495&lt;&gt;"",'[1]Project Overview'!P492=""),1,0)</f>
        <v>0</v>
      </c>
      <c r="L495" s="217">
        <f>IF(AND($A495&lt;&gt;"",'[1]Project Overview'!AA492=""),1,0)</f>
        <v>0</v>
      </c>
      <c r="M495" s="217"/>
      <c r="N495" s="217"/>
      <c r="O495" s="217">
        <f t="shared" si="68"/>
        <v>1</v>
      </c>
      <c r="P495" s="217" t="str">
        <f t="shared" si="67"/>
        <v/>
      </c>
    </row>
    <row r="496" spans="1:16" hidden="1" x14ac:dyDescent="0.3">
      <c r="A496" s="217" t="str">
        <f>""&amp;'[1]Project Overview'!A493</f>
        <v/>
      </c>
      <c r="B496" s="218">
        <f>'[1]Project Overview'!C493</f>
        <v>0</v>
      </c>
      <c r="C496" s="218">
        <f>'[1]Project Overview'!D493</f>
        <v>0</v>
      </c>
      <c r="D496" s="217">
        <f>'[1]Project Overview'!V493</f>
        <v>0</v>
      </c>
      <c r="E496" s="217"/>
      <c r="F496" s="217">
        <f t="shared" si="69"/>
        <v>1</v>
      </c>
      <c r="G496" s="217">
        <f t="shared" si="70"/>
        <v>0</v>
      </c>
      <c r="H496" s="217">
        <f>IF(AND($A496&lt;&gt;"",'[1]Project Overview'!E493=""),1,0)</f>
        <v>0</v>
      </c>
      <c r="I496" s="217">
        <f>IF(AND($A496&lt;&gt;"",'[1]Project Overview'!G493=""),1,0)</f>
        <v>0</v>
      </c>
      <c r="J496" s="217">
        <f>IF(AND($A496&lt;&gt;"",OR('[1]Project Overview'!J493="ESCO",'[1]Project Overview'!J493="EPC",'[1]Project Overview'!J493="ESCO BUYOUT"),'[1]Project Overview'!L493=""),1,0)</f>
        <v>0</v>
      </c>
      <c r="K496" s="217">
        <f>IF(AND($A496&lt;&gt;"",'[1]Project Overview'!P493=""),1,0)</f>
        <v>0</v>
      </c>
      <c r="L496" s="217">
        <f>IF(AND($A496&lt;&gt;"",'[1]Project Overview'!AA493=""),1,0)</f>
        <v>0</v>
      </c>
      <c r="M496" s="217"/>
      <c r="N496" s="217"/>
      <c r="O496" s="217">
        <f t="shared" si="68"/>
        <v>1</v>
      </c>
      <c r="P496" s="217" t="str">
        <f t="shared" si="67"/>
        <v/>
      </c>
    </row>
    <row r="497" spans="1:16" hidden="1" x14ac:dyDescent="0.3">
      <c r="A497" s="217" t="str">
        <f>""&amp;'[1]Project Overview'!A494</f>
        <v/>
      </c>
      <c r="B497" s="218">
        <f>'[1]Project Overview'!C494</f>
        <v>0</v>
      </c>
      <c r="C497" s="218">
        <f>'[1]Project Overview'!D494</f>
        <v>0</v>
      </c>
      <c r="D497" s="217">
        <f>'[1]Project Overview'!V494</f>
        <v>0</v>
      </c>
      <c r="E497" s="217"/>
      <c r="F497" s="217">
        <f t="shared" si="69"/>
        <v>1</v>
      </c>
      <c r="G497" s="217">
        <f t="shared" si="70"/>
        <v>0</v>
      </c>
      <c r="H497" s="217">
        <f>IF(AND($A497&lt;&gt;"",'[1]Project Overview'!E494=""),1,0)</f>
        <v>0</v>
      </c>
      <c r="I497" s="217">
        <f>IF(AND($A497&lt;&gt;"",'[1]Project Overview'!G494=""),1,0)</f>
        <v>0</v>
      </c>
      <c r="J497" s="217">
        <f>IF(AND($A497&lt;&gt;"",OR('[1]Project Overview'!J494="ESCO",'[1]Project Overview'!J494="EPC",'[1]Project Overview'!J494="ESCO BUYOUT"),'[1]Project Overview'!L494=""),1,0)</f>
        <v>0</v>
      </c>
      <c r="K497" s="217">
        <f>IF(AND($A497&lt;&gt;"",'[1]Project Overview'!P494=""),1,0)</f>
        <v>0</v>
      </c>
      <c r="L497" s="217">
        <f>IF(AND($A497&lt;&gt;"",'[1]Project Overview'!AA494=""),1,0)</f>
        <v>0</v>
      </c>
      <c r="M497" s="217"/>
      <c r="N497" s="217"/>
      <c r="O497" s="217">
        <f t="shared" si="68"/>
        <v>1</v>
      </c>
      <c r="P497" s="217" t="str">
        <f t="shared" si="67"/>
        <v/>
      </c>
    </row>
    <row r="498" spans="1:16" hidden="1" x14ac:dyDescent="0.3">
      <c r="A498" s="217" t="str">
        <f>""&amp;'[1]Project Overview'!A495</f>
        <v/>
      </c>
      <c r="B498" s="218">
        <f>'[1]Project Overview'!C495</f>
        <v>0</v>
      </c>
      <c r="C498" s="218">
        <f>'[1]Project Overview'!D495</f>
        <v>0</v>
      </c>
      <c r="D498" s="217">
        <f>'[1]Project Overview'!V495</f>
        <v>0</v>
      </c>
      <c r="E498" s="217"/>
      <c r="F498" s="217">
        <f t="shared" si="69"/>
        <v>1</v>
      </c>
      <c r="G498" s="217">
        <f t="shared" si="70"/>
        <v>0</v>
      </c>
      <c r="H498" s="217">
        <f>IF(AND($A498&lt;&gt;"",'[1]Project Overview'!E495=""),1,0)</f>
        <v>0</v>
      </c>
      <c r="I498" s="217">
        <f>IF(AND($A498&lt;&gt;"",'[1]Project Overview'!G495=""),1,0)</f>
        <v>0</v>
      </c>
      <c r="J498" s="217">
        <f>IF(AND($A498&lt;&gt;"",OR('[1]Project Overview'!J495="ESCO",'[1]Project Overview'!J495="EPC",'[1]Project Overview'!J495="ESCO BUYOUT"),'[1]Project Overview'!L495=""),1,0)</f>
        <v>0</v>
      </c>
      <c r="K498" s="217">
        <f>IF(AND($A498&lt;&gt;"",'[1]Project Overview'!P495=""),1,0)</f>
        <v>0</v>
      </c>
      <c r="L498" s="217">
        <f>IF(AND($A498&lt;&gt;"",'[1]Project Overview'!AA495=""),1,0)</f>
        <v>0</v>
      </c>
      <c r="M498" s="217"/>
      <c r="N498" s="217"/>
      <c r="O498" s="217">
        <f t="shared" si="68"/>
        <v>1</v>
      </c>
      <c r="P498" s="217" t="str">
        <f t="shared" si="67"/>
        <v/>
      </c>
    </row>
    <row r="499" spans="1:16" hidden="1" x14ac:dyDescent="0.3">
      <c r="A499" s="217" t="str">
        <f>""&amp;'[1]Project Overview'!A496</f>
        <v/>
      </c>
      <c r="B499" s="218">
        <f>'[1]Project Overview'!C496</f>
        <v>0</v>
      </c>
      <c r="C499" s="218">
        <f>'[1]Project Overview'!D496</f>
        <v>0</v>
      </c>
      <c r="D499" s="217">
        <f>'[1]Project Overview'!V496</f>
        <v>0</v>
      </c>
      <c r="E499" s="217"/>
      <c r="F499" s="217">
        <f t="shared" si="69"/>
        <v>1</v>
      </c>
      <c r="G499" s="217">
        <f t="shared" si="70"/>
        <v>0</v>
      </c>
      <c r="H499" s="217">
        <f>IF(AND($A499&lt;&gt;"",'[1]Project Overview'!E496=""),1,0)</f>
        <v>0</v>
      </c>
      <c r="I499" s="217">
        <f>IF(AND($A499&lt;&gt;"",'[1]Project Overview'!G496=""),1,0)</f>
        <v>0</v>
      </c>
      <c r="J499" s="217">
        <f>IF(AND($A499&lt;&gt;"",OR('[1]Project Overview'!J496="ESCO",'[1]Project Overview'!J496="EPC",'[1]Project Overview'!J496="ESCO BUYOUT"),'[1]Project Overview'!L496=""),1,0)</f>
        <v>0</v>
      </c>
      <c r="K499" s="217">
        <f>IF(AND($A499&lt;&gt;"",'[1]Project Overview'!P496=""),1,0)</f>
        <v>0</v>
      </c>
      <c r="L499" s="217">
        <f>IF(AND($A499&lt;&gt;"",'[1]Project Overview'!AA496=""),1,0)</f>
        <v>0</v>
      </c>
      <c r="M499" s="217"/>
      <c r="N499" s="217"/>
      <c r="O499" s="217">
        <f t="shared" si="68"/>
        <v>1</v>
      </c>
      <c r="P499" s="217" t="str">
        <f t="shared" si="67"/>
        <v/>
      </c>
    </row>
    <row r="500" spans="1:16" hidden="1" x14ac:dyDescent="0.3">
      <c r="A500" s="217" t="str">
        <f>""&amp;'[1]Project Overview'!A497</f>
        <v/>
      </c>
      <c r="B500" s="218">
        <f>'[1]Project Overview'!C497</f>
        <v>0</v>
      </c>
      <c r="C500" s="218">
        <f>'[1]Project Overview'!D497</f>
        <v>0</v>
      </c>
      <c r="D500" s="217">
        <f>'[1]Project Overview'!V497</f>
        <v>0</v>
      </c>
      <c r="E500" s="217"/>
      <c r="F500" s="217">
        <f t="shared" si="69"/>
        <v>1</v>
      </c>
      <c r="G500" s="217">
        <f t="shared" si="70"/>
        <v>0</v>
      </c>
      <c r="H500" s="217">
        <f>IF(AND($A500&lt;&gt;"",'[1]Project Overview'!E497=""),1,0)</f>
        <v>0</v>
      </c>
      <c r="I500" s="217">
        <f>IF(AND($A500&lt;&gt;"",'[1]Project Overview'!G497=""),1,0)</f>
        <v>0</v>
      </c>
      <c r="J500" s="217">
        <f>IF(AND($A500&lt;&gt;"",OR('[1]Project Overview'!J497="ESCO",'[1]Project Overview'!J497="EPC",'[1]Project Overview'!J497="ESCO BUYOUT"),'[1]Project Overview'!L497=""),1,0)</f>
        <v>0</v>
      </c>
      <c r="K500" s="217">
        <f>IF(AND($A500&lt;&gt;"",'[1]Project Overview'!P497=""),1,0)</f>
        <v>0</v>
      </c>
      <c r="L500" s="217">
        <f>IF(AND($A500&lt;&gt;"",'[1]Project Overview'!AA497=""),1,0)</f>
        <v>0</v>
      </c>
      <c r="M500" s="217"/>
      <c r="N500" s="217"/>
      <c r="O500" s="217">
        <f t="shared" si="68"/>
        <v>1</v>
      </c>
      <c r="P500" s="217" t="str">
        <f t="shared" si="67"/>
        <v/>
      </c>
    </row>
    <row r="501" spans="1:16" hidden="1" x14ac:dyDescent="0.3">
      <c r="A501" s="217" t="str">
        <f>""&amp;'[1]Project Overview'!A498</f>
        <v/>
      </c>
      <c r="B501" s="218">
        <f>'[1]Project Overview'!C498</f>
        <v>0</v>
      </c>
      <c r="C501" s="218">
        <f>'[1]Project Overview'!D498</f>
        <v>0</v>
      </c>
      <c r="D501" s="217">
        <f>'[1]Project Overview'!V498</f>
        <v>0</v>
      </c>
      <c r="E501" s="217"/>
      <c r="F501" s="217">
        <f t="shared" si="69"/>
        <v>1</v>
      </c>
      <c r="G501" s="217">
        <f t="shared" si="70"/>
        <v>0</v>
      </c>
      <c r="H501" s="217">
        <f>IF(AND($A501&lt;&gt;"",'[1]Project Overview'!E498=""),1,0)</f>
        <v>0</v>
      </c>
      <c r="I501" s="217">
        <f>IF(AND($A501&lt;&gt;"",'[1]Project Overview'!G498=""),1,0)</f>
        <v>0</v>
      </c>
      <c r="J501" s="217">
        <f>IF(AND($A501&lt;&gt;"",OR('[1]Project Overview'!J498="ESCO",'[1]Project Overview'!J498="EPC",'[1]Project Overview'!J498="ESCO BUYOUT"),'[1]Project Overview'!L498=""),1,0)</f>
        <v>0</v>
      </c>
      <c r="K501" s="217">
        <f>IF(AND($A501&lt;&gt;"",'[1]Project Overview'!P498=""),1,0)</f>
        <v>0</v>
      </c>
      <c r="L501" s="217">
        <f>IF(AND($A501&lt;&gt;"",'[1]Project Overview'!AA498=""),1,0)</f>
        <v>0</v>
      </c>
      <c r="M501" s="217"/>
      <c r="N501" s="217"/>
      <c r="O501" s="217">
        <f t="shared" si="68"/>
        <v>1</v>
      </c>
      <c r="P501" s="217" t="str">
        <f t="shared" si="67"/>
        <v/>
      </c>
    </row>
    <row r="502" spans="1:16" hidden="1" x14ac:dyDescent="0.3">
      <c r="A502" s="217" t="str">
        <f>""&amp;'[1]Project Overview'!A499</f>
        <v/>
      </c>
      <c r="B502" s="218">
        <f>'[1]Project Overview'!C499</f>
        <v>0</v>
      </c>
      <c r="C502" s="218">
        <f>'[1]Project Overview'!D499</f>
        <v>0</v>
      </c>
      <c r="D502" s="217">
        <f>'[1]Project Overview'!V499</f>
        <v>0</v>
      </c>
      <c r="E502" s="217"/>
      <c r="F502" s="217">
        <f t="shared" si="69"/>
        <v>1</v>
      </c>
      <c r="G502" s="217">
        <f t="shared" si="70"/>
        <v>0</v>
      </c>
      <c r="H502" s="217">
        <f>IF(AND($A502&lt;&gt;"",'[1]Project Overview'!E499=""),1,0)</f>
        <v>0</v>
      </c>
      <c r="I502" s="217">
        <f>IF(AND($A502&lt;&gt;"",'[1]Project Overview'!G499=""),1,0)</f>
        <v>0</v>
      </c>
      <c r="J502" s="217">
        <f>IF(AND($A502&lt;&gt;"",OR('[1]Project Overview'!J499="ESCO",'[1]Project Overview'!J499="EPC",'[1]Project Overview'!J499="ESCO BUYOUT"),'[1]Project Overview'!L499=""),1,0)</f>
        <v>0</v>
      </c>
      <c r="K502" s="217">
        <f>IF(AND($A502&lt;&gt;"",'[1]Project Overview'!P499=""),1,0)</f>
        <v>0</v>
      </c>
      <c r="L502" s="217">
        <f>IF(AND($A502&lt;&gt;"",'[1]Project Overview'!AA499=""),1,0)</f>
        <v>0</v>
      </c>
      <c r="M502" s="217"/>
      <c r="N502" s="217"/>
      <c r="O502" s="217">
        <f t="shared" si="68"/>
        <v>1</v>
      </c>
      <c r="P502" s="217" t="str">
        <f t="shared" si="67"/>
        <v/>
      </c>
    </row>
    <row r="503" spans="1:16" hidden="1" x14ac:dyDescent="0.3">
      <c r="A503" s="217" t="str">
        <f>""&amp;'[1]Project Overview'!A500</f>
        <v/>
      </c>
      <c r="B503" s="218">
        <f>'[1]Project Overview'!C500</f>
        <v>0</v>
      </c>
      <c r="C503" s="218">
        <f>'[1]Project Overview'!D500</f>
        <v>0</v>
      </c>
      <c r="D503" s="217">
        <f>'[1]Project Overview'!V500</f>
        <v>0</v>
      </c>
      <c r="E503" s="217"/>
      <c r="F503" s="217">
        <f t="shared" si="69"/>
        <v>1</v>
      </c>
      <c r="G503" s="217">
        <f t="shared" si="70"/>
        <v>0</v>
      </c>
      <c r="H503" s="217">
        <f>IF(AND($A503&lt;&gt;"",'[1]Project Overview'!E500=""),1,0)</f>
        <v>0</v>
      </c>
      <c r="I503" s="217">
        <f>IF(AND($A503&lt;&gt;"",'[1]Project Overview'!G500=""),1,0)</f>
        <v>0</v>
      </c>
      <c r="J503" s="217">
        <f>IF(AND($A503&lt;&gt;"",OR('[1]Project Overview'!J500="ESCO",'[1]Project Overview'!J500="EPC",'[1]Project Overview'!J500="ESCO BUYOUT"),'[1]Project Overview'!L500=""),1,0)</f>
        <v>0</v>
      </c>
      <c r="K503" s="217">
        <f>IF(AND($A503&lt;&gt;"",'[1]Project Overview'!P500=""),1,0)</f>
        <v>0</v>
      </c>
      <c r="L503" s="217">
        <f>IF(AND($A503&lt;&gt;"",'[1]Project Overview'!AA500=""),1,0)</f>
        <v>0</v>
      </c>
      <c r="M503" s="217"/>
      <c r="N503" s="217"/>
      <c r="O503" s="217">
        <f t="shared" si="68"/>
        <v>1</v>
      </c>
      <c r="P503" s="217" t="str">
        <f t="shared" si="67"/>
        <v/>
      </c>
    </row>
    <row r="504" spans="1:16" hidden="1" x14ac:dyDescent="0.3">
      <c r="A504" s="217" t="str">
        <f>""&amp;'[1]Project Overview'!A501</f>
        <v/>
      </c>
      <c r="B504" s="218">
        <f>'[1]Project Overview'!C501</f>
        <v>0</v>
      </c>
      <c r="C504" s="218">
        <f>'[1]Project Overview'!D501</f>
        <v>0</v>
      </c>
      <c r="D504" s="217">
        <f>'[1]Project Overview'!V501</f>
        <v>0</v>
      </c>
      <c r="E504" s="217"/>
      <c r="F504" s="217">
        <f t="shared" si="69"/>
        <v>1</v>
      </c>
      <c r="G504" s="217">
        <f t="shared" si="70"/>
        <v>0</v>
      </c>
      <c r="H504" s="217">
        <f>IF(AND($A504&lt;&gt;"",'[1]Project Overview'!E501=""),1,0)</f>
        <v>0</v>
      </c>
      <c r="I504" s="217">
        <f>IF(AND($A504&lt;&gt;"",'[1]Project Overview'!G501=""),1,0)</f>
        <v>0</v>
      </c>
      <c r="J504" s="217">
        <f>IF(AND($A504&lt;&gt;"",OR('[1]Project Overview'!J501="ESCO",'[1]Project Overview'!J501="EPC",'[1]Project Overview'!J501="ESCO BUYOUT"),'[1]Project Overview'!L501=""),1,0)</f>
        <v>0</v>
      </c>
      <c r="K504" s="217">
        <f>IF(AND($A504&lt;&gt;"",'[1]Project Overview'!P501=""),1,0)</f>
        <v>0</v>
      </c>
      <c r="L504" s="217">
        <f>IF(AND($A504&lt;&gt;"",'[1]Project Overview'!AA501=""),1,0)</f>
        <v>0</v>
      </c>
      <c r="M504" s="217"/>
      <c r="N504" s="217"/>
      <c r="O504" s="217">
        <f t="shared" si="68"/>
        <v>1</v>
      </c>
      <c r="P504" s="217" t="str">
        <f t="shared" si="67"/>
        <v/>
      </c>
    </row>
    <row r="505" spans="1:16" hidden="1" x14ac:dyDescent="0.3">
      <c r="A505" s="217" t="str">
        <f>""&amp;'[1]Project Overview'!A502</f>
        <v/>
      </c>
      <c r="B505" s="218">
        <f>'[1]Project Overview'!C502</f>
        <v>0</v>
      </c>
      <c r="C505" s="218">
        <f>'[1]Project Overview'!D502</f>
        <v>0</v>
      </c>
      <c r="D505" s="217">
        <f>'[1]Project Overview'!V502</f>
        <v>0</v>
      </c>
      <c r="E505" s="217"/>
      <c r="F505" s="217">
        <f t="shared" si="69"/>
        <v>1</v>
      </c>
      <c r="G505" s="217">
        <f t="shared" si="70"/>
        <v>0</v>
      </c>
      <c r="H505" s="217">
        <f>IF(AND($A505&lt;&gt;"",'[1]Project Overview'!E502=""),1,0)</f>
        <v>0</v>
      </c>
      <c r="I505" s="217">
        <f>IF(AND($A505&lt;&gt;"",'[1]Project Overview'!G502=""),1,0)</f>
        <v>0</v>
      </c>
      <c r="J505" s="217">
        <f>IF(AND($A505&lt;&gt;"",OR('[1]Project Overview'!J502="ESCO",'[1]Project Overview'!J502="EPC",'[1]Project Overview'!J502="ESCO BUYOUT"),'[1]Project Overview'!L502=""),1,0)</f>
        <v>0</v>
      </c>
      <c r="K505" s="217">
        <f>IF(AND($A505&lt;&gt;"",'[1]Project Overview'!P502=""),1,0)</f>
        <v>0</v>
      </c>
      <c r="L505" s="217">
        <f>IF(AND($A505&lt;&gt;"",'[1]Project Overview'!AA502=""),1,0)</f>
        <v>0</v>
      </c>
      <c r="M505" s="217"/>
      <c r="N505" s="217"/>
      <c r="O505" s="217">
        <f t="shared" si="68"/>
        <v>1</v>
      </c>
      <c r="P505" s="217" t="str">
        <f t="shared" si="67"/>
        <v/>
      </c>
    </row>
    <row r="506" spans="1:16" hidden="1" x14ac:dyDescent="0.3">
      <c r="A506" s="217" t="str">
        <f>""&amp;'[1]Project Overview'!A503</f>
        <v/>
      </c>
      <c r="B506" s="218">
        <f>'[1]Project Overview'!C503</f>
        <v>0</v>
      </c>
      <c r="C506" s="218">
        <f>'[1]Project Overview'!D503</f>
        <v>0</v>
      </c>
      <c r="D506" s="217">
        <f>'[1]Project Overview'!V503</f>
        <v>0</v>
      </c>
      <c r="E506" s="217"/>
      <c r="F506" s="217">
        <f t="shared" si="69"/>
        <v>1</v>
      </c>
      <c r="G506" s="217">
        <f t="shared" si="70"/>
        <v>0</v>
      </c>
      <c r="H506" s="217">
        <f>IF(AND($A506&lt;&gt;"",'[1]Project Overview'!E503=""),1,0)</f>
        <v>0</v>
      </c>
      <c r="I506" s="217">
        <f>IF(AND($A506&lt;&gt;"",'[1]Project Overview'!G503=""),1,0)</f>
        <v>0</v>
      </c>
      <c r="J506" s="217">
        <f>IF(AND($A506&lt;&gt;"",OR('[1]Project Overview'!J503="ESCO",'[1]Project Overview'!J503="EPC",'[1]Project Overview'!J503="ESCO BUYOUT"),'[1]Project Overview'!L503=""),1,0)</f>
        <v>0</v>
      </c>
      <c r="K506" s="217">
        <f>IF(AND($A506&lt;&gt;"",'[1]Project Overview'!P503=""),1,0)</f>
        <v>0</v>
      </c>
      <c r="L506" s="217">
        <f>IF(AND($A506&lt;&gt;"",'[1]Project Overview'!AA503=""),1,0)</f>
        <v>0</v>
      </c>
      <c r="M506" s="217"/>
      <c r="N506" s="217"/>
      <c r="O506" s="217">
        <f t="shared" si="68"/>
        <v>1</v>
      </c>
      <c r="P506" s="217" t="str">
        <f t="shared" si="67"/>
        <v/>
      </c>
    </row>
    <row r="507" spans="1:16" hidden="1" x14ac:dyDescent="0.3">
      <c r="A507" s="217" t="str">
        <f>""&amp;'[1]Project Overview'!A504</f>
        <v/>
      </c>
      <c r="B507" s="218">
        <f>'[1]Project Overview'!C504</f>
        <v>0</v>
      </c>
      <c r="C507" s="218">
        <f>'[1]Project Overview'!D504</f>
        <v>0</v>
      </c>
      <c r="D507" s="217">
        <f>'[1]Project Overview'!V504</f>
        <v>0</v>
      </c>
      <c r="E507" s="217"/>
      <c r="F507" s="217">
        <f t="shared" si="69"/>
        <v>1</v>
      </c>
      <c r="G507" s="217">
        <f t="shared" si="70"/>
        <v>0</v>
      </c>
      <c r="H507" s="217">
        <f>IF(AND($A507&lt;&gt;"",'[1]Project Overview'!E504=""),1,0)</f>
        <v>0</v>
      </c>
      <c r="I507" s="217">
        <f>IF(AND($A507&lt;&gt;"",'[1]Project Overview'!G504=""),1,0)</f>
        <v>0</v>
      </c>
      <c r="J507" s="217">
        <f>IF(AND($A507&lt;&gt;"",OR('[1]Project Overview'!J504="ESCO",'[1]Project Overview'!J504="EPC",'[1]Project Overview'!J504="ESCO BUYOUT"),'[1]Project Overview'!L504=""),1,0)</f>
        <v>0</v>
      </c>
      <c r="K507" s="217">
        <f>IF(AND($A507&lt;&gt;"",'[1]Project Overview'!P504=""),1,0)</f>
        <v>0</v>
      </c>
      <c r="L507" s="217">
        <f>IF(AND($A507&lt;&gt;"",'[1]Project Overview'!AA504=""),1,0)</f>
        <v>0</v>
      </c>
      <c r="M507" s="217"/>
      <c r="N507" s="217"/>
      <c r="O507" s="217">
        <f t="shared" si="68"/>
        <v>1</v>
      </c>
      <c r="P507" s="217" t="str">
        <f t="shared" si="67"/>
        <v/>
      </c>
    </row>
    <row r="508" spans="1:16" hidden="1" x14ac:dyDescent="0.3">
      <c r="A508" s="217" t="str">
        <f>""&amp;'[1]Project Overview'!A505</f>
        <v/>
      </c>
      <c r="B508" s="218">
        <f>'[1]Project Overview'!C505</f>
        <v>0</v>
      </c>
      <c r="C508" s="218">
        <f>'[1]Project Overview'!D505</f>
        <v>0</v>
      </c>
      <c r="D508" s="217">
        <f>'[1]Project Overview'!V505</f>
        <v>0</v>
      </c>
      <c r="E508" s="217"/>
      <c r="F508" s="217">
        <f t="shared" si="69"/>
        <v>1</v>
      </c>
      <c r="G508" s="217">
        <f t="shared" si="70"/>
        <v>0</v>
      </c>
      <c r="H508" s="217">
        <f>IF(AND($A508&lt;&gt;"",'[1]Project Overview'!E505=""),1,0)</f>
        <v>0</v>
      </c>
      <c r="I508" s="217">
        <f>IF(AND($A508&lt;&gt;"",'[1]Project Overview'!G505=""),1,0)</f>
        <v>0</v>
      </c>
      <c r="J508" s="217">
        <f>IF(AND($A508&lt;&gt;"",OR('[1]Project Overview'!J505="ESCO",'[1]Project Overview'!J505="EPC",'[1]Project Overview'!J505="ESCO BUYOUT"),'[1]Project Overview'!L505=""),1,0)</f>
        <v>0</v>
      </c>
      <c r="K508" s="217">
        <f>IF(AND($A508&lt;&gt;"",'[1]Project Overview'!P505=""),1,0)</f>
        <v>0</v>
      </c>
      <c r="L508" s="217">
        <f>IF(AND($A508&lt;&gt;"",'[1]Project Overview'!AA505=""),1,0)</f>
        <v>0</v>
      </c>
      <c r="M508" s="217"/>
      <c r="N508" s="217"/>
      <c r="O508" s="217">
        <f t="shared" si="68"/>
        <v>1</v>
      </c>
      <c r="P508" s="217" t="str">
        <f t="shared" si="67"/>
        <v/>
      </c>
    </row>
    <row r="509" spans="1:16" hidden="1" x14ac:dyDescent="0.3">
      <c r="A509" s="217" t="str">
        <f>""&amp;'[1]Project Overview'!A506</f>
        <v/>
      </c>
      <c r="B509" s="218">
        <f>'[1]Project Overview'!C506</f>
        <v>0</v>
      </c>
      <c r="C509" s="218">
        <f>'[1]Project Overview'!D506</f>
        <v>0</v>
      </c>
      <c r="D509" s="217">
        <f>'[1]Project Overview'!V506</f>
        <v>0</v>
      </c>
      <c r="E509" s="217"/>
      <c r="F509" s="217">
        <f t="shared" si="69"/>
        <v>1</v>
      </c>
      <c r="G509" s="217">
        <f t="shared" si="70"/>
        <v>0</v>
      </c>
      <c r="H509" s="217">
        <f>IF(AND($A509&lt;&gt;"",'[1]Project Overview'!E506=""),1,0)</f>
        <v>0</v>
      </c>
      <c r="I509" s="217">
        <f>IF(AND($A509&lt;&gt;"",'[1]Project Overview'!G506=""),1,0)</f>
        <v>0</v>
      </c>
      <c r="J509" s="217">
        <f>IF(AND($A509&lt;&gt;"",OR('[1]Project Overview'!J506="ESCO",'[1]Project Overview'!J506="EPC",'[1]Project Overview'!J506="ESCO BUYOUT"),'[1]Project Overview'!L506=""),1,0)</f>
        <v>0</v>
      </c>
      <c r="K509" s="217">
        <f>IF(AND($A509&lt;&gt;"",'[1]Project Overview'!P506=""),1,0)</f>
        <v>0</v>
      </c>
      <c r="L509" s="217">
        <f>IF(AND($A509&lt;&gt;"",'[1]Project Overview'!AA506=""),1,0)</f>
        <v>0</v>
      </c>
      <c r="M509" s="217"/>
      <c r="N509" s="217"/>
      <c r="O509" s="217">
        <f t="shared" si="68"/>
        <v>1</v>
      </c>
      <c r="P509" s="217" t="str">
        <f t="shared" si="67"/>
        <v/>
      </c>
    </row>
    <row r="510" spans="1:16" hidden="1" x14ac:dyDescent="0.3">
      <c r="A510" s="217" t="str">
        <f>""&amp;'[1]Project Overview'!A507</f>
        <v/>
      </c>
      <c r="B510" s="218">
        <f>'[1]Project Overview'!C507</f>
        <v>0</v>
      </c>
      <c r="C510" s="218">
        <f>'[1]Project Overview'!D507</f>
        <v>0</v>
      </c>
      <c r="D510" s="217">
        <f>'[1]Project Overview'!V507</f>
        <v>0</v>
      </c>
      <c r="E510" s="217"/>
      <c r="F510" s="217">
        <f t="shared" si="69"/>
        <v>1</v>
      </c>
      <c r="G510" s="217">
        <f t="shared" si="70"/>
        <v>0</v>
      </c>
      <c r="H510" s="217">
        <f>IF(AND($A510&lt;&gt;"",'[1]Project Overview'!E507=""),1,0)</f>
        <v>0</v>
      </c>
      <c r="I510" s="217">
        <f>IF(AND($A510&lt;&gt;"",'[1]Project Overview'!G507=""),1,0)</f>
        <v>0</v>
      </c>
      <c r="J510" s="217">
        <f>IF(AND($A510&lt;&gt;"",OR('[1]Project Overview'!J507="ESCO",'[1]Project Overview'!J507="EPC",'[1]Project Overview'!J507="ESCO BUYOUT"),'[1]Project Overview'!L507=""),1,0)</f>
        <v>0</v>
      </c>
      <c r="K510" s="217">
        <f>IF(AND($A510&lt;&gt;"",'[1]Project Overview'!P507=""),1,0)</f>
        <v>0</v>
      </c>
      <c r="L510" s="217">
        <f>IF(AND($A510&lt;&gt;"",'[1]Project Overview'!AA507=""),1,0)</f>
        <v>0</v>
      </c>
      <c r="M510" s="217"/>
      <c r="N510" s="217"/>
      <c r="O510" s="217">
        <f t="shared" si="68"/>
        <v>1</v>
      </c>
      <c r="P510" s="217" t="str">
        <f t="shared" si="67"/>
        <v/>
      </c>
    </row>
    <row r="511" spans="1:16" hidden="1" x14ac:dyDescent="0.3">
      <c r="A511" s="217" t="str">
        <f>""&amp;'[1]Project Overview'!A508</f>
        <v/>
      </c>
      <c r="B511" s="218">
        <f>'[1]Project Overview'!C508</f>
        <v>0</v>
      </c>
      <c r="C511" s="218">
        <f>'[1]Project Overview'!D508</f>
        <v>0</v>
      </c>
      <c r="D511" s="217">
        <f>'[1]Project Overview'!V508</f>
        <v>0</v>
      </c>
      <c r="E511" s="217"/>
      <c r="F511" s="217">
        <f t="shared" si="69"/>
        <v>1</v>
      </c>
      <c r="G511" s="217">
        <f t="shared" si="70"/>
        <v>0</v>
      </c>
      <c r="H511" s="217">
        <f>IF(AND($A511&lt;&gt;"",'[1]Project Overview'!E508=""),1,0)</f>
        <v>0</v>
      </c>
      <c r="I511" s="217">
        <f>IF(AND($A511&lt;&gt;"",'[1]Project Overview'!G508=""),1,0)</f>
        <v>0</v>
      </c>
      <c r="J511" s="217">
        <f>IF(AND($A511&lt;&gt;"",OR('[1]Project Overview'!J508="ESCO",'[1]Project Overview'!J508="EPC",'[1]Project Overview'!J508="ESCO BUYOUT"),'[1]Project Overview'!L508=""),1,0)</f>
        <v>0</v>
      </c>
      <c r="K511" s="217">
        <f>IF(AND($A511&lt;&gt;"",'[1]Project Overview'!P508=""),1,0)</f>
        <v>0</v>
      </c>
      <c r="L511" s="217">
        <f>IF(AND($A511&lt;&gt;"",'[1]Project Overview'!AA508=""),1,0)</f>
        <v>0</v>
      </c>
      <c r="M511" s="217"/>
      <c r="N511" s="217"/>
      <c r="O511" s="217">
        <f t="shared" si="68"/>
        <v>1</v>
      </c>
      <c r="P511" s="217" t="str">
        <f t="shared" si="67"/>
        <v/>
      </c>
    </row>
    <row r="512" spans="1:16" hidden="1" x14ac:dyDescent="0.3">
      <c r="A512" s="217" t="str">
        <f>""&amp;'[1]Project Overview'!A509</f>
        <v/>
      </c>
      <c r="B512" s="218">
        <f>'[1]Project Overview'!C509</f>
        <v>0</v>
      </c>
      <c r="C512" s="218">
        <f>'[1]Project Overview'!D509</f>
        <v>0</v>
      </c>
      <c r="D512" s="217">
        <f>'[1]Project Overview'!V509</f>
        <v>0</v>
      </c>
      <c r="E512" s="217"/>
      <c r="F512" s="217">
        <f t="shared" si="69"/>
        <v>1</v>
      </c>
      <c r="G512" s="217">
        <f t="shared" si="70"/>
        <v>0</v>
      </c>
      <c r="H512" s="217">
        <f>IF(AND($A512&lt;&gt;"",'[1]Project Overview'!E509=""),1,0)</f>
        <v>0</v>
      </c>
      <c r="I512" s="217">
        <f>IF(AND($A512&lt;&gt;"",'[1]Project Overview'!G509=""),1,0)</f>
        <v>0</v>
      </c>
      <c r="J512" s="217">
        <f>IF(AND($A512&lt;&gt;"",OR('[1]Project Overview'!J509="ESCO",'[1]Project Overview'!J509="EPC",'[1]Project Overview'!J509="ESCO BUYOUT"),'[1]Project Overview'!L509=""),1,0)</f>
        <v>0</v>
      </c>
      <c r="K512" s="217">
        <f>IF(AND($A512&lt;&gt;"",'[1]Project Overview'!P509=""),1,0)</f>
        <v>0</v>
      </c>
      <c r="L512" s="217">
        <f>IF(AND($A512&lt;&gt;"",'[1]Project Overview'!AA509=""),1,0)</f>
        <v>0</v>
      </c>
      <c r="M512" s="217"/>
      <c r="N512" s="217"/>
      <c r="O512" s="217">
        <f t="shared" si="68"/>
        <v>1</v>
      </c>
      <c r="P512" s="217" t="str">
        <f t="shared" si="67"/>
        <v/>
      </c>
    </row>
    <row r="513" spans="1:16" hidden="1" x14ac:dyDescent="0.3">
      <c r="A513" s="217" t="str">
        <f>""&amp;'[1]Project Overview'!A510</f>
        <v/>
      </c>
      <c r="B513" s="218">
        <f>'[1]Project Overview'!C510</f>
        <v>0</v>
      </c>
      <c r="C513" s="218">
        <f>'[1]Project Overview'!D510</f>
        <v>0</v>
      </c>
      <c r="D513" s="217">
        <f>'[1]Project Overview'!V510</f>
        <v>0</v>
      </c>
      <c r="E513" s="217"/>
      <c r="F513" s="217">
        <f t="shared" si="69"/>
        <v>1</v>
      </c>
      <c r="G513" s="217">
        <f t="shared" si="70"/>
        <v>0</v>
      </c>
      <c r="H513" s="217">
        <f>IF(AND($A513&lt;&gt;"",'[1]Project Overview'!E510=""),1,0)</f>
        <v>0</v>
      </c>
      <c r="I513" s="217">
        <f>IF(AND($A513&lt;&gt;"",'[1]Project Overview'!G510=""),1,0)</f>
        <v>0</v>
      </c>
      <c r="J513" s="217">
        <f>IF(AND($A513&lt;&gt;"",OR('[1]Project Overview'!J510="ESCO",'[1]Project Overview'!J510="EPC",'[1]Project Overview'!J510="ESCO BUYOUT"),'[1]Project Overview'!L510=""),1,0)</f>
        <v>0</v>
      </c>
      <c r="K513" s="217">
        <f>IF(AND($A513&lt;&gt;"",'[1]Project Overview'!P510=""),1,0)</f>
        <v>0</v>
      </c>
      <c r="L513" s="217">
        <f>IF(AND($A513&lt;&gt;"",'[1]Project Overview'!AA510=""),1,0)</f>
        <v>0</v>
      </c>
      <c r="M513" s="217"/>
      <c r="N513" s="217"/>
      <c r="O513" s="217">
        <f t="shared" si="68"/>
        <v>1</v>
      </c>
      <c r="P513" s="217" t="str">
        <f t="shared" si="67"/>
        <v/>
      </c>
    </row>
    <row r="514" spans="1:16" hidden="1" x14ac:dyDescent="0.3">
      <c r="A514" s="217" t="str">
        <f>""&amp;'[1]Project Overview'!A511</f>
        <v/>
      </c>
      <c r="B514" s="218">
        <f>'[1]Project Overview'!C511</f>
        <v>0</v>
      </c>
      <c r="C514" s="218">
        <f>'[1]Project Overview'!D511</f>
        <v>0</v>
      </c>
      <c r="D514" s="217">
        <f>'[1]Project Overview'!V511</f>
        <v>0</v>
      </c>
      <c r="E514" s="217"/>
      <c r="F514" s="217">
        <f t="shared" si="69"/>
        <v>1</v>
      </c>
      <c r="G514" s="217">
        <f t="shared" si="70"/>
        <v>0</v>
      </c>
      <c r="H514" s="217">
        <f>IF(AND($A514&lt;&gt;"",'[1]Project Overview'!E511=""),1,0)</f>
        <v>0</v>
      </c>
      <c r="I514" s="217">
        <f>IF(AND($A514&lt;&gt;"",'[1]Project Overview'!G511=""),1,0)</f>
        <v>0</v>
      </c>
      <c r="J514" s="217">
        <f>IF(AND($A514&lt;&gt;"",OR('[1]Project Overview'!J511="ESCO",'[1]Project Overview'!J511="EPC",'[1]Project Overview'!J511="ESCO BUYOUT"),'[1]Project Overview'!L511=""),1,0)</f>
        <v>0</v>
      </c>
      <c r="K514" s="217">
        <f>IF(AND($A514&lt;&gt;"",'[1]Project Overview'!P511=""),1,0)</f>
        <v>0</v>
      </c>
      <c r="L514" s="217">
        <f>IF(AND($A514&lt;&gt;"",'[1]Project Overview'!AA511=""),1,0)</f>
        <v>0</v>
      </c>
      <c r="M514" s="217"/>
      <c r="N514" s="217"/>
      <c r="O514" s="217">
        <f t="shared" si="68"/>
        <v>1</v>
      </c>
      <c r="P514" s="217" t="str">
        <f t="shared" si="67"/>
        <v/>
      </c>
    </row>
    <row r="515" spans="1:16" hidden="1" x14ac:dyDescent="0.3">
      <c r="A515" s="217" t="str">
        <f>""&amp;'[1]Project Overview'!A512</f>
        <v/>
      </c>
      <c r="B515" s="218">
        <f>'[1]Project Overview'!C512</f>
        <v>0</v>
      </c>
      <c r="C515" s="218">
        <f>'[1]Project Overview'!D512</f>
        <v>0</v>
      </c>
      <c r="D515" s="217">
        <f>'[1]Project Overview'!V512</f>
        <v>0</v>
      </c>
      <c r="E515" s="217"/>
      <c r="F515" s="217">
        <f t="shared" si="69"/>
        <v>1</v>
      </c>
      <c r="G515" s="217">
        <f t="shared" si="70"/>
        <v>0</v>
      </c>
      <c r="H515" s="217">
        <f>IF(AND($A515&lt;&gt;"",'[1]Project Overview'!E512=""),1,0)</f>
        <v>0</v>
      </c>
      <c r="I515" s="217">
        <f>IF(AND($A515&lt;&gt;"",'[1]Project Overview'!G512=""),1,0)</f>
        <v>0</v>
      </c>
      <c r="J515" s="217">
        <f>IF(AND($A515&lt;&gt;"",OR('[1]Project Overview'!J512="ESCO",'[1]Project Overview'!J512="EPC",'[1]Project Overview'!J512="ESCO BUYOUT"),'[1]Project Overview'!L512=""),1,0)</f>
        <v>0</v>
      </c>
      <c r="K515" s="217">
        <f>IF(AND($A515&lt;&gt;"",'[1]Project Overview'!P512=""),1,0)</f>
        <v>0</v>
      </c>
      <c r="L515" s="217">
        <f>IF(AND($A515&lt;&gt;"",'[1]Project Overview'!AA512=""),1,0)</f>
        <v>0</v>
      </c>
      <c r="M515" s="217"/>
      <c r="N515" s="217"/>
      <c r="O515" s="217">
        <f t="shared" si="68"/>
        <v>1</v>
      </c>
      <c r="P515" s="217" t="str">
        <f t="shared" si="67"/>
        <v/>
      </c>
    </row>
    <row r="516" spans="1:16" hidden="1" x14ac:dyDescent="0.3">
      <c r="A516" s="217" t="str">
        <f>""&amp;'[1]Project Overview'!A513</f>
        <v/>
      </c>
      <c r="B516" s="218">
        <f>'[1]Project Overview'!C513</f>
        <v>0</v>
      </c>
      <c r="C516" s="218">
        <f>'[1]Project Overview'!D513</f>
        <v>0</v>
      </c>
      <c r="D516" s="217">
        <f>'[1]Project Overview'!V513</f>
        <v>0</v>
      </c>
      <c r="E516" s="217"/>
      <c r="F516" s="217">
        <f t="shared" si="69"/>
        <v>1</v>
      </c>
      <c r="G516" s="217">
        <f t="shared" si="70"/>
        <v>0</v>
      </c>
      <c r="H516" s="217">
        <f>IF(AND($A516&lt;&gt;"",'[1]Project Overview'!E513=""),1,0)</f>
        <v>0</v>
      </c>
      <c r="I516" s="217">
        <f>IF(AND($A516&lt;&gt;"",'[1]Project Overview'!G513=""),1,0)</f>
        <v>0</v>
      </c>
      <c r="J516" s="217">
        <f>IF(AND($A516&lt;&gt;"",OR('[1]Project Overview'!J513="ESCO",'[1]Project Overview'!J513="EPC",'[1]Project Overview'!J513="ESCO BUYOUT"),'[1]Project Overview'!L513=""),1,0)</f>
        <v>0</v>
      </c>
      <c r="K516" s="217">
        <f>IF(AND($A516&lt;&gt;"",'[1]Project Overview'!P513=""),1,0)</f>
        <v>0</v>
      </c>
      <c r="L516" s="217">
        <f>IF(AND($A516&lt;&gt;"",'[1]Project Overview'!AA513=""),1,0)</f>
        <v>0</v>
      </c>
      <c r="M516" s="217"/>
      <c r="N516" s="217"/>
      <c r="O516" s="217">
        <f t="shared" si="68"/>
        <v>1</v>
      </c>
      <c r="P516" s="217" t="str">
        <f t="shared" si="67"/>
        <v/>
      </c>
    </row>
    <row r="517" spans="1:16" hidden="1" x14ac:dyDescent="0.3">
      <c r="A517" s="217" t="str">
        <f>""&amp;'[1]Project Overview'!A514</f>
        <v/>
      </c>
      <c r="B517" s="218">
        <f>'[1]Project Overview'!C514</f>
        <v>0</v>
      </c>
      <c r="C517" s="218">
        <f>'[1]Project Overview'!D514</f>
        <v>0</v>
      </c>
      <c r="D517" s="217">
        <f>'[1]Project Overview'!V514</f>
        <v>0</v>
      </c>
      <c r="E517" s="217"/>
      <c r="F517" s="217">
        <f t="shared" si="69"/>
        <v>1</v>
      </c>
      <c r="G517" s="217">
        <f t="shared" si="70"/>
        <v>0</v>
      </c>
      <c r="H517" s="217">
        <f>IF(AND($A517&lt;&gt;"",'[1]Project Overview'!E514=""),1,0)</f>
        <v>0</v>
      </c>
      <c r="I517" s="217">
        <f>IF(AND($A517&lt;&gt;"",'[1]Project Overview'!G514=""),1,0)</f>
        <v>0</v>
      </c>
      <c r="J517" s="217">
        <f>IF(AND($A517&lt;&gt;"",OR('[1]Project Overview'!J514="ESCO",'[1]Project Overview'!J514="EPC",'[1]Project Overview'!J514="ESCO BUYOUT"),'[1]Project Overview'!L514=""),1,0)</f>
        <v>0</v>
      </c>
      <c r="K517" s="217">
        <f>IF(AND($A517&lt;&gt;"",'[1]Project Overview'!P514=""),1,0)</f>
        <v>0</v>
      </c>
      <c r="L517" s="217">
        <f>IF(AND($A517&lt;&gt;"",'[1]Project Overview'!AA514=""),1,0)</f>
        <v>0</v>
      </c>
      <c r="M517" s="217"/>
      <c r="N517" s="217"/>
      <c r="O517" s="217">
        <f t="shared" si="68"/>
        <v>1</v>
      </c>
      <c r="P517" s="217" t="str">
        <f t="shared" ref="P517:P523" si="71">IF($A517="","",IF($O517=0,"OK","REVER"))</f>
        <v/>
      </c>
    </row>
    <row r="518" spans="1:16" hidden="1" x14ac:dyDescent="0.3">
      <c r="A518" s="217" t="str">
        <f>""&amp;'[1]Project Overview'!A515</f>
        <v/>
      </c>
      <c r="B518" s="218">
        <f>'[1]Project Overview'!C515</f>
        <v>0</v>
      </c>
      <c r="C518" s="218">
        <f>'[1]Project Overview'!D515</f>
        <v>0</v>
      </c>
      <c r="D518" s="217">
        <f>'[1]Project Overview'!V515</f>
        <v>0</v>
      </c>
      <c r="E518" s="217"/>
      <c r="F518" s="217">
        <f t="shared" si="69"/>
        <v>1</v>
      </c>
      <c r="G518" s="217">
        <f t="shared" si="70"/>
        <v>0</v>
      </c>
      <c r="H518" s="217">
        <f>IF(AND($A518&lt;&gt;"",'[1]Project Overview'!E515=""),1,0)</f>
        <v>0</v>
      </c>
      <c r="I518" s="217">
        <f>IF(AND($A518&lt;&gt;"",'[1]Project Overview'!G515=""),1,0)</f>
        <v>0</v>
      </c>
      <c r="J518" s="217">
        <f>IF(AND($A518&lt;&gt;"",OR('[1]Project Overview'!J515="ESCO",'[1]Project Overview'!J515="EPC",'[1]Project Overview'!J515="ESCO BUYOUT"),'[1]Project Overview'!L515=""),1,0)</f>
        <v>0</v>
      </c>
      <c r="K518" s="217">
        <f>IF(AND($A518&lt;&gt;"",'[1]Project Overview'!P515=""),1,0)</f>
        <v>0</v>
      </c>
      <c r="L518" s="217">
        <f>IF(AND($A518&lt;&gt;"",'[1]Project Overview'!AA515=""),1,0)</f>
        <v>0</v>
      </c>
      <c r="M518" s="217"/>
      <c r="N518" s="217"/>
      <c r="O518" s="217">
        <f t="shared" ref="O518:O523" si="72">SUM(F518:N518)</f>
        <v>1</v>
      </c>
      <c r="P518" s="217" t="str">
        <f t="shared" si="71"/>
        <v/>
      </c>
    </row>
    <row r="519" spans="1:16" hidden="1" x14ac:dyDescent="0.3">
      <c r="A519" s="217" t="str">
        <f>""&amp;'[1]Project Overview'!A516</f>
        <v/>
      </c>
      <c r="B519" s="218">
        <f>'[1]Project Overview'!C516</f>
        <v>0</v>
      </c>
      <c r="C519" s="218">
        <f>'[1]Project Overview'!D516</f>
        <v>0</v>
      </c>
      <c r="D519" s="217">
        <f>'[1]Project Overview'!V516</f>
        <v>0</v>
      </c>
      <c r="E519" s="217"/>
      <c r="F519" s="217">
        <f t="shared" si="69"/>
        <v>1</v>
      </c>
      <c r="G519" s="217">
        <f t="shared" si="70"/>
        <v>0</v>
      </c>
      <c r="H519" s="217">
        <f>IF(AND($A519&lt;&gt;"",'[1]Project Overview'!E516=""),1,0)</f>
        <v>0</v>
      </c>
      <c r="I519" s="217">
        <f>IF(AND($A519&lt;&gt;"",'[1]Project Overview'!G516=""),1,0)</f>
        <v>0</v>
      </c>
      <c r="J519" s="217">
        <f>IF(AND($A519&lt;&gt;"",OR('[1]Project Overview'!J516="ESCO",'[1]Project Overview'!J516="EPC",'[1]Project Overview'!J516="ESCO BUYOUT"),'[1]Project Overview'!L516=""),1,0)</f>
        <v>0</v>
      </c>
      <c r="K519" s="217">
        <f>IF(AND($A519&lt;&gt;"",'[1]Project Overview'!P516=""),1,0)</f>
        <v>0</v>
      </c>
      <c r="L519" s="217">
        <f>IF(AND($A519&lt;&gt;"",'[1]Project Overview'!AA516=""),1,0)</f>
        <v>0</v>
      </c>
      <c r="M519" s="217"/>
      <c r="N519" s="217"/>
      <c r="O519" s="217">
        <f t="shared" si="72"/>
        <v>1</v>
      </c>
      <c r="P519" s="217" t="str">
        <f t="shared" si="71"/>
        <v/>
      </c>
    </row>
    <row r="520" spans="1:16" hidden="1" x14ac:dyDescent="0.3">
      <c r="A520" s="217" t="str">
        <f>""&amp;'[1]Project Overview'!A517</f>
        <v/>
      </c>
      <c r="B520" s="218">
        <f>'[1]Project Overview'!C517</f>
        <v>0</v>
      </c>
      <c r="C520" s="218">
        <f>'[1]Project Overview'!D517</f>
        <v>0</v>
      </c>
      <c r="D520" s="217">
        <f>'[1]Project Overview'!V517</f>
        <v>0</v>
      </c>
      <c r="E520" s="217"/>
      <c r="F520" s="217">
        <f t="shared" si="69"/>
        <v>1</v>
      </c>
      <c r="G520" s="217">
        <f t="shared" si="70"/>
        <v>0</v>
      </c>
      <c r="H520" s="217">
        <f>IF(AND($A520&lt;&gt;"",'[1]Project Overview'!E517=""),1,0)</f>
        <v>0</v>
      </c>
      <c r="I520" s="217">
        <f>IF(AND($A520&lt;&gt;"",'[1]Project Overview'!G517=""),1,0)</f>
        <v>0</v>
      </c>
      <c r="J520" s="217">
        <f>IF(AND($A520&lt;&gt;"",OR('[1]Project Overview'!J517="ESCO",'[1]Project Overview'!J517="EPC",'[1]Project Overview'!J517="ESCO BUYOUT"),'[1]Project Overview'!L517=""),1,0)</f>
        <v>0</v>
      </c>
      <c r="K520" s="217">
        <f>IF(AND($A520&lt;&gt;"",'[1]Project Overview'!P517=""),1,0)</f>
        <v>0</v>
      </c>
      <c r="L520" s="217">
        <f>IF(AND($A520&lt;&gt;"",'[1]Project Overview'!AA517=""),1,0)</f>
        <v>0</v>
      </c>
      <c r="M520" s="217"/>
      <c r="N520" s="217"/>
      <c r="O520" s="217">
        <f t="shared" si="72"/>
        <v>1</v>
      </c>
      <c r="P520" s="217" t="str">
        <f t="shared" si="71"/>
        <v/>
      </c>
    </row>
    <row r="521" spans="1:16" hidden="1" x14ac:dyDescent="0.3">
      <c r="A521" s="217" t="str">
        <f>""&amp;'[1]Project Overview'!A518</f>
        <v/>
      </c>
      <c r="B521" s="218">
        <f>'[1]Project Overview'!C518</f>
        <v>0</v>
      </c>
      <c r="C521" s="218">
        <f>'[1]Project Overview'!D518</f>
        <v>0</v>
      </c>
      <c r="D521" s="217">
        <f>'[1]Project Overview'!V518</f>
        <v>0</v>
      </c>
      <c r="E521" s="217"/>
      <c r="F521" s="217">
        <f t="shared" si="69"/>
        <v>1</v>
      </c>
      <c r="G521" s="217">
        <f t="shared" si="70"/>
        <v>0</v>
      </c>
      <c r="H521" s="217">
        <f>IF(AND($A521&lt;&gt;"",'[1]Project Overview'!E518=""),1,0)</f>
        <v>0</v>
      </c>
      <c r="I521" s="217">
        <f>IF(AND($A521&lt;&gt;"",'[1]Project Overview'!G518=""),1,0)</f>
        <v>0</v>
      </c>
      <c r="J521" s="217">
        <f>IF(AND($A521&lt;&gt;"",OR('[1]Project Overview'!J518="ESCO",'[1]Project Overview'!J518="EPC",'[1]Project Overview'!J518="ESCO BUYOUT"),'[1]Project Overview'!L518=""),1,0)</f>
        <v>0</v>
      </c>
      <c r="K521" s="217">
        <f>IF(AND($A521&lt;&gt;"",'[1]Project Overview'!P518=""),1,0)</f>
        <v>0</v>
      </c>
      <c r="L521" s="217">
        <f>IF(AND($A521&lt;&gt;"",'[1]Project Overview'!AA518=""),1,0)</f>
        <v>0</v>
      </c>
      <c r="M521" s="217"/>
      <c r="N521" s="217"/>
      <c r="O521" s="217">
        <f t="shared" si="72"/>
        <v>1</v>
      </c>
      <c r="P521" s="217" t="str">
        <f t="shared" si="71"/>
        <v/>
      </c>
    </row>
    <row r="522" spans="1:16" hidden="1" x14ac:dyDescent="0.3">
      <c r="A522" s="217" t="str">
        <f>""&amp;'[1]Project Overview'!A519</f>
        <v/>
      </c>
      <c r="B522" s="218">
        <f>'[1]Project Overview'!C519</f>
        <v>0</v>
      </c>
      <c r="C522" s="218">
        <f>'[1]Project Overview'!D519</f>
        <v>0</v>
      </c>
      <c r="D522" s="217">
        <f>'[1]Project Overview'!V519</f>
        <v>0</v>
      </c>
      <c r="E522" s="217"/>
      <c r="F522" s="217">
        <f t="shared" si="69"/>
        <v>1</v>
      </c>
      <c r="G522" s="217">
        <f t="shared" si="70"/>
        <v>0</v>
      </c>
      <c r="H522" s="217">
        <f>IF(AND($A522&lt;&gt;"",'[1]Project Overview'!E519=""),1,0)</f>
        <v>0</v>
      </c>
      <c r="I522" s="217">
        <f>IF(AND($A522&lt;&gt;"",'[1]Project Overview'!G519=""),1,0)</f>
        <v>0</v>
      </c>
      <c r="J522" s="217">
        <f>IF(AND($A522&lt;&gt;"",OR('[1]Project Overview'!J519="ESCO",'[1]Project Overview'!J519="EPC",'[1]Project Overview'!J519="ESCO BUYOUT"),'[1]Project Overview'!L519=""),1,0)</f>
        <v>0</v>
      </c>
      <c r="K522" s="217">
        <f>IF(AND($A522&lt;&gt;"",'[1]Project Overview'!P519=""),1,0)</f>
        <v>0</v>
      </c>
      <c r="L522" s="217">
        <f>IF(AND($A522&lt;&gt;"",'[1]Project Overview'!AA519=""),1,0)</f>
        <v>0</v>
      </c>
      <c r="M522" s="217"/>
      <c r="N522" s="217"/>
      <c r="O522" s="217">
        <f t="shared" si="72"/>
        <v>1</v>
      </c>
      <c r="P522" s="217" t="str">
        <f t="shared" si="71"/>
        <v/>
      </c>
    </row>
    <row r="523" spans="1:16" hidden="1" x14ac:dyDescent="0.3">
      <c r="A523" s="217" t="str">
        <f>""&amp;'[1]Project Overview'!A520</f>
        <v/>
      </c>
      <c r="B523" s="218">
        <f>'[1]Project Overview'!C520</f>
        <v>0</v>
      </c>
      <c r="C523" s="218">
        <f>'[1]Project Overview'!D520</f>
        <v>0</v>
      </c>
      <c r="D523" s="217">
        <f>'[1]Project Overview'!V520</f>
        <v>0</v>
      </c>
      <c r="E523" s="217"/>
      <c r="F523" s="217">
        <f t="shared" si="69"/>
        <v>1</v>
      </c>
      <c r="G523" s="217">
        <f t="shared" si="70"/>
        <v>0</v>
      </c>
      <c r="H523" s="217">
        <f>IF(AND($A523&lt;&gt;"",'[1]Project Overview'!E520=""),1,0)</f>
        <v>0</v>
      </c>
      <c r="I523" s="217">
        <f>IF(AND($A523&lt;&gt;"",'[1]Project Overview'!G520=""),1,0)</f>
        <v>0</v>
      </c>
      <c r="J523" s="217">
        <f>IF(AND($A523&lt;&gt;"",OR('[1]Project Overview'!J520="ESCO",'[1]Project Overview'!J520="EPC",'[1]Project Overview'!J520="ESCO BUYOUT"),'[1]Project Overview'!L520=""),1,0)</f>
        <v>0</v>
      </c>
      <c r="K523" s="217">
        <f>IF(AND($A523&lt;&gt;"",'[1]Project Overview'!P520=""),1,0)</f>
        <v>0</v>
      </c>
      <c r="L523" s="217">
        <f>IF(AND($A523&lt;&gt;"",'[1]Project Overview'!AA520=""),1,0)</f>
        <v>0</v>
      </c>
      <c r="M523" s="217"/>
      <c r="N523" s="217"/>
      <c r="O523" s="217">
        <f t="shared" si="72"/>
        <v>1</v>
      </c>
      <c r="P523" s="217" t="str">
        <f t="shared" si="71"/>
        <v/>
      </c>
    </row>
  </sheetData>
  <autoFilter ref="A4:P523" xr:uid="{02DA0274-5ED5-4D55-B6F4-908AF3572117}">
    <filterColumn colId="4">
      <filters>
        <filter val="yes"/>
      </filters>
    </filterColumn>
    <filterColumn colId="14">
      <filters>
        <filter val="1"/>
      </filters>
    </filterColumn>
  </autoFilter>
  <mergeCells count="2">
    <mergeCell ref="A1:P1"/>
    <mergeCell ref="A2:P2"/>
  </mergeCells>
  <conditionalFormatting sqref="P5:P523">
    <cfRule type="expression" dxfId="139" priority="3">
      <formula>$P5="REVER"</formula>
    </cfRule>
    <cfRule type="expression" dxfId="138" priority="4">
      <formula>$P5="OK"</formula>
    </cfRule>
  </conditionalFormatting>
  <pageMargins left="0.75" right="0.75" top="1" bottom="1" header="0.5" footer="0.5"/>
  <pageSetup orientation="portrait" r:id="rId1"/>
  <extLst>
    <ext xmlns:x14="http://schemas.microsoft.com/office/spreadsheetml/2009/9/main" uri="{78C0D931-6437-407d-A8EE-F0AAD7539E65}">
      <x14:conditionalFormattings>
        <x14:conditionalFormatting xmlns:xm="http://schemas.microsoft.com/office/excel/2006/main">
          <x14:cfRule type="iconSet" priority="82" id="{5E085969-9FB4-4881-9B68-F3090D918FDB}">
            <x14:iconSet showValue="0" custom="1">
              <x14:cfvo type="percent">
                <xm:f>0</xm:f>
              </x14:cfvo>
              <x14:cfvo type="num">
                <xm:f>0.5</xm:f>
              </x14:cfvo>
              <x14:cfvo type="num">
                <xm:f>1</xm:f>
              </x14:cfvo>
              <x14:cfIcon iconSet="3Symbols" iconId="2"/>
              <x14:cfIcon iconSet="3Symbols" iconId="0"/>
              <x14:cfIcon iconSet="3Flags" iconId="0"/>
            </x14:iconSet>
          </x14:cfRule>
          <xm:sqref>F3:N1048576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24E9C-C783-441C-B17E-1E2552E7DEFA}">
  <dimension ref="A1:H244"/>
  <sheetViews>
    <sheetView view="pageBreakPreview" zoomScale="85" zoomScaleNormal="70" zoomScaleSheetLayoutView="85" zoomScalePageLayoutView="70" workbookViewId="0">
      <selection activeCell="E48" sqref="E48"/>
    </sheetView>
  </sheetViews>
  <sheetFormatPr defaultRowHeight="14.4" x14ac:dyDescent="0.3"/>
  <cols>
    <col min="1" max="1" width="22.6640625" bestFit="1" customWidth="1"/>
    <col min="2" max="2" width="9.6640625" bestFit="1" customWidth="1"/>
    <col min="3" max="3" width="44.44140625" style="215" bestFit="1" customWidth="1"/>
    <col min="4" max="4" width="21.77734375" style="215" bestFit="1" customWidth="1"/>
    <col min="5" max="5" width="83.44140625" bestFit="1" customWidth="1"/>
    <col min="6" max="6" width="20.109375" bestFit="1" customWidth="1"/>
    <col min="7" max="7" width="42.77734375" bestFit="1" customWidth="1"/>
    <col min="8" max="8" width="21.88671875" bestFit="1" customWidth="1"/>
    <col min="9" max="9" width="7.88671875" bestFit="1" customWidth="1"/>
  </cols>
  <sheetData>
    <row r="1" spans="1:2" ht="18" x14ac:dyDescent="0.35">
      <c r="A1" s="313" t="s">
        <v>1359</v>
      </c>
      <c r="B1" s="314"/>
    </row>
    <row r="2" spans="1:2" ht="15" hidden="1" thickBot="1" x14ac:dyDescent="0.35">
      <c r="A2" s="259" t="s">
        <v>36</v>
      </c>
      <c r="B2" s="260" t="s">
        <v>1349</v>
      </c>
    </row>
    <row r="3" spans="1:2" ht="15" hidden="1" thickBot="1" x14ac:dyDescent="0.35">
      <c r="A3" s="259" t="s">
        <v>46</v>
      </c>
      <c r="B3" s="260" t="s">
        <v>77</v>
      </c>
    </row>
    <row r="4" spans="1:2" hidden="1" x14ac:dyDescent="0.3">
      <c r="A4" s="242"/>
      <c r="B4" s="248"/>
    </row>
    <row r="5" spans="1:2" x14ac:dyDescent="0.3">
      <c r="A5" s="264" t="s">
        <v>6</v>
      </c>
      <c r="B5" s="268" t="s">
        <v>1354</v>
      </c>
    </row>
    <row r="6" spans="1:2" x14ac:dyDescent="0.3">
      <c r="A6" s="265" t="s">
        <v>9</v>
      </c>
      <c r="B6" s="261">
        <v>8</v>
      </c>
    </row>
    <row r="7" spans="1:2" x14ac:dyDescent="0.3">
      <c r="A7" s="266" t="s">
        <v>16</v>
      </c>
      <c r="B7" s="262">
        <v>8</v>
      </c>
    </row>
    <row r="8" spans="1:2" x14ac:dyDescent="0.3">
      <c r="A8" s="266" t="s">
        <v>12</v>
      </c>
      <c r="B8" s="262">
        <v>7</v>
      </c>
    </row>
    <row r="9" spans="1:2" x14ac:dyDescent="0.3">
      <c r="A9" s="266" t="s">
        <v>105</v>
      </c>
      <c r="B9" s="262">
        <v>6</v>
      </c>
    </row>
    <row r="10" spans="1:2" x14ac:dyDescent="0.3">
      <c r="A10" s="266" t="s">
        <v>17</v>
      </c>
      <c r="B10" s="262">
        <v>4</v>
      </c>
    </row>
    <row r="11" spans="1:2" x14ac:dyDescent="0.3">
      <c r="A11" s="266" t="s">
        <v>51</v>
      </c>
      <c r="B11" s="262">
        <v>4</v>
      </c>
    </row>
    <row r="12" spans="1:2" x14ac:dyDescent="0.3">
      <c r="A12" s="266" t="s">
        <v>19</v>
      </c>
      <c r="B12" s="262">
        <v>4</v>
      </c>
    </row>
    <row r="13" spans="1:2" x14ac:dyDescent="0.3">
      <c r="A13" s="266" t="s">
        <v>20</v>
      </c>
      <c r="B13" s="262">
        <v>3</v>
      </c>
    </row>
    <row r="14" spans="1:2" x14ac:dyDescent="0.3">
      <c r="A14" s="266" t="s">
        <v>1248</v>
      </c>
      <c r="B14" s="262">
        <v>3</v>
      </c>
    </row>
    <row r="15" spans="1:2" x14ac:dyDescent="0.3">
      <c r="A15" s="266" t="s">
        <v>375</v>
      </c>
      <c r="B15" s="262">
        <v>2</v>
      </c>
    </row>
    <row r="16" spans="1:2" x14ac:dyDescent="0.3">
      <c r="A16" s="266" t="s">
        <v>571</v>
      </c>
      <c r="B16" s="262">
        <v>2</v>
      </c>
    </row>
    <row r="17" spans="1:2" x14ac:dyDescent="0.3">
      <c r="A17" s="266" t="s">
        <v>68</v>
      </c>
      <c r="B17" s="262">
        <v>2</v>
      </c>
    </row>
    <row r="18" spans="1:2" x14ac:dyDescent="0.3">
      <c r="A18" s="266" t="s">
        <v>93</v>
      </c>
      <c r="B18" s="262">
        <v>2</v>
      </c>
    </row>
    <row r="19" spans="1:2" x14ac:dyDescent="0.3">
      <c r="A19" s="266" t="s">
        <v>18</v>
      </c>
      <c r="B19" s="262">
        <v>2</v>
      </c>
    </row>
    <row r="20" spans="1:2" x14ac:dyDescent="0.3">
      <c r="A20" s="266" t="s">
        <v>497</v>
      </c>
      <c r="B20" s="262">
        <v>2</v>
      </c>
    </row>
    <row r="21" spans="1:2" x14ac:dyDescent="0.3">
      <c r="A21" s="266" t="s">
        <v>365</v>
      </c>
      <c r="B21" s="262">
        <v>1</v>
      </c>
    </row>
    <row r="22" spans="1:2" x14ac:dyDescent="0.3">
      <c r="A22" s="266" t="s">
        <v>510</v>
      </c>
      <c r="B22" s="262">
        <v>1</v>
      </c>
    </row>
    <row r="23" spans="1:2" x14ac:dyDescent="0.3">
      <c r="A23" s="266" t="s">
        <v>273</v>
      </c>
      <c r="B23" s="262">
        <v>1</v>
      </c>
    </row>
    <row r="24" spans="1:2" x14ac:dyDescent="0.3">
      <c r="A24" s="266" t="s">
        <v>255</v>
      </c>
      <c r="B24" s="262">
        <v>1</v>
      </c>
    </row>
    <row r="25" spans="1:2" x14ac:dyDescent="0.3">
      <c r="A25" s="266" t="s">
        <v>392</v>
      </c>
      <c r="B25" s="262">
        <v>1</v>
      </c>
    </row>
    <row r="26" spans="1:2" x14ac:dyDescent="0.3">
      <c r="A26" s="266" t="s">
        <v>1385</v>
      </c>
      <c r="B26" s="262">
        <v>1</v>
      </c>
    </row>
    <row r="27" spans="1:2" x14ac:dyDescent="0.3">
      <c r="A27" s="266" t="s">
        <v>314</v>
      </c>
      <c r="B27" s="262">
        <v>1</v>
      </c>
    </row>
    <row r="28" spans="1:2" x14ac:dyDescent="0.3">
      <c r="A28" s="266" t="s">
        <v>430</v>
      </c>
      <c r="B28" s="262">
        <v>1</v>
      </c>
    </row>
    <row r="29" spans="1:2" x14ac:dyDescent="0.3">
      <c r="A29" s="266" t="s">
        <v>455</v>
      </c>
      <c r="B29" s="262">
        <v>1</v>
      </c>
    </row>
    <row r="30" spans="1:2" x14ac:dyDescent="0.3">
      <c r="A30" s="266" t="s">
        <v>298</v>
      </c>
      <c r="B30" s="262">
        <v>1</v>
      </c>
    </row>
    <row r="31" spans="1:2" x14ac:dyDescent="0.3">
      <c r="A31" s="266" t="s">
        <v>401</v>
      </c>
      <c r="B31" s="262">
        <v>1</v>
      </c>
    </row>
    <row r="32" spans="1:2" x14ac:dyDescent="0.3">
      <c r="A32" s="266" t="s">
        <v>407</v>
      </c>
      <c r="B32" s="262">
        <v>1</v>
      </c>
    </row>
    <row r="33" spans="1:4" x14ac:dyDescent="0.3">
      <c r="A33" s="266" t="s">
        <v>164</v>
      </c>
      <c r="B33" s="262">
        <v>1</v>
      </c>
    </row>
    <row r="34" spans="1:4" x14ac:dyDescent="0.3">
      <c r="A34" s="266" t="s">
        <v>334</v>
      </c>
      <c r="B34" s="262">
        <v>1</v>
      </c>
    </row>
    <row r="35" spans="1:4" x14ac:dyDescent="0.3">
      <c r="A35" s="266" t="s">
        <v>616</v>
      </c>
      <c r="B35" s="262">
        <v>1</v>
      </c>
    </row>
    <row r="36" spans="1:4" x14ac:dyDescent="0.3">
      <c r="A36" s="266" t="s">
        <v>247</v>
      </c>
      <c r="B36" s="262">
        <v>1</v>
      </c>
    </row>
    <row r="37" spans="1:4" x14ac:dyDescent="0.3">
      <c r="A37" s="266" t="s">
        <v>157</v>
      </c>
      <c r="B37" s="262">
        <v>1</v>
      </c>
    </row>
    <row r="38" spans="1:4" x14ac:dyDescent="0.3">
      <c r="A38" s="266" t="s">
        <v>630</v>
      </c>
      <c r="B38" s="262">
        <v>1</v>
      </c>
    </row>
    <row r="39" spans="1:4" x14ac:dyDescent="0.3">
      <c r="A39" s="266" t="s">
        <v>338</v>
      </c>
      <c r="B39" s="262">
        <v>1</v>
      </c>
    </row>
    <row r="40" spans="1:4" ht="14.4" customHeight="1" x14ac:dyDescent="0.3">
      <c r="A40" s="266" t="s">
        <v>524</v>
      </c>
      <c r="B40" s="262">
        <v>1</v>
      </c>
    </row>
    <row r="41" spans="1:4" ht="14.4" customHeight="1" x14ac:dyDescent="0.3">
      <c r="A41" s="267" t="s">
        <v>117</v>
      </c>
      <c r="B41" s="262">
        <v>1</v>
      </c>
    </row>
    <row r="42" spans="1:4" ht="14.4" customHeight="1" x14ac:dyDescent="0.3">
      <c r="A42" s="255" t="s">
        <v>1358</v>
      </c>
      <c r="B42" s="263">
        <v>80</v>
      </c>
    </row>
    <row r="43" spans="1:4" ht="18" x14ac:dyDescent="0.35">
      <c r="A43" s="315" t="s">
        <v>1360</v>
      </c>
      <c r="B43" s="316"/>
      <c r="C43" s="317"/>
      <c r="D43" s="314"/>
    </row>
    <row r="44" spans="1:4" ht="15" hidden="1" thickBot="1" x14ac:dyDescent="0.35">
      <c r="A44" s="249" t="s">
        <v>36</v>
      </c>
      <c r="B44" s="250" t="s">
        <v>1349</v>
      </c>
      <c r="D44" s="241"/>
    </row>
    <row r="45" spans="1:4" ht="15" hidden="1" thickBot="1" x14ac:dyDescent="0.35">
      <c r="A45" s="249" t="s">
        <v>46</v>
      </c>
      <c r="B45" s="250" t="s">
        <v>77</v>
      </c>
      <c r="D45" s="241"/>
    </row>
    <row r="46" spans="1:4" hidden="1" x14ac:dyDescent="0.3">
      <c r="A46" s="242"/>
      <c r="D46" s="241"/>
    </row>
    <row r="47" spans="1:4" x14ac:dyDescent="0.3">
      <c r="A47" s="254" t="s">
        <v>1357</v>
      </c>
      <c r="B47" s="254" t="s">
        <v>1354</v>
      </c>
      <c r="C47" s="239" t="s">
        <v>1361</v>
      </c>
      <c r="D47" s="243" t="s">
        <v>1362</v>
      </c>
    </row>
    <row r="48" spans="1:4" x14ac:dyDescent="0.3">
      <c r="A48" s="255" t="s">
        <v>9</v>
      </c>
      <c r="B48" s="251"/>
      <c r="C48" s="240"/>
      <c r="D48" s="244"/>
    </row>
    <row r="49" spans="1:8" x14ac:dyDescent="0.3">
      <c r="A49" s="257" t="s">
        <v>546</v>
      </c>
      <c r="B49" s="252"/>
      <c r="C49" s="240" t="str">
        <f>_xlfn.XLOOKUP(A49, 'Project Overview'!B:B, 'Project Overview'!P:P, "")</f>
        <v>Escada</v>
      </c>
      <c r="D49" s="244" t="str">
        <f>_xlfn.XLOOKUP(A49, 'Project Overview'!B:B, 'Project Overview'!O:O, "")</f>
        <v>Telha</v>
      </c>
      <c r="G49" s="214"/>
      <c r="H49" t="str">
        <f>_xlfn.XLOOKUP(E49, 'Project Overview'!B:B, 'Project Overview'!O:O, "")</f>
        <v/>
      </c>
    </row>
    <row r="50" spans="1:8" x14ac:dyDescent="0.3">
      <c r="A50" s="258" t="s">
        <v>547</v>
      </c>
      <c r="B50" s="252">
        <v>1</v>
      </c>
      <c r="C50" s="240" t="str">
        <f>_xlfn.XLOOKUP(A50, 'Project Overview'!B:B, 'Project Overview'!P:P, "")</f>
        <v/>
      </c>
      <c r="D50" s="244" t="str">
        <f>_xlfn.XLOOKUP(A50, 'Project Overview'!B:B, 'Project Overview'!O:O, "")</f>
        <v/>
      </c>
      <c r="G50" s="214"/>
      <c r="H50" t="str">
        <f>_xlfn.XLOOKUP(E50, 'Project Overview'!B:B, 'Project Overview'!O:O, "")</f>
        <v/>
      </c>
    </row>
    <row r="51" spans="1:8" x14ac:dyDescent="0.3">
      <c r="A51" s="257" t="s">
        <v>540</v>
      </c>
      <c r="B51" s="252"/>
      <c r="C51" s="240" t="str">
        <f>_xlfn.XLOOKUP(A51, 'Project Overview'!B:B, 'Project Overview'!P:P, "")</f>
        <v>Escada</v>
      </c>
      <c r="D51" s="244" t="str">
        <f>_xlfn.XLOOKUP(A51, 'Project Overview'!B:B, 'Project Overview'!O:O, "")</f>
        <v>Sandwich</v>
      </c>
      <c r="G51" s="214"/>
      <c r="H51" t="str">
        <f>_xlfn.XLOOKUP(E51, 'Project Overview'!B:B, 'Project Overview'!O:O, "")</f>
        <v/>
      </c>
    </row>
    <row r="52" spans="1:8" x14ac:dyDescent="0.3">
      <c r="A52" s="258" t="s">
        <v>542</v>
      </c>
      <c r="B52" s="252">
        <v>1</v>
      </c>
      <c r="C52" s="240" t="str">
        <f>_xlfn.XLOOKUP(A52, 'Project Overview'!B:B, 'Project Overview'!P:P, "")</f>
        <v/>
      </c>
      <c r="D52" s="244" t="str">
        <f>_xlfn.XLOOKUP(A52, 'Project Overview'!B:B, 'Project Overview'!O:O, "")</f>
        <v/>
      </c>
      <c r="G52" s="214"/>
      <c r="H52" t="str">
        <f>_xlfn.XLOOKUP(E52, 'Project Overview'!B:B, 'Project Overview'!O:O, "")</f>
        <v/>
      </c>
    </row>
    <row r="53" spans="1:8" x14ac:dyDescent="0.3">
      <c r="A53" s="257" t="s">
        <v>488</v>
      </c>
      <c r="B53" s="252"/>
      <c r="C53" s="240" t="str">
        <f>_xlfn.XLOOKUP(A53, 'Project Overview'!B:B, 'Project Overview'!P:P, "")</f>
        <v>Acesso pela cobertura</v>
      </c>
      <c r="D53" s="244" t="str">
        <f>_xlfn.XLOOKUP(A53, 'Project Overview'!B:B, 'Project Overview'!O:O, "")</f>
        <v>Cobertura Plana</v>
      </c>
      <c r="G53" s="214"/>
      <c r="H53" t="str">
        <f>_xlfn.XLOOKUP(E53, 'Project Overview'!B:B, 'Project Overview'!O:O, "")</f>
        <v/>
      </c>
    </row>
    <row r="54" spans="1:8" x14ac:dyDescent="0.3">
      <c r="A54" s="258" t="s">
        <v>490</v>
      </c>
      <c r="B54" s="252">
        <v>1</v>
      </c>
      <c r="C54" s="240" t="str">
        <f>_xlfn.XLOOKUP(A54, 'Project Overview'!B:B, 'Project Overview'!P:P, "")</f>
        <v/>
      </c>
      <c r="D54" s="244" t="str">
        <f>_xlfn.XLOOKUP(A54, 'Project Overview'!B:B, 'Project Overview'!O:O, "")</f>
        <v/>
      </c>
      <c r="G54" s="214"/>
      <c r="H54" t="str">
        <f>_xlfn.XLOOKUP(E54, 'Project Overview'!B:B, 'Project Overview'!O:O, "")</f>
        <v/>
      </c>
    </row>
    <row r="55" spans="1:8" x14ac:dyDescent="0.3">
      <c r="A55" s="257" t="s">
        <v>1208</v>
      </c>
      <c r="B55" s="252"/>
      <c r="C55" s="240" t="str">
        <f>_xlfn.XLOOKUP(A55, 'Project Overview'!B:B, 'Project Overview'!P:P, "")</f>
        <v>?</v>
      </c>
      <c r="D55" s="244" t="str">
        <f>_xlfn.XLOOKUP(A55, 'Project Overview'!B:B, 'Project Overview'!O:O, "")</f>
        <v>Sandwich</v>
      </c>
      <c r="G55" s="214"/>
      <c r="H55" t="str">
        <f>_xlfn.XLOOKUP(E55, 'Project Overview'!B:B, 'Project Overview'!O:O, "")</f>
        <v/>
      </c>
    </row>
    <row r="56" spans="1:8" x14ac:dyDescent="0.3">
      <c r="A56" s="258" t="s">
        <v>1209</v>
      </c>
      <c r="B56" s="252">
        <v>1</v>
      </c>
      <c r="C56" s="240" t="str">
        <f>_xlfn.XLOOKUP(A56, 'Project Overview'!B:B, 'Project Overview'!P:P, "")</f>
        <v/>
      </c>
      <c r="D56" s="244" t="str">
        <f>_xlfn.XLOOKUP(A56, 'Project Overview'!B:B, 'Project Overview'!O:O, "")</f>
        <v/>
      </c>
      <c r="G56" s="214"/>
      <c r="H56" t="str">
        <f>_xlfn.XLOOKUP(E56, 'Project Overview'!B:B, 'Project Overview'!O:O, "")</f>
        <v/>
      </c>
    </row>
    <row r="57" spans="1:8" x14ac:dyDescent="0.3">
      <c r="A57" s="257" t="s">
        <v>1039</v>
      </c>
      <c r="B57" s="252"/>
      <c r="C57" s="240">
        <f>_xlfn.XLOOKUP(A57, 'Project Overview'!B:B, 'Project Overview'!P:P, "")</f>
        <v>0</v>
      </c>
      <c r="D57" s="244" t="str">
        <f>_xlfn.XLOOKUP(A57, 'Project Overview'!B:B, 'Project Overview'!O:O, "")</f>
        <v>Sandwich</v>
      </c>
      <c r="G57" s="214"/>
      <c r="H57" t="str">
        <f>_xlfn.XLOOKUP(E57, 'Project Overview'!B:B, 'Project Overview'!O:O, "")</f>
        <v/>
      </c>
    </row>
    <row r="58" spans="1:8" x14ac:dyDescent="0.3">
      <c r="A58" s="258" t="s">
        <v>1041</v>
      </c>
      <c r="B58" s="252">
        <v>1</v>
      </c>
      <c r="C58" s="240" t="str">
        <f>_xlfn.XLOOKUP(A58, 'Project Overview'!B:B, 'Project Overview'!P:P, "")</f>
        <v/>
      </c>
      <c r="D58" s="244" t="str">
        <f>_xlfn.XLOOKUP(A58, 'Project Overview'!B:B, 'Project Overview'!O:O, "")</f>
        <v/>
      </c>
      <c r="G58" s="214"/>
      <c r="H58" t="str">
        <f>_xlfn.XLOOKUP(E58, 'Project Overview'!B:B, 'Project Overview'!O:O, "")</f>
        <v/>
      </c>
    </row>
    <row r="59" spans="1:8" x14ac:dyDescent="0.3">
      <c r="A59" s="257" t="s">
        <v>682</v>
      </c>
      <c r="B59" s="252"/>
      <c r="C59" s="240" t="str">
        <f>_xlfn.XLOOKUP(A59, 'Project Overview'!B:B, 'Project Overview'!P:P, "")</f>
        <v>Escada</v>
      </c>
      <c r="D59" s="244" t="str">
        <f>_xlfn.XLOOKUP(A59, 'Project Overview'!B:B, 'Project Overview'!O:O, "")</f>
        <v>Sandwich</v>
      </c>
      <c r="G59" s="214"/>
      <c r="H59" t="str">
        <f>_xlfn.XLOOKUP(E59, 'Project Overview'!B:B, 'Project Overview'!O:O, "")</f>
        <v/>
      </c>
    </row>
    <row r="60" spans="1:8" x14ac:dyDescent="0.3">
      <c r="A60" s="258" t="s">
        <v>684</v>
      </c>
      <c r="B60" s="252">
        <v>1</v>
      </c>
      <c r="C60" s="240" t="str">
        <f>_xlfn.XLOOKUP(A60, 'Project Overview'!B:B, 'Project Overview'!P:P, "")</f>
        <v/>
      </c>
      <c r="D60" s="244" t="str">
        <f>_xlfn.XLOOKUP(A60, 'Project Overview'!B:B, 'Project Overview'!O:O, "")</f>
        <v/>
      </c>
      <c r="G60" s="214"/>
      <c r="H60" t="str">
        <f>_xlfn.XLOOKUP(E60, 'Project Overview'!B:B, 'Project Overview'!O:O, "")</f>
        <v/>
      </c>
    </row>
    <row r="61" spans="1:8" x14ac:dyDescent="0.3">
      <c r="A61" s="257" t="s">
        <v>942</v>
      </c>
      <c r="B61" s="252"/>
      <c r="C61" s="240" t="str">
        <f>_xlfn.XLOOKUP(A61, 'Project Overview'!B:B, 'Project Overview'!P:P, "")</f>
        <v>Escada</v>
      </c>
      <c r="D61" s="244" t="str">
        <f>_xlfn.XLOOKUP(A61, 'Project Overview'!B:B, 'Project Overview'!O:O, "")</f>
        <v>Sandwich</v>
      </c>
      <c r="G61" s="214"/>
      <c r="H61" t="str">
        <f>_xlfn.XLOOKUP(E61, 'Project Overview'!B:B, 'Project Overview'!O:O, "")</f>
        <v/>
      </c>
    </row>
    <row r="62" spans="1:8" x14ac:dyDescent="0.3">
      <c r="A62" s="258" t="s">
        <v>944</v>
      </c>
      <c r="B62" s="252">
        <v>1</v>
      </c>
      <c r="C62" s="240" t="str">
        <f>_xlfn.XLOOKUP(A62, 'Project Overview'!B:B, 'Project Overview'!P:P, "")</f>
        <v/>
      </c>
      <c r="D62" s="244" t="str">
        <f>_xlfn.XLOOKUP(A62, 'Project Overview'!B:B, 'Project Overview'!O:O, "")</f>
        <v/>
      </c>
      <c r="G62" s="214"/>
      <c r="H62" t="str">
        <f>_xlfn.XLOOKUP(E62, 'Project Overview'!B:B, 'Project Overview'!O:O, "")</f>
        <v/>
      </c>
    </row>
    <row r="63" spans="1:8" x14ac:dyDescent="0.3">
      <c r="A63" s="257" t="s">
        <v>345</v>
      </c>
      <c r="B63" s="252"/>
      <c r="C63" s="240" t="str">
        <f>_xlfn.XLOOKUP(A63, 'Project Overview'!B:B, 'Project Overview'!P:P, "")</f>
        <v>Escada</v>
      </c>
      <c r="D63" s="244" t="str">
        <f>_xlfn.XLOOKUP(A63, 'Project Overview'!B:B, 'Project Overview'!O:O, "")</f>
        <v>Sandwich</v>
      </c>
      <c r="G63" s="214"/>
      <c r="H63" t="str">
        <f>_xlfn.XLOOKUP(E63, 'Project Overview'!B:B, 'Project Overview'!O:O, "")</f>
        <v/>
      </c>
    </row>
    <row r="64" spans="1:8" x14ac:dyDescent="0.3">
      <c r="A64" s="258" t="s">
        <v>347</v>
      </c>
      <c r="B64" s="252">
        <v>1</v>
      </c>
      <c r="C64" s="240" t="str">
        <f>_xlfn.XLOOKUP(A64, 'Project Overview'!B:B, 'Project Overview'!P:P, "")</f>
        <v/>
      </c>
      <c r="D64" s="244" t="str">
        <f>_xlfn.XLOOKUP(A64, 'Project Overview'!B:B, 'Project Overview'!O:O, "")</f>
        <v/>
      </c>
      <c r="G64" s="214"/>
      <c r="H64" t="str">
        <f>_xlfn.XLOOKUP(E64, 'Project Overview'!B:B, 'Project Overview'!O:O, "")</f>
        <v/>
      </c>
    </row>
    <row r="65" spans="1:8" x14ac:dyDescent="0.3">
      <c r="A65" s="255" t="s">
        <v>16</v>
      </c>
      <c r="B65" s="252"/>
      <c r="C65" s="240" t="str">
        <f>_xlfn.XLOOKUP(A65, 'Project Overview'!B:B, 'Project Overview'!P:P, "")</f>
        <v/>
      </c>
      <c r="D65" s="245" t="str">
        <f>_xlfn.XLOOKUP(A65, 'Project Overview'!B:B, 'Project Overview'!O:O, "")</f>
        <v/>
      </c>
      <c r="G65" s="214"/>
      <c r="H65" t="str">
        <f>_xlfn.XLOOKUP(E65, 'Project Overview'!B:B, 'Project Overview'!O:O, "")</f>
        <v/>
      </c>
    </row>
    <row r="66" spans="1:8" x14ac:dyDescent="0.3">
      <c r="A66" s="257" t="s">
        <v>301</v>
      </c>
      <c r="B66" s="252"/>
      <c r="C66" s="240" t="str">
        <f>_xlfn.XLOOKUP(A66, 'Project Overview'!B:B, 'Project Overview'!P:P, "")</f>
        <v>Escada</v>
      </c>
      <c r="D66" s="244" t="str">
        <f>_xlfn.XLOOKUP(A66, 'Project Overview'!B:B, 'Project Overview'!O:O, "")</f>
        <v>Sandwich</v>
      </c>
      <c r="G66" s="214"/>
      <c r="H66" t="str">
        <f>_xlfn.XLOOKUP(E66, 'Project Overview'!B:B, 'Project Overview'!O:O, "")</f>
        <v/>
      </c>
    </row>
    <row r="67" spans="1:8" x14ac:dyDescent="0.3">
      <c r="A67" s="258" t="s">
        <v>303</v>
      </c>
      <c r="B67" s="252">
        <v>1</v>
      </c>
      <c r="C67" s="240" t="str">
        <f>_xlfn.XLOOKUP(A67, 'Project Overview'!B:B, 'Project Overview'!P:P, "")</f>
        <v/>
      </c>
      <c r="D67" s="244" t="str">
        <f>_xlfn.XLOOKUP(A67, 'Project Overview'!B:B, 'Project Overview'!O:O, "")</f>
        <v/>
      </c>
      <c r="G67" s="214"/>
      <c r="H67" t="str">
        <f>_xlfn.XLOOKUP(E67, 'Project Overview'!B:B, 'Project Overview'!O:O, "")</f>
        <v/>
      </c>
    </row>
    <row r="68" spans="1:8" x14ac:dyDescent="0.3">
      <c r="A68" s="257" t="s">
        <v>466</v>
      </c>
      <c r="B68" s="252"/>
      <c r="C68" s="240" t="str">
        <f>_xlfn.XLOOKUP(A68, 'Project Overview'!B:B, 'Project Overview'!P:P, "")</f>
        <v>Acesso pela cobertura</v>
      </c>
      <c r="D68" s="244" t="str">
        <f>_xlfn.XLOOKUP(A68, 'Project Overview'!B:B, 'Project Overview'!O:O, "")</f>
        <v>Telha</v>
      </c>
      <c r="G68" s="214"/>
      <c r="H68" t="str">
        <f>_xlfn.XLOOKUP(E68, 'Project Overview'!B:B, 'Project Overview'!O:O, "")</f>
        <v/>
      </c>
    </row>
    <row r="69" spans="1:8" x14ac:dyDescent="0.3">
      <c r="A69" s="258" t="s">
        <v>468</v>
      </c>
      <c r="B69" s="252">
        <v>1</v>
      </c>
      <c r="C69" s="240" t="str">
        <f>_xlfn.XLOOKUP(A69, 'Project Overview'!B:B, 'Project Overview'!P:P, "")</f>
        <v/>
      </c>
      <c r="D69" s="244" t="str">
        <f>_xlfn.XLOOKUP(A69, 'Project Overview'!B:B, 'Project Overview'!O:O, "")</f>
        <v/>
      </c>
      <c r="G69" s="214"/>
      <c r="H69" t="str">
        <f>_xlfn.XLOOKUP(E69, 'Project Overview'!B:B, 'Project Overview'!O:O, "")</f>
        <v/>
      </c>
    </row>
    <row r="70" spans="1:8" x14ac:dyDescent="0.3">
      <c r="A70" s="257" t="s">
        <v>366</v>
      </c>
      <c r="B70" s="252"/>
      <c r="C70" s="240" t="str">
        <f>_xlfn.XLOOKUP(A70, 'Project Overview'!B:B, 'Project Overview'!P:P, "")</f>
        <v>Escada</v>
      </c>
      <c r="D70" s="244" t="str">
        <f>_xlfn.XLOOKUP(A70, 'Project Overview'!B:B, 'Project Overview'!O:O, "")</f>
        <v>Sandwich</v>
      </c>
      <c r="G70" s="214"/>
      <c r="H70" t="str">
        <f>_xlfn.XLOOKUP(E70, 'Project Overview'!B:B, 'Project Overview'!O:O, "")</f>
        <v/>
      </c>
    </row>
    <row r="71" spans="1:8" x14ac:dyDescent="0.3">
      <c r="A71" s="258" t="s">
        <v>368</v>
      </c>
      <c r="B71" s="252">
        <v>1</v>
      </c>
      <c r="C71" s="240" t="str">
        <f>_xlfn.XLOOKUP(A71, 'Project Overview'!B:B, 'Project Overview'!P:P, "")</f>
        <v/>
      </c>
      <c r="D71" s="244" t="str">
        <f>_xlfn.XLOOKUP(A71, 'Project Overview'!B:B, 'Project Overview'!O:O, "")</f>
        <v/>
      </c>
      <c r="G71" s="214"/>
      <c r="H71" t="str">
        <f>_xlfn.XLOOKUP(E71, 'Project Overview'!B:B, 'Project Overview'!O:O, "")</f>
        <v/>
      </c>
    </row>
    <row r="72" spans="1:8" x14ac:dyDescent="0.3">
      <c r="A72" s="257" t="s">
        <v>423</v>
      </c>
      <c r="B72" s="252"/>
      <c r="C72" s="240" t="str">
        <f>_xlfn.XLOOKUP(A72, 'Project Overview'!B:B, 'Project Overview'!P:P, "")</f>
        <v>Escada</v>
      </c>
      <c r="D72" s="244" t="str">
        <f>_xlfn.XLOOKUP(A72, 'Project Overview'!B:B, 'Project Overview'!O:O, "")</f>
        <v>Sandwich</v>
      </c>
      <c r="G72" s="214"/>
      <c r="H72" t="str">
        <f>_xlfn.XLOOKUP(E72, 'Project Overview'!B:B, 'Project Overview'!O:O, "")</f>
        <v/>
      </c>
    </row>
    <row r="73" spans="1:8" x14ac:dyDescent="0.3">
      <c r="A73" s="258" t="s">
        <v>425</v>
      </c>
      <c r="B73" s="252">
        <v>1</v>
      </c>
      <c r="C73" s="240" t="str">
        <f>_xlfn.XLOOKUP(A73, 'Project Overview'!B:B, 'Project Overview'!P:P, "")</f>
        <v/>
      </c>
      <c r="D73" s="244" t="str">
        <f>_xlfn.XLOOKUP(A73, 'Project Overview'!B:B, 'Project Overview'!O:O, "")</f>
        <v/>
      </c>
      <c r="G73" s="214"/>
      <c r="H73" t="str">
        <f>_xlfn.XLOOKUP(E73, 'Project Overview'!B:B, 'Project Overview'!O:O, "")</f>
        <v/>
      </c>
    </row>
    <row r="74" spans="1:8" x14ac:dyDescent="0.3">
      <c r="A74" s="257" t="s">
        <v>838</v>
      </c>
      <c r="B74" s="252"/>
      <c r="C74" s="240" t="str">
        <f>_xlfn.XLOOKUP(A74, 'Project Overview'!B:B, 'Project Overview'!P:P, "")</f>
        <v>Escada</v>
      </c>
      <c r="D74" s="244" t="str">
        <f>_xlfn.XLOOKUP(A74, 'Project Overview'!B:B, 'Project Overview'!O:O, "")</f>
        <v>Sandwich</v>
      </c>
      <c r="G74" s="214"/>
      <c r="H74" t="str">
        <f>_xlfn.XLOOKUP(E74, 'Project Overview'!B:B, 'Project Overview'!O:O, "")</f>
        <v/>
      </c>
    </row>
    <row r="75" spans="1:8" x14ac:dyDescent="0.3">
      <c r="A75" s="258" t="s">
        <v>840</v>
      </c>
      <c r="B75" s="252">
        <v>1</v>
      </c>
      <c r="C75" s="240" t="str">
        <f>_xlfn.XLOOKUP(A75, 'Project Overview'!B:B, 'Project Overview'!P:P, "")</f>
        <v/>
      </c>
      <c r="D75" s="244" t="str">
        <f>_xlfn.XLOOKUP(A75, 'Project Overview'!B:B, 'Project Overview'!O:O, "")</f>
        <v/>
      </c>
      <c r="G75" s="214"/>
      <c r="H75" t="str">
        <f>_xlfn.XLOOKUP(E75, 'Project Overview'!B:B, 'Project Overview'!O:O, "")</f>
        <v/>
      </c>
    </row>
    <row r="76" spans="1:8" x14ac:dyDescent="0.3">
      <c r="A76" s="257" t="s">
        <v>562</v>
      </c>
      <c r="B76" s="252"/>
      <c r="C76" s="240" t="str">
        <f>_xlfn.XLOOKUP(A76, 'Project Overview'!B:B, 'Project Overview'!P:P, "")</f>
        <v>Não é necessário</v>
      </c>
      <c r="D76" s="244" t="str">
        <f>_xlfn.XLOOKUP(A76, 'Project Overview'!B:B, 'Project Overview'!O:O, "")</f>
        <v>Solo</v>
      </c>
      <c r="G76" s="214"/>
      <c r="H76" t="str">
        <f>_xlfn.XLOOKUP(E76, 'Project Overview'!B:B, 'Project Overview'!O:O, "")</f>
        <v/>
      </c>
    </row>
    <row r="77" spans="1:8" x14ac:dyDescent="0.3">
      <c r="A77" s="258" t="s">
        <v>564</v>
      </c>
      <c r="B77" s="252">
        <v>1</v>
      </c>
      <c r="C77" s="240" t="str">
        <f>_xlfn.XLOOKUP(A77, 'Project Overview'!B:B, 'Project Overview'!P:P, "")</f>
        <v/>
      </c>
      <c r="D77" s="244" t="str">
        <f>_xlfn.XLOOKUP(A77, 'Project Overview'!B:B, 'Project Overview'!O:O, "")</f>
        <v/>
      </c>
      <c r="G77" s="214"/>
      <c r="H77" t="str">
        <f>_xlfn.XLOOKUP(E77, 'Project Overview'!B:B, 'Project Overview'!O:O, "")</f>
        <v/>
      </c>
    </row>
    <row r="78" spans="1:8" x14ac:dyDescent="0.3">
      <c r="A78" s="257" t="s">
        <v>410</v>
      </c>
      <c r="B78" s="252"/>
      <c r="C78" s="240" t="str">
        <f>_xlfn.XLOOKUP(A78, 'Project Overview'!B:B, 'Project Overview'!P:P, "")</f>
        <v>Escada</v>
      </c>
      <c r="D78" s="244" t="str">
        <f>_xlfn.XLOOKUP(A78, 'Project Overview'!B:B, 'Project Overview'!O:O, "")</f>
        <v>Carport e Sandwich</v>
      </c>
      <c r="G78" s="214"/>
      <c r="H78" t="str">
        <f>_xlfn.XLOOKUP(E78, 'Project Overview'!B:B, 'Project Overview'!O:O, "")</f>
        <v/>
      </c>
    </row>
    <row r="79" spans="1:8" x14ac:dyDescent="0.3">
      <c r="A79" s="258" t="s">
        <v>412</v>
      </c>
      <c r="B79" s="252">
        <v>1</v>
      </c>
      <c r="C79" s="240" t="str">
        <f>_xlfn.XLOOKUP(A79, 'Project Overview'!B:B, 'Project Overview'!P:P, "")</f>
        <v/>
      </c>
      <c r="D79" s="244" t="str">
        <f>_xlfn.XLOOKUP(A79, 'Project Overview'!B:B, 'Project Overview'!O:O, "")</f>
        <v/>
      </c>
      <c r="G79" s="214"/>
      <c r="H79" t="str">
        <f>_xlfn.XLOOKUP(E79, 'Project Overview'!B:B, 'Project Overview'!O:O, "")</f>
        <v/>
      </c>
    </row>
    <row r="80" spans="1:8" x14ac:dyDescent="0.3">
      <c r="A80" s="257" t="s">
        <v>180</v>
      </c>
      <c r="B80" s="252"/>
      <c r="C80" s="240" t="str">
        <f>_xlfn.XLOOKUP(A80, 'Project Overview'!B:B, 'Project Overview'!P:P, "")</f>
        <v>Escada</v>
      </c>
      <c r="D80" s="245" t="str">
        <f>_xlfn.XLOOKUP(A80, 'Project Overview'!B:B, 'Project Overview'!O:O, "")</f>
        <v>Sandwich</v>
      </c>
      <c r="G80" s="214"/>
      <c r="H80" t="str">
        <f>_xlfn.XLOOKUP(E80, 'Project Overview'!B:B, 'Project Overview'!O:O, "")</f>
        <v/>
      </c>
    </row>
    <row r="81" spans="1:8" x14ac:dyDescent="0.3">
      <c r="A81" s="258" t="s">
        <v>182</v>
      </c>
      <c r="B81" s="252">
        <v>1</v>
      </c>
      <c r="C81" s="240" t="str">
        <f>_xlfn.XLOOKUP(A81, 'Project Overview'!B:B, 'Project Overview'!P:P, "")</f>
        <v/>
      </c>
      <c r="D81" s="244" t="str">
        <f>_xlfn.XLOOKUP(A81, 'Project Overview'!B:B, 'Project Overview'!O:O, "")</f>
        <v/>
      </c>
      <c r="G81" s="214"/>
      <c r="H81" t="str">
        <f>_xlfn.XLOOKUP(E81, 'Project Overview'!B:B, 'Project Overview'!O:O, "")</f>
        <v/>
      </c>
    </row>
    <row r="82" spans="1:8" x14ac:dyDescent="0.3">
      <c r="A82" s="255" t="s">
        <v>12</v>
      </c>
      <c r="B82" s="252"/>
      <c r="C82" s="240" t="str">
        <f>_xlfn.XLOOKUP(A82, 'Project Overview'!B:B, 'Project Overview'!P:P, "")</f>
        <v/>
      </c>
      <c r="D82" s="244" t="str">
        <f>_xlfn.XLOOKUP(A82, 'Project Overview'!B:B, 'Project Overview'!O:O, "")</f>
        <v/>
      </c>
      <c r="G82" s="214"/>
      <c r="H82" t="str">
        <f>_xlfn.XLOOKUP(E82, 'Project Overview'!B:B, 'Project Overview'!O:O, "")</f>
        <v/>
      </c>
    </row>
    <row r="83" spans="1:8" x14ac:dyDescent="0.3">
      <c r="A83" s="257" t="s">
        <v>808</v>
      </c>
      <c r="B83" s="252"/>
      <c r="C83" s="240" t="str">
        <f>_xlfn.XLOOKUP(A83, 'Project Overview'!B:B, 'Project Overview'!P:P, "")</f>
        <v>Escada</v>
      </c>
      <c r="D83" s="244" t="str">
        <f>_xlfn.XLOOKUP(A83, 'Project Overview'!B:B, 'Project Overview'!O:O, "")</f>
        <v>Sandwich</v>
      </c>
      <c r="G83" s="214"/>
      <c r="H83" t="str">
        <f>_xlfn.XLOOKUP(E83, 'Project Overview'!B:B, 'Project Overview'!O:O, "")</f>
        <v/>
      </c>
    </row>
    <row r="84" spans="1:8" x14ac:dyDescent="0.3">
      <c r="A84" s="258" t="s">
        <v>810</v>
      </c>
      <c r="B84" s="252">
        <v>1</v>
      </c>
      <c r="C84" s="240" t="str">
        <f>_xlfn.XLOOKUP(A84, 'Project Overview'!B:B, 'Project Overview'!P:P, "")</f>
        <v/>
      </c>
      <c r="D84" s="244" t="str">
        <f>_xlfn.XLOOKUP(A84, 'Project Overview'!B:B, 'Project Overview'!O:O, "")</f>
        <v/>
      </c>
      <c r="G84" s="214"/>
      <c r="H84" t="str">
        <f>_xlfn.XLOOKUP(E84, 'Project Overview'!B:B, 'Project Overview'!O:O, "")</f>
        <v/>
      </c>
    </row>
    <row r="85" spans="1:8" x14ac:dyDescent="0.3">
      <c r="A85" s="257" t="s">
        <v>813</v>
      </c>
      <c r="B85" s="252"/>
      <c r="C85" s="240" t="str">
        <f>_xlfn.XLOOKUP(A85, 'Project Overview'!B:B, 'Project Overview'!P:P, "")</f>
        <v>Não é necessário</v>
      </c>
      <c r="D85" s="244" t="str">
        <f>_xlfn.XLOOKUP(A85, 'Project Overview'!B:B, 'Project Overview'!O:O, "")</f>
        <v>Solo</v>
      </c>
      <c r="G85" s="214"/>
      <c r="H85" t="str">
        <f>_xlfn.XLOOKUP(E85, 'Project Overview'!B:B, 'Project Overview'!O:O, "")</f>
        <v/>
      </c>
    </row>
    <row r="86" spans="1:8" x14ac:dyDescent="0.3">
      <c r="A86" s="258" t="s">
        <v>810</v>
      </c>
      <c r="B86" s="252">
        <v>1</v>
      </c>
      <c r="C86" s="240" t="str">
        <f>_xlfn.XLOOKUP(A86, 'Project Overview'!B:B, 'Project Overview'!P:P, "")</f>
        <v/>
      </c>
      <c r="D86" s="244" t="str">
        <f>_xlfn.XLOOKUP(A86, 'Project Overview'!B:B, 'Project Overview'!O:O, "")</f>
        <v/>
      </c>
      <c r="G86" s="214"/>
      <c r="H86" t="str">
        <f>_xlfn.XLOOKUP(E86, 'Project Overview'!B:B, 'Project Overview'!O:O, "")</f>
        <v/>
      </c>
    </row>
    <row r="87" spans="1:8" x14ac:dyDescent="0.3">
      <c r="A87" s="257" t="s">
        <v>938</v>
      </c>
      <c r="B87" s="252"/>
      <c r="C87" s="240" t="str">
        <f>_xlfn.XLOOKUP(A87, 'Project Overview'!B:B, 'Project Overview'!P:P, "")</f>
        <v>Escada</v>
      </c>
      <c r="D87" s="244" t="str">
        <f>_xlfn.XLOOKUP(A87, 'Project Overview'!B:B, 'Project Overview'!O:O, "")</f>
        <v>Solo</v>
      </c>
      <c r="G87" s="214"/>
      <c r="H87" t="str">
        <f>_xlfn.XLOOKUP(E87, 'Project Overview'!B:B, 'Project Overview'!O:O, "")</f>
        <v/>
      </c>
    </row>
    <row r="88" spans="1:8" x14ac:dyDescent="0.3">
      <c r="A88" s="258" t="s">
        <v>939</v>
      </c>
      <c r="B88" s="252">
        <v>1</v>
      </c>
      <c r="C88" s="240" t="str">
        <f>_xlfn.XLOOKUP(A88, 'Project Overview'!B:B, 'Project Overview'!P:P, "")</f>
        <v/>
      </c>
      <c r="D88" s="244" t="str">
        <f>_xlfn.XLOOKUP(A88, 'Project Overview'!B:B, 'Project Overview'!O:O, "")</f>
        <v/>
      </c>
      <c r="G88" s="214"/>
      <c r="H88" t="str">
        <f>_xlfn.XLOOKUP(E88, 'Project Overview'!B:B, 'Project Overview'!O:O, "")</f>
        <v/>
      </c>
    </row>
    <row r="89" spans="1:8" x14ac:dyDescent="0.3">
      <c r="A89" s="257" t="s">
        <v>502</v>
      </c>
      <c r="B89" s="252"/>
      <c r="C89" s="240" t="str">
        <f>_xlfn.XLOOKUP(A89, 'Project Overview'!B:B, 'Project Overview'!P:P, "")</f>
        <v>Plataforma Elevatória dos Bombeiros</v>
      </c>
      <c r="D89" s="244" t="str">
        <f>_xlfn.XLOOKUP(A89, 'Project Overview'!B:B, 'Project Overview'!O:O, "")</f>
        <v>Sandwich</v>
      </c>
      <c r="G89" s="214"/>
      <c r="H89" t="str">
        <f>_xlfn.XLOOKUP(E89, 'Project Overview'!B:B, 'Project Overview'!O:O, "")</f>
        <v/>
      </c>
    </row>
    <row r="90" spans="1:8" x14ac:dyDescent="0.3">
      <c r="A90" s="258" t="s">
        <v>504</v>
      </c>
      <c r="B90" s="252">
        <v>1</v>
      </c>
      <c r="C90" s="240" t="str">
        <f>_xlfn.XLOOKUP(A90, 'Project Overview'!B:B, 'Project Overview'!P:P, "")</f>
        <v/>
      </c>
      <c r="D90" s="244" t="str">
        <f>_xlfn.XLOOKUP(A90, 'Project Overview'!B:B, 'Project Overview'!O:O, "")</f>
        <v/>
      </c>
      <c r="G90" s="214"/>
      <c r="H90" t="str">
        <f>_xlfn.XLOOKUP(E90, 'Project Overview'!B:B, 'Project Overview'!O:O, "")</f>
        <v/>
      </c>
    </row>
    <row r="91" spans="1:8" x14ac:dyDescent="0.3">
      <c r="A91" s="257" t="s">
        <v>670</v>
      </c>
      <c r="B91" s="252"/>
      <c r="C91" s="240" t="str">
        <f>_xlfn.XLOOKUP(A91, 'Project Overview'!B:B, 'Project Overview'!P:P, "")</f>
        <v>Escada</v>
      </c>
      <c r="D91" s="244" t="str">
        <f>_xlfn.XLOOKUP(A91, 'Project Overview'!B:B, 'Project Overview'!O:O, "")</f>
        <v>Sandwich</v>
      </c>
      <c r="G91" s="214"/>
      <c r="H91" t="str">
        <f>_xlfn.XLOOKUP(E91, 'Project Overview'!B:B, 'Project Overview'!O:O, "")</f>
        <v/>
      </c>
    </row>
    <row r="92" spans="1:8" x14ac:dyDescent="0.3">
      <c r="A92" s="258" t="s">
        <v>672</v>
      </c>
      <c r="B92" s="252">
        <v>1</v>
      </c>
      <c r="C92" s="240" t="str">
        <f>_xlfn.XLOOKUP(A92, 'Project Overview'!B:B, 'Project Overview'!P:P, "")</f>
        <v/>
      </c>
      <c r="D92" s="244" t="str">
        <f>_xlfn.XLOOKUP(A92, 'Project Overview'!B:B, 'Project Overview'!O:O, "")</f>
        <v/>
      </c>
      <c r="G92" s="214"/>
      <c r="H92" t="str">
        <f>_xlfn.XLOOKUP(E92, 'Project Overview'!B:B, 'Project Overview'!O:O, "")</f>
        <v/>
      </c>
    </row>
    <row r="93" spans="1:8" x14ac:dyDescent="0.3">
      <c r="A93" s="257" t="s">
        <v>1433</v>
      </c>
      <c r="B93" s="252"/>
      <c r="C93" s="240">
        <f>_xlfn.XLOOKUP(A93, 'Project Overview'!B:B, 'Project Overview'!P:P, "")</f>
        <v>0</v>
      </c>
      <c r="D93" s="244" t="str">
        <f>_xlfn.XLOOKUP(A93, 'Project Overview'!B:B, 'Project Overview'!O:O, "")</f>
        <v>Telha</v>
      </c>
      <c r="G93" s="214"/>
      <c r="H93" t="str">
        <f>_xlfn.XLOOKUP(E93, 'Project Overview'!B:B, 'Project Overview'!O:O, "")</f>
        <v/>
      </c>
    </row>
    <row r="94" spans="1:8" x14ac:dyDescent="0.3">
      <c r="A94" s="258" t="s">
        <v>1072</v>
      </c>
      <c r="B94" s="252">
        <v>1</v>
      </c>
      <c r="C94" s="240" t="str">
        <f>_xlfn.XLOOKUP(A94, 'Project Overview'!B:B, 'Project Overview'!P:P, "")</f>
        <v/>
      </c>
      <c r="D94" s="244" t="str">
        <f>_xlfn.XLOOKUP(A94, 'Project Overview'!B:B, 'Project Overview'!O:O, "")</f>
        <v/>
      </c>
      <c r="G94" s="214"/>
      <c r="H94" t="str">
        <f>_xlfn.XLOOKUP(E94, 'Project Overview'!B:B, 'Project Overview'!O:O, "")</f>
        <v/>
      </c>
    </row>
    <row r="95" spans="1:8" x14ac:dyDescent="0.3">
      <c r="A95" s="257" t="s">
        <v>940</v>
      </c>
      <c r="B95" s="252"/>
      <c r="C95" s="240" t="str">
        <f>_xlfn.XLOOKUP(A95, 'Project Overview'!B:B, 'Project Overview'!P:P, "")</f>
        <v>Escada</v>
      </c>
      <c r="D95" s="245" t="str">
        <f>_xlfn.XLOOKUP(A95, 'Project Overview'!B:B, 'Project Overview'!O:O, "")</f>
        <v>Solo</v>
      </c>
      <c r="G95" s="214"/>
      <c r="H95" t="str">
        <f>_xlfn.XLOOKUP(E95, 'Project Overview'!B:B, 'Project Overview'!O:O, "")</f>
        <v/>
      </c>
    </row>
    <row r="96" spans="1:8" x14ac:dyDescent="0.3">
      <c r="A96" s="258" t="s">
        <v>939</v>
      </c>
      <c r="B96" s="252">
        <v>1</v>
      </c>
      <c r="C96" s="240" t="str">
        <f>_xlfn.XLOOKUP(A96, 'Project Overview'!B:B, 'Project Overview'!P:P, "")</f>
        <v/>
      </c>
      <c r="D96" s="244" t="str">
        <f>_xlfn.XLOOKUP(A96, 'Project Overview'!B:B, 'Project Overview'!O:O, "")</f>
        <v/>
      </c>
      <c r="G96" s="214"/>
      <c r="H96" t="str">
        <f>_xlfn.XLOOKUP(E96, 'Project Overview'!B:B, 'Project Overview'!O:O, "")</f>
        <v/>
      </c>
    </row>
    <row r="97" spans="1:8" x14ac:dyDescent="0.3">
      <c r="A97" s="255" t="s">
        <v>105</v>
      </c>
      <c r="B97" s="252"/>
      <c r="C97" s="240" t="str">
        <f>_xlfn.XLOOKUP(A97, 'Project Overview'!B:B, 'Project Overview'!P:P, "")</f>
        <v/>
      </c>
      <c r="D97" s="244" t="str">
        <f>_xlfn.XLOOKUP(A97, 'Project Overview'!B:B, 'Project Overview'!O:O, "")</f>
        <v/>
      </c>
      <c r="G97" s="214"/>
      <c r="H97" t="str">
        <f>_xlfn.XLOOKUP(E97, 'Project Overview'!B:B, 'Project Overview'!O:O, "")</f>
        <v/>
      </c>
    </row>
    <row r="98" spans="1:8" x14ac:dyDescent="0.3">
      <c r="A98" s="257" t="s">
        <v>359</v>
      </c>
      <c r="B98" s="252"/>
      <c r="C98" s="240" t="str">
        <f>_xlfn.XLOOKUP(A98, 'Project Overview'!B:B, 'Project Overview'!P:P, "")</f>
        <v>Escada</v>
      </c>
      <c r="D98" s="244" t="str">
        <f>_xlfn.XLOOKUP(A98, 'Project Overview'!B:B, 'Project Overview'!O:O, "")</f>
        <v>Sandwich</v>
      </c>
      <c r="G98" s="214"/>
      <c r="H98" t="str">
        <f>_xlfn.XLOOKUP(E98, 'Project Overview'!B:B, 'Project Overview'!O:O, "")</f>
        <v/>
      </c>
    </row>
    <row r="99" spans="1:8" x14ac:dyDescent="0.3">
      <c r="A99" s="258" t="s">
        <v>361</v>
      </c>
      <c r="B99" s="252">
        <v>1</v>
      </c>
      <c r="C99" s="240" t="str">
        <f>_xlfn.XLOOKUP(A99, 'Project Overview'!B:B, 'Project Overview'!P:P, "")</f>
        <v/>
      </c>
      <c r="D99" s="244" t="str">
        <f>_xlfn.XLOOKUP(A99, 'Project Overview'!B:B, 'Project Overview'!O:O, "")</f>
        <v/>
      </c>
      <c r="G99" s="214"/>
      <c r="H99" t="str">
        <f>_xlfn.XLOOKUP(E99, 'Project Overview'!B:B, 'Project Overview'!O:O, "")</f>
        <v/>
      </c>
    </row>
    <row r="100" spans="1:8" x14ac:dyDescent="0.3">
      <c r="A100" s="257" t="s">
        <v>130</v>
      </c>
      <c r="B100" s="252"/>
      <c r="C100" s="240" t="str">
        <f>_xlfn.XLOOKUP(A100, 'Project Overview'!B:B, 'Project Overview'!P:P, "")</f>
        <v>Escada</v>
      </c>
      <c r="D100" s="244" t="str">
        <f>_xlfn.XLOOKUP(A100, 'Project Overview'!B:B, 'Project Overview'!O:O, "")</f>
        <v>Sandwich</v>
      </c>
      <c r="G100" s="214"/>
      <c r="H100" t="str">
        <f>_xlfn.XLOOKUP(E100, 'Project Overview'!B:B, 'Project Overview'!O:O, "")</f>
        <v/>
      </c>
    </row>
    <row r="101" spans="1:8" x14ac:dyDescent="0.3">
      <c r="A101" s="258" t="s">
        <v>132</v>
      </c>
      <c r="B101" s="252">
        <v>1</v>
      </c>
      <c r="C101" s="240" t="str">
        <f>_xlfn.XLOOKUP(A101, 'Project Overview'!B:B, 'Project Overview'!P:P, "")</f>
        <v/>
      </c>
      <c r="D101" s="244" t="str">
        <f>_xlfn.XLOOKUP(A101, 'Project Overview'!B:B, 'Project Overview'!O:O, "")</f>
        <v/>
      </c>
      <c r="G101" s="214"/>
      <c r="H101" t="str">
        <f>_xlfn.XLOOKUP(E101, 'Project Overview'!B:B, 'Project Overview'!O:O, "")</f>
        <v/>
      </c>
    </row>
    <row r="102" spans="1:8" x14ac:dyDescent="0.3">
      <c r="A102" s="257" t="s">
        <v>102</v>
      </c>
      <c r="B102" s="252"/>
      <c r="C102" s="240" t="str">
        <f>_xlfn.XLOOKUP(A102, 'Project Overview'!B:B, 'Project Overview'!P:P, "")</f>
        <v>Escada</v>
      </c>
      <c r="D102" s="244" t="str">
        <f>_xlfn.XLOOKUP(A102, 'Project Overview'!B:B, 'Project Overview'!O:O, "")</f>
        <v>Sandwich</v>
      </c>
      <c r="G102" s="214"/>
      <c r="H102" t="str">
        <f>_xlfn.XLOOKUP(E102, 'Project Overview'!B:B, 'Project Overview'!O:O, "")</f>
        <v/>
      </c>
    </row>
    <row r="103" spans="1:8" x14ac:dyDescent="0.3">
      <c r="A103" s="258" t="s">
        <v>104</v>
      </c>
      <c r="B103" s="252">
        <v>1</v>
      </c>
      <c r="C103" s="240" t="str">
        <f>_xlfn.XLOOKUP(A103, 'Project Overview'!B:B, 'Project Overview'!P:P, "")</f>
        <v/>
      </c>
      <c r="D103" s="244" t="str">
        <f>_xlfn.XLOOKUP(A103, 'Project Overview'!B:B, 'Project Overview'!O:O, "")</f>
        <v/>
      </c>
      <c r="G103" s="214"/>
      <c r="H103" t="str">
        <f>_xlfn.XLOOKUP(E103, 'Project Overview'!B:B, 'Project Overview'!O:O, "")</f>
        <v/>
      </c>
    </row>
    <row r="104" spans="1:8" x14ac:dyDescent="0.3">
      <c r="A104" s="257" t="s">
        <v>289</v>
      </c>
      <c r="B104" s="252"/>
      <c r="C104" s="240" t="str">
        <f>_xlfn.XLOOKUP(A104, 'Project Overview'!B:B, 'Project Overview'!P:P, "")</f>
        <v>Escada</v>
      </c>
      <c r="D104" s="244" t="str">
        <f>_xlfn.XLOOKUP(A104, 'Project Overview'!B:B, 'Project Overview'!O:O, "")</f>
        <v>Sandwich</v>
      </c>
      <c r="G104" s="214"/>
      <c r="H104" t="str">
        <f>_xlfn.XLOOKUP(E104, 'Project Overview'!B:B, 'Project Overview'!O:O, "")</f>
        <v/>
      </c>
    </row>
    <row r="105" spans="1:8" x14ac:dyDescent="0.3">
      <c r="A105" s="258" t="s">
        <v>291</v>
      </c>
      <c r="B105" s="252">
        <v>1</v>
      </c>
      <c r="C105" s="240" t="str">
        <f>_xlfn.XLOOKUP(A105, 'Project Overview'!B:B, 'Project Overview'!P:P, "")</f>
        <v/>
      </c>
      <c r="D105" s="244" t="str">
        <f>_xlfn.XLOOKUP(A105, 'Project Overview'!B:B, 'Project Overview'!O:O, "")</f>
        <v/>
      </c>
      <c r="G105" s="214"/>
      <c r="H105" t="str">
        <f>_xlfn.XLOOKUP(E105, 'Project Overview'!B:B, 'Project Overview'!O:O, "")</f>
        <v/>
      </c>
    </row>
    <row r="106" spans="1:8" x14ac:dyDescent="0.3">
      <c r="A106" s="257" t="s">
        <v>135</v>
      </c>
      <c r="B106" s="252"/>
      <c r="C106" s="240" t="str">
        <f>_xlfn.XLOOKUP(A106, 'Project Overview'!B:B, 'Project Overview'!P:P, "")</f>
        <v>Escada</v>
      </c>
      <c r="D106" s="244" t="str">
        <f>_xlfn.XLOOKUP(A106, 'Project Overview'!B:B, 'Project Overview'!O:O, "")</f>
        <v>Sandwich</v>
      </c>
      <c r="G106" s="214"/>
      <c r="H106" t="str">
        <f>_xlfn.XLOOKUP(E106, 'Project Overview'!B:B, 'Project Overview'!O:O, "")</f>
        <v/>
      </c>
    </row>
    <row r="107" spans="1:8" x14ac:dyDescent="0.3">
      <c r="A107" s="258" t="s">
        <v>137</v>
      </c>
      <c r="B107" s="252">
        <v>1</v>
      </c>
      <c r="C107" s="240" t="str">
        <f>_xlfn.XLOOKUP(A107, 'Project Overview'!B:B, 'Project Overview'!P:P, "")</f>
        <v/>
      </c>
      <c r="D107" s="244" t="str">
        <f>_xlfn.XLOOKUP(A107, 'Project Overview'!B:B, 'Project Overview'!O:O, "")</f>
        <v/>
      </c>
      <c r="G107" s="214"/>
      <c r="H107" t="str">
        <f>_xlfn.XLOOKUP(E107, 'Project Overview'!B:B, 'Project Overview'!O:O, "")</f>
        <v/>
      </c>
    </row>
    <row r="108" spans="1:8" x14ac:dyDescent="0.3">
      <c r="A108" s="257" t="s">
        <v>120</v>
      </c>
      <c r="B108" s="252"/>
      <c r="C108" s="240" t="str">
        <f>_xlfn.XLOOKUP(A108, 'Project Overview'!B:B, 'Project Overview'!P:P, "")</f>
        <v>Escada</v>
      </c>
      <c r="D108" s="244" t="str">
        <f>_xlfn.XLOOKUP(A108, 'Project Overview'!B:B, 'Project Overview'!O:O, "")</f>
        <v>Sandwich</v>
      </c>
      <c r="G108" s="214"/>
      <c r="H108" t="str">
        <f>_xlfn.XLOOKUP(E108, 'Project Overview'!B:B, 'Project Overview'!O:O, "")</f>
        <v/>
      </c>
    </row>
    <row r="109" spans="1:8" x14ac:dyDescent="0.3">
      <c r="A109" s="258" t="s">
        <v>122</v>
      </c>
      <c r="B109" s="252">
        <v>1</v>
      </c>
      <c r="C109" s="240" t="str">
        <f>_xlfn.XLOOKUP(A109, 'Project Overview'!B:B, 'Project Overview'!P:P, "")</f>
        <v/>
      </c>
      <c r="D109" s="244" t="str">
        <f>_xlfn.XLOOKUP(A109, 'Project Overview'!B:B, 'Project Overview'!O:O, "")</f>
        <v/>
      </c>
      <c r="G109" s="214"/>
      <c r="H109" t="str">
        <f>_xlfn.XLOOKUP(E109, 'Project Overview'!B:B, 'Project Overview'!O:O, "")</f>
        <v/>
      </c>
    </row>
    <row r="110" spans="1:8" x14ac:dyDescent="0.3">
      <c r="A110" s="255" t="s">
        <v>17</v>
      </c>
      <c r="B110" s="252"/>
      <c r="C110" s="240" t="str">
        <f>_xlfn.XLOOKUP(A110, 'Project Overview'!B:B, 'Project Overview'!P:P, "")</f>
        <v/>
      </c>
      <c r="D110" s="244" t="str">
        <f>_xlfn.XLOOKUP(A110, 'Project Overview'!B:B, 'Project Overview'!O:O, "")</f>
        <v/>
      </c>
      <c r="G110" s="214"/>
      <c r="H110" t="str">
        <f>_xlfn.XLOOKUP(E110, 'Project Overview'!B:B, 'Project Overview'!O:O, "")</f>
        <v/>
      </c>
    </row>
    <row r="111" spans="1:8" x14ac:dyDescent="0.3">
      <c r="A111" s="257" t="s">
        <v>999</v>
      </c>
      <c r="B111" s="252"/>
      <c r="C111" s="240">
        <f>_xlfn.XLOOKUP(A111, 'Project Overview'!B:B, 'Project Overview'!P:P, "")</f>
        <v>0</v>
      </c>
      <c r="D111" s="244" t="str">
        <f>_xlfn.XLOOKUP(A111, 'Project Overview'!B:B, 'Project Overview'!O:O, "")</f>
        <v>Sandwich</v>
      </c>
      <c r="G111" s="214"/>
      <c r="H111" t="str">
        <f>_xlfn.XLOOKUP(E111, 'Project Overview'!B:B, 'Project Overview'!O:O, "")</f>
        <v/>
      </c>
    </row>
    <row r="112" spans="1:8" x14ac:dyDescent="0.3">
      <c r="A112" s="258" t="s">
        <v>1002</v>
      </c>
      <c r="B112" s="252">
        <v>1</v>
      </c>
      <c r="C112" s="240" t="str">
        <f>_xlfn.XLOOKUP(A112, 'Project Overview'!B:B, 'Project Overview'!P:P, "")</f>
        <v/>
      </c>
      <c r="D112" s="244" t="str">
        <f>_xlfn.XLOOKUP(A112, 'Project Overview'!B:B, 'Project Overview'!O:O, "")</f>
        <v/>
      </c>
      <c r="G112" s="214"/>
      <c r="H112" t="str">
        <f>_xlfn.XLOOKUP(E112, 'Project Overview'!B:B, 'Project Overview'!O:O, "")</f>
        <v/>
      </c>
    </row>
    <row r="113" spans="1:8" x14ac:dyDescent="0.3">
      <c r="A113" s="257" t="s">
        <v>147</v>
      </c>
      <c r="B113" s="252"/>
      <c r="C113" s="240" t="str">
        <f>_xlfn.XLOOKUP(A113, 'Project Overview'!B:B, 'Project Overview'!P:P, "")</f>
        <v>Escada</v>
      </c>
      <c r="D113" s="244" t="str">
        <f>_xlfn.XLOOKUP(A113, 'Project Overview'!B:B, 'Project Overview'!O:O, "")</f>
        <v>Cobertura + Telha</v>
      </c>
      <c r="G113" s="214"/>
      <c r="H113" t="str">
        <f>_xlfn.XLOOKUP(E113, 'Project Overview'!B:B, 'Project Overview'!O:O, "")</f>
        <v/>
      </c>
    </row>
    <row r="114" spans="1:8" x14ac:dyDescent="0.3">
      <c r="A114" s="258" t="s">
        <v>149</v>
      </c>
      <c r="B114" s="252">
        <v>1</v>
      </c>
      <c r="C114" s="240" t="str">
        <f>_xlfn.XLOOKUP(A114, 'Project Overview'!B:B, 'Project Overview'!P:P, "")</f>
        <v/>
      </c>
      <c r="D114" s="244" t="str">
        <f>_xlfn.XLOOKUP(A114, 'Project Overview'!B:B, 'Project Overview'!O:O, "")</f>
        <v/>
      </c>
      <c r="G114" s="214"/>
      <c r="H114" t="str">
        <f>_xlfn.XLOOKUP(E114, 'Project Overview'!B:B, 'Project Overview'!O:O, "")</f>
        <v/>
      </c>
    </row>
    <row r="115" spans="1:8" x14ac:dyDescent="0.3">
      <c r="A115" s="257" t="s">
        <v>620</v>
      </c>
      <c r="B115" s="252"/>
      <c r="C115" s="240" t="str">
        <f>_xlfn.XLOOKUP(A115, 'Project Overview'!B:B, 'Project Overview'!P:P, "")</f>
        <v>Escada</v>
      </c>
      <c r="D115" s="244" t="str">
        <f>_xlfn.XLOOKUP(A115, 'Project Overview'!B:B, 'Project Overview'!O:O, "")</f>
        <v>Sandwich</v>
      </c>
      <c r="G115" s="214"/>
      <c r="H115" t="str">
        <f>_xlfn.XLOOKUP(E115, 'Project Overview'!B:B, 'Project Overview'!O:O, "")</f>
        <v/>
      </c>
    </row>
    <row r="116" spans="1:8" x14ac:dyDescent="0.3">
      <c r="A116" s="258" t="s">
        <v>622</v>
      </c>
      <c r="B116" s="252">
        <v>1</v>
      </c>
      <c r="C116" s="240" t="str">
        <f>_xlfn.XLOOKUP(A116, 'Project Overview'!B:B, 'Project Overview'!P:P, "")</f>
        <v/>
      </c>
      <c r="D116" s="244" t="str">
        <f>_xlfn.XLOOKUP(A116, 'Project Overview'!B:B, 'Project Overview'!O:O, "")</f>
        <v/>
      </c>
      <c r="G116" s="214"/>
      <c r="H116" t="str">
        <f>_xlfn.XLOOKUP(E116, 'Project Overview'!B:B, 'Project Overview'!O:O, "")</f>
        <v/>
      </c>
    </row>
    <row r="117" spans="1:8" x14ac:dyDescent="0.3">
      <c r="A117" s="257" t="s">
        <v>218</v>
      </c>
      <c r="B117" s="252"/>
      <c r="C117" s="240" t="str">
        <f>_xlfn.XLOOKUP(A117, 'Project Overview'!B:B, 'Project Overview'!P:P, "")</f>
        <v>Escada</v>
      </c>
      <c r="D117" s="244" t="str">
        <f>_xlfn.XLOOKUP(A117, 'Project Overview'!B:B, 'Project Overview'!O:O, "")</f>
        <v>Sandwich</v>
      </c>
      <c r="G117" s="214"/>
      <c r="H117" t="str">
        <f>_xlfn.XLOOKUP(E117, 'Project Overview'!B:B, 'Project Overview'!O:O, "")</f>
        <v/>
      </c>
    </row>
    <row r="118" spans="1:8" x14ac:dyDescent="0.3">
      <c r="A118" s="258" t="s">
        <v>220</v>
      </c>
      <c r="B118" s="252">
        <v>1</v>
      </c>
      <c r="C118" s="240" t="str">
        <f>_xlfn.XLOOKUP(A118, 'Project Overview'!B:B, 'Project Overview'!P:P, "")</f>
        <v/>
      </c>
      <c r="D118" s="244" t="str">
        <f>_xlfn.XLOOKUP(A118, 'Project Overview'!B:B, 'Project Overview'!O:O, "")</f>
        <v/>
      </c>
      <c r="G118" s="214"/>
      <c r="H118" t="str">
        <f>_xlfn.XLOOKUP(E118, 'Project Overview'!B:B, 'Project Overview'!O:O, "")</f>
        <v/>
      </c>
    </row>
    <row r="119" spans="1:8" x14ac:dyDescent="0.3">
      <c r="A119" s="255" t="s">
        <v>51</v>
      </c>
      <c r="B119" s="252"/>
      <c r="C119" s="240" t="str">
        <f>_xlfn.XLOOKUP(A119, 'Project Overview'!B:B, 'Project Overview'!P:P, "")</f>
        <v/>
      </c>
      <c r="D119" s="244" t="str">
        <f>_xlfn.XLOOKUP(A119, 'Project Overview'!B:B, 'Project Overview'!O:O, "")</f>
        <v/>
      </c>
      <c r="G119" s="214"/>
      <c r="H119" t="str">
        <f>_xlfn.XLOOKUP(E119, 'Project Overview'!B:B, 'Project Overview'!O:O, "")</f>
        <v/>
      </c>
    </row>
    <row r="120" spans="1:8" x14ac:dyDescent="0.3">
      <c r="A120" s="257" t="s">
        <v>48</v>
      </c>
      <c r="B120" s="252"/>
      <c r="C120" s="240" t="str">
        <f>_xlfn.XLOOKUP(A120, 'Project Overview'!B:B, 'Project Overview'!P:P, "")</f>
        <v>Cobertura</v>
      </c>
      <c r="D120" s="244" t="str">
        <f>_xlfn.XLOOKUP(A120, 'Project Overview'!B:B, 'Project Overview'!O:O, "")</f>
        <v>Sandwich</v>
      </c>
      <c r="G120" s="214"/>
      <c r="H120" t="str">
        <f>_xlfn.XLOOKUP(E120, 'Project Overview'!B:B, 'Project Overview'!O:O, "")</f>
        <v/>
      </c>
    </row>
    <row r="121" spans="1:8" x14ac:dyDescent="0.3">
      <c r="A121" s="258" t="s">
        <v>50</v>
      </c>
      <c r="B121" s="252">
        <v>1</v>
      </c>
      <c r="C121" s="240" t="str">
        <f>_xlfn.XLOOKUP(A121, 'Project Overview'!B:B, 'Project Overview'!P:P, "")</f>
        <v/>
      </c>
      <c r="D121" s="244" t="str">
        <f>_xlfn.XLOOKUP(A121, 'Project Overview'!B:B, 'Project Overview'!O:O, "")</f>
        <v/>
      </c>
      <c r="G121" s="214"/>
      <c r="H121" t="str">
        <f>_xlfn.XLOOKUP(E121, 'Project Overview'!B:B, 'Project Overview'!O:O, "")</f>
        <v/>
      </c>
    </row>
    <row r="122" spans="1:8" x14ac:dyDescent="0.3">
      <c r="A122" s="257" t="s">
        <v>83</v>
      </c>
      <c r="B122" s="252"/>
      <c r="C122" s="240" t="str">
        <f>_xlfn.XLOOKUP(A122, 'Project Overview'!B:B, 'Project Overview'!P:P, "")</f>
        <v>Cobertura</v>
      </c>
      <c r="D122" s="244" t="str">
        <f>_xlfn.XLOOKUP(A122, 'Project Overview'!B:B, 'Project Overview'!O:O, "")</f>
        <v>Sandwich</v>
      </c>
      <c r="G122" s="214"/>
      <c r="H122" t="str">
        <f>_xlfn.XLOOKUP(E122, 'Project Overview'!B:B, 'Project Overview'!O:O, "")</f>
        <v/>
      </c>
    </row>
    <row r="123" spans="1:8" x14ac:dyDescent="0.3">
      <c r="A123" s="258" t="s">
        <v>84</v>
      </c>
      <c r="B123" s="252">
        <v>1</v>
      </c>
      <c r="C123" s="240" t="str">
        <f>_xlfn.XLOOKUP(A123, 'Project Overview'!B:B, 'Project Overview'!P:P, "")</f>
        <v/>
      </c>
      <c r="D123" s="244" t="str">
        <f>_xlfn.XLOOKUP(A123, 'Project Overview'!B:B, 'Project Overview'!O:O, "")</f>
        <v/>
      </c>
      <c r="G123" s="214"/>
      <c r="H123" t="str">
        <f>_xlfn.XLOOKUP(E123, 'Project Overview'!B:B, 'Project Overview'!O:O, "")</f>
        <v/>
      </c>
    </row>
    <row r="124" spans="1:8" x14ac:dyDescent="0.3">
      <c r="A124" s="257" t="s">
        <v>1425</v>
      </c>
      <c r="B124" s="252"/>
      <c r="C124" s="240" t="str">
        <f>_xlfn.XLOOKUP(A124, 'Project Overview'!B:B, 'Project Overview'!P:P, "")</f>
        <v>Escada Vertical</v>
      </c>
      <c r="D124" s="244" t="str">
        <f>_xlfn.XLOOKUP(A124, 'Project Overview'!B:B, 'Project Overview'!O:O, "")</f>
        <v>Sandwich</v>
      </c>
      <c r="G124" s="214"/>
      <c r="H124" t="str">
        <f>_xlfn.XLOOKUP(E124, 'Project Overview'!B:B, 'Project Overview'!O:O, "")</f>
        <v/>
      </c>
    </row>
    <row r="125" spans="1:8" x14ac:dyDescent="0.3">
      <c r="A125" s="258" t="s">
        <v>75</v>
      </c>
      <c r="B125" s="252">
        <v>1</v>
      </c>
      <c r="C125" s="240" t="str">
        <f>_xlfn.XLOOKUP(A125, 'Project Overview'!B:B, 'Project Overview'!P:P, "")</f>
        <v/>
      </c>
      <c r="D125" s="244" t="str">
        <f>_xlfn.XLOOKUP(A125, 'Project Overview'!B:B, 'Project Overview'!O:O, "")</f>
        <v/>
      </c>
      <c r="G125" s="214"/>
      <c r="H125" t="str">
        <f>_xlfn.XLOOKUP(E125, 'Project Overview'!B:B, 'Project Overview'!O:O, "")</f>
        <v/>
      </c>
    </row>
    <row r="126" spans="1:8" x14ac:dyDescent="0.3">
      <c r="A126" s="257" t="s">
        <v>1421</v>
      </c>
      <c r="B126" s="252"/>
      <c r="C126" s="240" t="str">
        <f>_xlfn.XLOOKUP(A126, 'Project Overview'!B:B, 'Project Overview'!P:P, "")</f>
        <v>Acesso pela cobertura</v>
      </c>
      <c r="D126" s="244" t="str">
        <f>_xlfn.XLOOKUP(A126, 'Project Overview'!B:B, 'Project Overview'!O:O, "")</f>
        <v>Telha</v>
      </c>
      <c r="G126" s="214"/>
      <c r="H126" t="str">
        <f>_xlfn.XLOOKUP(E126, 'Project Overview'!B:B, 'Project Overview'!O:O, "")</f>
        <v/>
      </c>
    </row>
    <row r="127" spans="1:8" x14ac:dyDescent="0.3">
      <c r="A127" s="258" t="s">
        <v>462</v>
      </c>
      <c r="B127" s="252">
        <v>1</v>
      </c>
      <c r="C127" s="240" t="str">
        <f>_xlfn.XLOOKUP(A127, 'Project Overview'!B:B, 'Project Overview'!P:P, "")</f>
        <v/>
      </c>
      <c r="D127" s="244" t="str">
        <f>_xlfn.XLOOKUP(A127, 'Project Overview'!B:B, 'Project Overview'!O:O, "")</f>
        <v/>
      </c>
      <c r="G127" s="214"/>
      <c r="H127" t="str">
        <f>_xlfn.XLOOKUP(E127, 'Project Overview'!B:B, 'Project Overview'!O:O, "")</f>
        <v/>
      </c>
    </row>
    <row r="128" spans="1:8" x14ac:dyDescent="0.3">
      <c r="A128" s="255" t="s">
        <v>19</v>
      </c>
      <c r="B128" s="252"/>
      <c r="C128" s="240" t="str">
        <f>_xlfn.XLOOKUP(A128, 'Project Overview'!B:B, 'Project Overview'!P:P, "")</f>
        <v/>
      </c>
      <c r="D128" s="244" t="str">
        <f>_xlfn.XLOOKUP(A128, 'Project Overview'!B:B, 'Project Overview'!O:O, "")</f>
        <v/>
      </c>
      <c r="G128" s="214"/>
      <c r="H128" t="str">
        <f>_xlfn.XLOOKUP(E128, 'Project Overview'!B:B, 'Project Overview'!O:O, "")</f>
        <v/>
      </c>
    </row>
    <row r="129" spans="1:8" x14ac:dyDescent="0.3">
      <c r="A129" s="257" t="s">
        <v>1054</v>
      </c>
      <c r="B129" s="252"/>
      <c r="C129" s="240">
        <f>_xlfn.XLOOKUP(A129, 'Project Overview'!B:B, 'Project Overview'!P:P, "")</f>
        <v>0</v>
      </c>
      <c r="D129" s="244" t="str">
        <f>_xlfn.XLOOKUP(A129, 'Project Overview'!B:B, 'Project Overview'!O:O, "")</f>
        <v>Telha</v>
      </c>
      <c r="G129" s="214"/>
      <c r="H129" t="str">
        <f>_xlfn.XLOOKUP(E129, 'Project Overview'!B:B, 'Project Overview'!O:O, "")</f>
        <v/>
      </c>
    </row>
    <row r="130" spans="1:8" x14ac:dyDescent="0.3">
      <c r="A130" s="258" t="s">
        <v>1056</v>
      </c>
      <c r="B130" s="252">
        <v>1</v>
      </c>
      <c r="C130" s="240" t="str">
        <f>_xlfn.XLOOKUP(A130, 'Project Overview'!B:B, 'Project Overview'!P:P, "")</f>
        <v/>
      </c>
      <c r="D130" s="244" t="str">
        <f>_xlfn.XLOOKUP(A130, 'Project Overview'!B:B, 'Project Overview'!O:O, "")</f>
        <v/>
      </c>
      <c r="G130" s="214"/>
      <c r="H130" t="str">
        <f>_xlfn.XLOOKUP(E130, 'Project Overview'!B:B, 'Project Overview'!O:O, "")</f>
        <v/>
      </c>
    </row>
    <row r="131" spans="1:8" x14ac:dyDescent="0.3">
      <c r="A131" s="257" t="s">
        <v>58</v>
      </c>
      <c r="B131" s="252"/>
      <c r="C131" s="240" t="str">
        <f>_xlfn.XLOOKUP(A131, 'Project Overview'!B:B, 'Project Overview'!P:P, "")</f>
        <v>Escada</v>
      </c>
      <c r="D131" s="244" t="str">
        <f>_xlfn.XLOOKUP(A131, 'Project Overview'!B:B, 'Project Overview'!O:O, "")</f>
        <v>Sandwich</v>
      </c>
      <c r="G131" s="214"/>
      <c r="H131" t="str">
        <f>_xlfn.XLOOKUP(E131, 'Project Overview'!B:B, 'Project Overview'!O:O, "")</f>
        <v/>
      </c>
    </row>
    <row r="132" spans="1:8" x14ac:dyDescent="0.3">
      <c r="A132" s="258" t="s">
        <v>60</v>
      </c>
      <c r="B132" s="252">
        <v>1</v>
      </c>
      <c r="C132" s="240" t="str">
        <f>_xlfn.XLOOKUP(A132, 'Project Overview'!B:B, 'Project Overview'!P:P, "")</f>
        <v/>
      </c>
      <c r="D132" s="244" t="str">
        <f>_xlfn.XLOOKUP(A132, 'Project Overview'!B:B, 'Project Overview'!O:O, "")</f>
        <v/>
      </c>
      <c r="G132" s="214"/>
      <c r="H132" t="str">
        <f>_xlfn.XLOOKUP(E132, 'Project Overview'!B:B, 'Project Overview'!O:O, "")</f>
        <v/>
      </c>
    </row>
    <row r="133" spans="1:8" x14ac:dyDescent="0.3">
      <c r="A133" s="257" t="s">
        <v>947</v>
      </c>
      <c r="B133" s="252"/>
      <c r="C133" s="240" t="str">
        <f>_xlfn.XLOOKUP(A133, 'Project Overview'!B:B, 'Project Overview'!P:P, "")</f>
        <v>Escada</v>
      </c>
      <c r="D133" s="244" t="str">
        <f>_xlfn.XLOOKUP(A133, 'Project Overview'!B:B, 'Project Overview'!O:O, "")</f>
        <v>Sandwich</v>
      </c>
      <c r="G133" s="214"/>
      <c r="H133" t="str">
        <f>_xlfn.XLOOKUP(E133, 'Project Overview'!B:B, 'Project Overview'!O:O, "")</f>
        <v/>
      </c>
    </row>
    <row r="134" spans="1:8" x14ac:dyDescent="0.3">
      <c r="A134" s="258" t="s">
        <v>948</v>
      </c>
      <c r="B134" s="252">
        <v>1</v>
      </c>
      <c r="C134" s="240" t="str">
        <f>_xlfn.XLOOKUP(A134, 'Project Overview'!B:B, 'Project Overview'!P:P, "")</f>
        <v/>
      </c>
      <c r="D134" s="244" t="str">
        <f>_xlfn.XLOOKUP(A134, 'Project Overview'!B:B, 'Project Overview'!O:O, "")</f>
        <v/>
      </c>
      <c r="G134" s="214"/>
      <c r="H134" t="str">
        <f>_xlfn.XLOOKUP(E134, 'Project Overview'!B:B, 'Project Overview'!O:O, "")</f>
        <v/>
      </c>
    </row>
    <row r="135" spans="1:8" x14ac:dyDescent="0.3">
      <c r="A135" s="257" t="s">
        <v>212</v>
      </c>
      <c r="B135" s="252"/>
      <c r="C135" s="240" t="str">
        <f>_xlfn.XLOOKUP(A135, 'Project Overview'!B:B, 'Project Overview'!P:P, "")</f>
        <v>Escada</v>
      </c>
      <c r="D135" s="244" t="str">
        <f>_xlfn.XLOOKUP(A135, 'Project Overview'!B:B, 'Project Overview'!O:O, "")</f>
        <v>Sandwich</v>
      </c>
      <c r="G135" s="214"/>
      <c r="H135" t="str">
        <f>_xlfn.XLOOKUP(E135, 'Project Overview'!B:B, 'Project Overview'!O:O, "")</f>
        <v/>
      </c>
    </row>
    <row r="136" spans="1:8" x14ac:dyDescent="0.3">
      <c r="A136" s="258" t="s">
        <v>214</v>
      </c>
      <c r="B136" s="252">
        <v>1</v>
      </c>
      <c r="C136" s="240" t="str">
        <f>_xlfn.XLOOKUP(A136, 'Project Overview'!B:B, 'Project Overview'!P:P, "")</f>
        <v/>
      </c>
      <c r="D136" s="244" t="str">
        <f>_xlfn.XLOOKUP(A136, 'Project Overview'!B:B, 'Project Overview'!O:O, "")</f>
        <v/>
      </c>
      <c r="G136" s="214"/>
      <c r="H136" t="str">
        <f>_xlfn.XLOOKUP(E136, 'Project Overview'!B:B, 'Project Overview'!O:O, "")</f>
        <v/>
      </c>
    </row>
    <row r="137" spans="1:8" x14ac:dyDescent="0.3">
      <c r="A137" s="255" t="s">
        <v>20</v>
      </c>
      <c r="B137" s="252"/>
      <c r="C137" s="240" t="str">
        <f>_xlfn.XLOOKUP(A137, 'Project Overview'!B:B, 'Project Overview'!P:P, "")</f>
        <v/>
      </c>
      <c r="D137" s="244" t="str">
        <f>_xlfn.XLOOKUP(A137, 'Project Overview'!B:B, 'Project Overview'!O:O, "")</f>
        <v/>
      </c>
      <c r="G137" s="214"/>
      <c r="H137" t="str">
        <f>_xlfn.XLOOKUP(E137, 'Project Overview'!B:B, 'Project Overview'!O:O, "")</f>
        <v/>
      </c>
    </row>
    <row r="138" spans="1:8" x14ac:dyDescent="0.3">
      <c r="A138" s="257" t="s">
        <v>1131</v>
      </c>
      <c r="B138" s="252"/>
      <c r="C138" s="240" t="str">
        <f>_xlfn.XLOOKUP(A138, 'Project Overview'!B:B, 'Project Overview'!P:P, "")</f>
        <v>Escada fixa</v>
      </c>
      <c r="D138" s="244" t="str">
        <f>_xlfn.XLOOKUP(A138, 'Project Overview'!B:B, 'Project Overview'!O:O, "")</f>
        <v>Cobertura Plana</v>
      </c>
      <c r="G138" s="214"/>
      <c r="H138" t="str">
        <f>_xlfn.XLOOKUP(E138, 'Project Overview'!B:B, 'Project Overview'!O:O, "")</f>
        <v/>
      </c>
    </row>
    <row r="139" spans="1:8" x14ac:dyDescent="0.3">
      <c r="A139" s="258" t="s">
        <v>1133</v>
      </c>
      <c r="B139" s="252">
        <v>1</v>
      </c>
      <c r="C139" s="240" t="str">
        <f>_xlfn.XLOOKUP(A139, 'Project Overview'!B:B, 'Project Overview'!P:P, "")</f>
        <v/>
      </c>
      <c r="D139" s="244" t="str">
        <f>_xlfn.XLOOKUP(A139, 'Project Overview'!B:B, 'Project Overview'!O:O, "")</f>
        <v/>
      </c>
      <c r="G139" s="214"/>
      <c r="H139" t="str">
        <f>_xlfn.XLOOKUP(E139, 'Project Overview'!B:B, 'Project Overview'!O:O, "")</f>
        <v/>
      </c>
    </row>
    <row r="140" spans="1:8" x14ac:dyDescent="0.3">
      <c r="A140" s="257" t="s">
        <v>223</v>
      </c>
      <c r="B140" s="252"/>
      <c r="C140" s="240" t="str">
        <f>_xlfn.XLOOKUP(A140, 'Project Overview'!B:B, 'Project Overview'!P:P, "")</f>
        <v>Escada Vertical</v>
      </c>
      <c r="D140" s="244" t="str">
        <f>_xlfn.XLOOKUP(A140, 'Project Overview'!B:B, 'Project Overview'!O:O, "")</f>
        <v>Sandwich</v>
      </c>
      <c r="G140" s="214"/>
      <c r="H140" t="str">
        <f>_xlfn.XLOOKUP(E140, 'Project Overview'!B:B, 'Project Overview'!O:O, "")</f>
        <v/>
      </c>
    </row>
    <row r="141" spans="1:8" x14ac:dyDescent="0.3">
      <c r="A141" s="258" t="s">
        <v>225</v>
      </c>
      <c r="B141" s="252">
        <v>1</v>
      </c>
      <c r="C141" s="240" t="str">
        <f>_xlfn.XLOOKUP(A141, 'Project Overview'!B:B, 'Project Overview'!P:P, "")</f>
        <v/>
      </c>
      <c r="D141" s="244" t="str">
        <f>_xlfn.XLOOKUP(A141, 'Project Overview'!B:B, 'Project Overview'!O:O, "")</f>
        <v/>
      </c>
      <c r="G141" s="214"/>
      <c r="H141" t="str">
        <f>_xlfn.XLOOKUP(E141, 'Project Overview'!B:B, 'Project Overview'!O:O, "")</f>
        <v/>
      </c>
    </row>
    <row r="142" spans="1:8" x14ac:dyDescent="0.3">
      <c r="A142" s="257" t="s">
        <v>142</v>
      </c>
      <c r="B142" s="252"/>
      <c r="C142" s="240" t="str">
        <f>_xlfn.XLOOKUP(A142, 'Project Overview'!B:B, 'Project Overview'!P:P, "")</f>
        <v>Escada</v>
      </c>
      <c r="D142" s="244" t="str">
        <f>_xlfn.XLOOKUP(A142, 'Project Overview'!B:B, 'Project Overview'!O:O, "")</f>
        <v>Sandwich</v>
      </c>
      <c r="G142" s="214"/>
      <c r="H142" t="str">
        <f>_xlfn.XLOOKUP(E142, 'Project Overview'!B:B, 'Project Overview'!O:O, "")</f>
        <v/>
      </c>
    </row>
    <row r="143" spans="1:8" x14ac:dyDescent="0.3">
      <c r="A143" s="258" t="s">
        <v>144</v>
      </c>
      <c r="B143" s="252">
        <v>1</v>
      </c>
      <c r="C143" s="240" t="str">
        <f>_xlfn.XLOOKUP(A143, 'Project Overview'!B:B, 'Project Overview'!P:P, "")</f>
        <v/>
      </c>
      <c r="D143" s="244" t="str">
        <f>_xlfn.XLOOKUP(A143, 'Project Overview'!B:B, 'Project Overview'!O:O, "")</f>
        <v/>
      </c>
      <c r="G143" s="214"/>
      <c r="H143" t="str">
        <f>_xlfn.XLOOKUP(E143, 'Project Overview'!B:B, 'Project Overview'!O:O, "")</f>
        <v/>
      </c>
    </row>
    <row r="144" spans="1:8" x14ac:dyDescent="0.3">
      <c r="A144" s="255" t="s">
        <v>1248</v>
      </c>
      <c r="B144" s="252"/>
      <c r="C144" s="240" t="str">
        <f>_xlfn.XLOOKUP(A144, 'Project Overview'!B:B, 'Project Overview'!P:P, "")</f>
        <v/>
      </c>
      <c r="D144" s="244" t="str">
        <f>_xlfn.XLOOKUP(A144, 'Project Overview'!B:B, 'Project Overview'!O:O, "")</f>
        <v/>
      </c>
      <c r="G144" s="214"/>
      <c r="H144" t="str">
        <f>_xlfn.XLOOKUP(E144, 'Project Overview'!B:B, 'Project Overview'!O:O, "")</f>
        <v/>
      </c>
    </row>
    <row r="145" spans="1:8" x14ac:dyDescent="0.3">
      <c r="A145" s="257" t="s">
        <v>1251</v>
      </c>
      <c r="B145" s="252"/>
      <c r="C145" s="240" t="str">
        <f>_xlfn.XLOOKUP(A145, 'Project Overview'!B:B, 'Project Overview'!P:P, "")</f>
        <v>Escada fixa</v>
      </c>
      <c r="D145" s="244" t="str">
        <f>_xlfn.XLOOKUP(A145, 'Project Overview'!B:B, 'Project Overview'!O:O, "")</f>
        <v>cobertura plana</v>
      </c>
      <c r="G145" s="214"/>
      <c r="H145" t="str">
        <f>_xlfn.XLOOKUP(E145, 'Project Overview'!B:B, 'Project Overview'!O:O, "")</f>
        <v/>
      </c>
    </row>
    <row r="146" spans="1:8" x14ac:dyDescent="0.3">
      <c r="A146" s="258" t="s">
        <v>1378</v>
      </c>
      <c r="B146" s="252">
        <v>1</v>
      </c>
      <c r="C146" s="240" t="str">
        <f>_xlfn.XLOOKUP(A146, 'Project Overview'!B:B, 'Project Overview'!P:P, "")</f>
        <v/>
      </c>
      <c r="D146" s="244" t="str">
        <f>_xlfn.XLOOKUP(A146, 'Project Overview'!B:B, 'Project Overview'!O:O, "")</f>
        <v/>
      </c>
      <c r="G146" s="214"/>
      <c r="H146" t="str">
        <f>_xlfn.XLOOKUP(E146, 'Project Overview'!B:B, 'Project Overview'!O:O, "")</f>
        <v/>
      </c>
    </row>
    <row r="147" spans="1:8" x14ac:dyDescent="0.3">
      <c r="A147" s="257" t="s">
        <v>1252</v>
      </c>
      <c r="B147" s="252"/>
      <c r="C147" s="240" t="str">
        <f>_xlfn.XLOOKUP(A147, 'Project Overview'!B:B, 'Project Overview'!P:P, "")</f>
        <v>Escada fixa</v>
      </c>
      <c r="D147" s="244" t="str">
        <f>_xlfn.XLOOKUP(A147, 'Project Overview'!B:B, 'Project Overview'!O:O, "")</f>
        <v>cobertura plana</v>
      </c>
      <c r="G147" s="214"/>
      <c r="H147" t="str">
        <f>_xlfn.XLOOKUP(E147, 'Project Overview'!B:B, 'Project Overview'!O:O, "")</f>
        <v/>
      </c>
    </row>
    <row r="148" spans="1:8" x14ac:dyDescent="0.3">
      <c r="A148" s="258" t="s">
        <v>1378</v>
      </c>
      <c r="B148" s="252">
        <v>1</v>
      </c>
      <c r="C148" s="240" t="str">
        <f>_xlfn.XLOOKUP(A148, 'Project Overview'!B:B, 'Project Overview'!P:P, "")</f>
        <v/>
      </c>
      <c r="D148" s="244" t="str">
        <f>_xlfn.XLOOKUP(A148, 'Project Overview'!B:B, 'Project Overview'!O:O, "")</f>
        <v/>
      </c>
      <c r="G148" s="214"/>
      <c r="H148" t="str">
        <f>_xlfn.XLOOKUP(E148, 'Project Overview'!B:B, 'Project Overview'!O:O, "")</f>
        <v/>
      </c>
    </row>
    <row r="149" spans="1:8" x14ac:dyDescent="0.3">
      <c r="A149" s="257" t="s">
        <v>1247</v>
      </c>
      <c r="B149" s="252"/>
      <c r="C149" s="240" t="str">
        <f>_xlfn.XLOOKUP(A149, 'Project Overview'!B:B, 'Project Overview'!P:P, "")</f>
        <v>Escada fixa</v>
      </c>
      <c r="D149" s="244" t="str">
        <f>_xlfn.XLOOKUP(A149, 'Project Overview'!B:B, 'Project Overview'!O:O, "")</f>
        <v>cobertura plana</v>
      </c>
      <c r="G149" s="214"/>
      <c r="H149" t="str">
        <f>_xlfn.XLOOKUP(E149, 'Project Overview'!B:B, 'Project Overview'!O:O, "")</f>
        <v/>
      </c>
    </row>
    <row r="150" spans="1:8" x14ac:dyDescent="0.3">
      <c r="A150" s="258" t="s">
        <v>1378</v>
      </c>
      <c r="B150" s="252">
        <v>1</v>
      </c>
      <c r="C150" s="240" t="str">
        <f>_xlfn.XLOOKUP(A150, 'Project Overview'!B:B, 'Project Overview'!P:P, "")</f>
        <v/>
      </c>
      <c r="D150" s="244" t="str">
        <f>_xlfn.XLOOKUP(A150, 'Project Overview'!B:B, 'Project Overview'!O:O, "")</f>
        <v/>
      </c>
      <c r="G150" s="214"/>
      <c r="H150" t="str">
        <f>_xlfn.XLOOKUP(E150, 'Project Overview'!B:B, 'Project Overview'!O:O, "")</f>
        <v/>
      </c>
    </row>
    <row r="151" spans="1:8" x14ac:dyDescent="0.3">
      <c r="A151" s="255" t="s">
        <v>375</v>
      </c>
      <c r="B151" s="252"/>
      <c r="C151" s="240" t="str">
        <f>_xlfn.XLOOKUP(A151, 'Project Overview'!B:B, 'Project Overview'!P:P, "")</f>
        <v/>
      </c>
      <c r="D151" s="244" t="str">
        <f>_xlfn.XLOOKUP(A151, 'Project Overview'!B:B, 'Project Overview'!O:O, "")</f>
        <v/>
      </c>
      <c r="G151" s="214"/>
      <c r="H151" t="str">
        <f>_xlfn.XLOOKUP(E151, 'Project Overview'!B:B, 'Project Overview'!O:O, "")</f>
        <v/>
      </c>
    </row>
    <row r="152" spans="1:8" x14ac:dyDescent="0.3">
      <c r="A152" s="257" t="s">
        <v>441</v>
      </c>
      <c r="B152" s="252"/>
      <c r="C152" s="240" t="str">
        <f>_xlfn.XLOOKUP(A152, 'Project Overview'!B:B, 'Project Overview'!P:P, "")</f>
        <v>Escada</v>
      </c>
      <c r="D152" s="244" t="str">
        <f>_xlfn.XLOOKUP(A152, 'Project Overview'!B:B, 'Project Overview'!O:O, "")</f>
        <v>Sandwich</v>
      </c>
      <c r="G152" s="214"/>
      <c r="H152" t="str">
        <f>_xlfn.XLOOKUP(E152, 'Project Overview'!B:B, 'Project Overview'!O:O, "")</f>
        <v/>
      </c>
    </row>
    <row r="153" spans="1:8" x14ac:dyDescent="0.3">
      <c r="A153" s="258" t="s">
        <v>443</v>
      </c>
      <c r="B153" s="252">
        <v>1</v>
      </c>
      <c r="C153" s="240" t="str">
        <f>_xlfn.XLOOKUP(A153, 'Project Overview'!B:B, 'Project Overview'!P:P, "")</f>
        <v/>
      </c>
      <c r="D153" s="244" t="str">
        <f>_xlfn.XLOOKUP(A153, 'Project Overview'!B:B, 'Project Overview'!O:O, "")</f>
        <v/>
      </c>
      <c r="G153" s="214"/>
      <c r="H153" t="str">
        <f>_xlfn.XLOOKUP(E153, 'Project Overview'!B:B, 'Project Overview'!O:O, "")</f>
        <v/>
      </c>
    </row>
    <row r="154" spans="1:8" x14ac:dyDescent="0.3">
      <c r="A154" s="257" t="s">
        <v>372</v>
      </c>
      <c r="B154" s="252"/>
      <c r="C154" s="240" t="str">
        <f>_xlfn.XLOOKUP(A154, 'Project Overview'!B:B, 'Project Overview'!P:P, "")</f>
        <v>Escada</v>
      </c>
      <c r="D154" s="244" t="str">
        <f>_xlfn.XLOOKUP(A154, 'Project Overview'!B:B, 'Project Overview'!O:O, "")</f>
        <v>Sandwich</v>
      </c>
      <c r="G154" s="214"/>
      <c r="H154" t="str">
        <f>_xlfn.XLOOKUP(E154, 'Project Overview'!B:B, 'Project Overview'!O:O, "")</f>
        <v/>
      </c>
    </row>
    <row r="155" spans="1:8" x14ac:dyDescent="0.3">
      <c r="A155" s="258" t="s">
        <v>374</v>
      </c>
      <c r="B155" s="252">
        <v>1</v>
      </c>
      <c r="C155" s="240" t="str">
        <f>_xlfn.XLOOKUP(A155, 'Project Overview'!B:B, 'Project Overview'!P:P, "")</f>
        <v/>
      </c>
      <c r="D155" s="244" t="str">
        <f>_xlfn.XLOOKUP(A155, 'Project Overview'!B:B, 'Project Overview'!O:O, "")</f>
        <v/>
      </c>
      <c r="G155" s="214"/>
      <c r="H155" t="str">
        <f>_xlfn.XLOOKUP(E155, 'Project Overview'!B:B, 'Project Overview'!O:O, "")</f>
        <v/>
      </c>
    </row>
    <row r="156" spans="1:8" x14ac:dyDescent="0.3">
      <c r="A156" s="255" t="s">
        <v>571</v>
      </c>
      <c r="B156" s="252"/>
      <c r="C156" s="240" t="str">
        <f>_xlfn.XLOOKUP(A156, 'Project Overview'!B:B, 'Project Overview'!P:P, "")</f>
        <v/>
      </c>
      <c r="D156" s="244" t="str">
        <f>_xlfn.XLOOKUP(A156, 'Project Overview'!B:B, 'Project Overview'!O:O, "")</f>
        <v/>
      </c>
      <c r="G156" s="214"/>
      <c r="H156" t="str">
        <f>_xlfn.XLOOKUP(E156, 'Project Overview'!B:B, 'Project Overview'!O:O, "")</f>
        <v/>
      </c>
    </row>
    <row r="157" spans="1:8" x14ac:dyDescent="0.3">
      <c r="A157" s="257" t="s">
        <v>575</v>
      </c>
      <c r="B157" s="252"/>
      <c r="C157" s="240" t="str">
        <f>_xlfn.XLOOKUP(A157, 'Project Overview'!B:B, 'Project Overview'!P:P, "")</f>
        <v>Escada</v>
      </c>
      <c r="D157" s="244" t="str">
        <f>_xlfn.XLOOKUP(A157, 'Project Overview'!B:B, 'Project Overview'!O:O, "")</f>
        <v>Sandwich</v>
      </c>
      <c r="G157" s="214"/>
      <c r="H157" t="str">
        <f>_xlfn.XLOOKUP(E157, 'Project Overview'!B:B, 'Project Overview'!O:O, "")</f>
        <v/>
      </c>
    </row>
    <row r="158" spans="1:8" x14ac:dyDescent="0.3">
      <c r="A158" s="258" t="s">
        <v>577</v>
      </c>
      <c r="B158" s="252">
        <v>1</v>
      </c>
      <c r="C158" s="240" t="str">
        <f>_xlfn.XLOOKUP(A158, 'Project Overview'!B:B, 'Project Overview'!P:P, "")</f>
        <v/>
      </c>
      <c r="D158" s="244" t="str">
        <f>_xlfn.XLOOKUP(A158, 'Project Overview'!B:B, 'Project Overview'!O:O, "")</f>
        <v/>
      </c>
      <c r="G158" s="214"/>
      <c r="H158" t="str">
        <f>_xlfn.XLOOKUP(E158, 'Project Overview'!B:B, 'Project Overview'!O:O, "")</f>
        <v/>
      </c>
    </row>
    <row r="159" spans="1:8" x14ac:dyDescent="0.3">
      <c r="A159" s="257" t="s">
        <v>568</v>
      </c>
      <c r="B159" s="252"/>
      <c r="C159" s="240" t="str">
        <f>_xlfn.XLOOKUP(A159, 'Project Overview'!B:B, 'Project Overview'!P:P, "")</f>
        <v>Escada</v>
      </c>
      <c r="D159" s="244" t="str">
        <f>_xlfn.XLOOKUP(A159, 'Project Overview'!B:B, 'Project Overview'!O:O, "")</f>
        <v>Sandwich</v>
      </c>
      <c r="G159" s="214"/>
      <c r="H159" t="str">
        <f>_xlfn.XLOOKUP(E159, 'Project Overview'!B:B, 'Project Overview'!O:O, "")</f>
        <v/>
      </c>
    </row>
    <row r="160" spans="1:8" x14ac:dyDescent="0.3">
      <c r="A160" s="258" t="s">
        <v>570</v>
      </c>
      <c r="B160" s="252">
        <v>1</v>
      </c>
      <c r="C160" s="240" t="str">
        <f>_xlfn.XLOOKUP(A160, 'Project Overview'!B:B, 'Project Overview'!P:P, "")</f>
        <v/>
      </c>
      <c r="D160" s="244" t="str">
        <f>_xlfn.XLOOKUP(A160, 'Project Overview'!B:B, 'Project Overview'!O:O, "")</f>
        <v/>
      </c>
      <c r="G160" s="214"/>
      <c r="H160" t="str">
        <f>_xlfn.XLOOKUP(E160, 'Project Overview'!B:B, 'Project Overview'!O:O, "")</f>
        <v/>
      </c>
    </row>
    <row r="161" spans="1:8" x14ac:dyDescent="0.3">
      <c r="A161" s="255" t="s">
        <v>68</v>
      </c>
      <c r="B161" s="252"/>
      <c r="C161" s="240" t="str">
        <f>_xlfn.XLOOKUP(A161, 'Project Overview'!B:B, 'Project Overview'!P:P, "")</f>
        <v/>
      </c>
      <c r="D161" s="244" t="str">
        <f>_xlfn.XLOOKUP(A161, 'Project Overview'!B:B, 'Project Overview'!O:O, "")</f>
        <v/>
      </c>
      <c r="G161" s="214"/>
      <c r="H161" t="str">
        <f>_xlfn.XLOOKUP(E161, 'Project Overview'!B:B, 'Project Overview'!O:O, "")</f>
        <v/>
      </c>
    </row>
    <row r="162" spans="1:8" x14ac:dyDescent="0.3">
      <c r="A162" s="257" t="s">
        <v>65</v>
      </c>
      <c r="B162" s="252"/>
      <c r="C162" s="240" t="str">
        <f>_xlfn.XLOOKUP(A162, 'Project Overview'!B:B, 'Project Overview'!P:P, "")</f>
        <v>Escada</v>
      </c>
      <c r="D162" s="244" t="str">
        <f>_xlfn.XLOOKUP(A162, 'Project Overview'!B:B, 'Project Overview'!O:O, "")</f>
        <v>Sandwich</v>
      </c>
      <c r="G162" s="214"/>
      <c r="H162" t="str">
        <f>_xlfn.XLOOKUP(E162, 'Project Overview'!B:B, 'Project Overview'!O:O, "")</f>
        <v/>
      </c>
    </row>
    <row r="163" spans="1:8" x14ac:dyDescent="0.3">
      <c r="A163" s="258" t="s">
        <v>67</v>
      </c>
      <c r="B163" s="252">
        <v>1</v>
      </c>
      <c r="C163" s="240" t="str">
        <f>_xlfn.XLOOKUP(A163, 'Project Overview'!B:B, 'Project Overview'!P:P, "")</f>
        <v/>
      </c>
      <c r="D163" s="244" t="str">
        <f>_xlfn.XLOOKUP(A163, 'Project Overview'!B:B, 'Project Overview'!O:O, "")</f>
        <v/>
      </c>
      <c r="G163" s="214"/>
      <c r="H163" t="str">
        <f>_xlfn.XLOOKUP(E163, 'Project Overview'!B:B, 'Project Overview'!O:O, "")</f>
        <v/>
      </c>
    </row>
    <row r="164" spans="1:8" x14ac:dyDescent="0.3">
      <c r="A164" s="257" t="s">
        <v>1233</v>
      </c>
      <c r="B164" s="252"/>
      <c r="C164" s="240" t="str">
        <f>_xlfn.XLOOKUP(A164, 'Project Overview'!B:B, 'Project Overview'!P:P, "")</f>
        <v>Escada</v>
      </c>
      <c r="D164" s="244" t="str">
        <f>_xlfn.XLOOKUP(A164, 'Project Overview'!B:B, 'Project Overview'!O:O, "")</f>
        <v>Telha</v>
      </c>
      <c r="G164" s="214"/>
      <c r="H164" t="str">
        <f>_xlfn.XLOOKUP(E164, 'Project Overview'!B:B, 'Project Overview'!O:O, "")</f>
        <v/>
      </c>
    </row>
    <row r="165" spans="1:8" x14ac:dyDescent="0.3">
      <c r="A165" s="258" t="s">
        <v>1235</v>
      </c>
      <c r="B165" s="252">
        <v>1</v>
      </c>
      <c r="C165" s="240" t="str">
        <f>_xlfn.XLOOKUP(A165, 'Project Overview'!B:B, 'Project Overview'!P:P, "")</f>
        <v/>
      </c>
      <c r="D165" s="244" t="str">
        <f>_xlfn.XLOOKUP(A165, 'Project Overview'!B:B, 'Project Overview'!O:O, "")</f>
        <v/>
      </c>
      <c r="G165" s="214"/>
      <c r="H165" t="str">
        <f>_xlfn.XLOOKUP(E165, 'Project Overview'!B:B, 'Project Overview'!O:O, "")</f>
        <v/>
      </c>
    </row>
    <row r="166" spans="1:8" x14ac:dyDescent="0.3">
      <c r="A166" s="255" t="s">
        <v>93</v>
      </c>
      <c r="B166" s="252"/>
      <c r="C166" s="240" t="str">
        <f>_xlfn.XLOOKUP(A166, 'Project Overview'!B:B, 'Project Overview'!P:P, "")</f>
        <v/>
      </c>
      <c r="D166" s="244" t="str">
        <f>_xlfn.XLOOKUP(A166, 'Project Overview'!B:B, 'Project Overview'!O:O, "")</f>
        <v/>
      </c>
      <c r="G166" s="214"/>
      <c r="H166" t="str">
        <f>_xlfn.XLOOKUP(E166, 'Project Overview'!B:B, 'Project Overview'!O:O, "")</f>
        <v/>
      </c>
    </row>
    <row r="167" spans="1:8" x14ac:dyDescent="0.3">
      <c r="A167" s="257" t="s">
        <v>204</v>
      </c>
      <c r="B167" s="252"/>
      <c r="C167" s="240" t="str">
        <f>_xlfn.XLOOKUP(A167, 'Project Overview'!B:B, 'Project Overview'!P:P, "")</f>
        <v>Não é necessário</v>
      </c>
      <c r="D167" s="244" t="str">
        <f>_xlfn.XLOOKUP(A167, 'Project Overview'!B:B, 'Project Overview'!O:O, "")</f>
        <v>Solo</v>
      </c>
      <c r="G167" s="214"/>
      <c r="H167" t="str">
        <f>_xlfn.XLOOKUP(E167, 'Project Overview'!B:B, 'Project Overview'!O:O, "")</f>
        <v/>
      </c>
    </row>
    <row r="168" spans="1:8" x14ac:dyDescent="0.3">
      <c r="A168" s="258" t="s">
        <v>206</v>
      </c>
      <c r="B168" s="252">
        <v>1</v>
      </c>
      <c r="C168" s="240" t="str">
        <f>_xlfn.XLOOKUP(A168, 'Project Overview'!B:B, 'Project Overview'!P:P, "")</f>
        <v/>
      </c>
      <c r="D168" s="244" t="str">
        <f>_xlfn.XLOOKUP(A168, 'Project Overview'!B:B, 'Project Overview'!O:O, "")</f>
        <v/>
      </c>
      <c r="G168" s="214"/>
      <c r="H168" t="str">
        <f>_xlfn.XLOOKUP(E168, 'Project Overview'!B:B, 'Project Overview'!O:O, "")</f>
        <v/>
      </c>
    </row>
    <row r="169" spans="1:8" x14ac:dyDescent="0.3">
      <c r="A169" s="257" t="s">
        <v>90</v>
      </c>
      <c r="B169" s="252"/>
      <c r="C169" s="240" t="str">
        <f>_xlfn.XLOOKUP(A169, 'Project Overview'!B:B, 'Project Overview'!P:P, "")</f>
        <v>Escada</v>
      </c>
      <c r="D169" s="244" t="str">
        <f>_xlfn.XLOOKUP(A169, 'Project Overview'!B:B, 'Project Overview'!O:O, "")</f>
        <v>Telha</v>
      </c>
      <c r="G169" s="214"/>
      <c r="H169" t="str">
        <f>_xlfn.XLOOKUP(E169, 'Project Overview'!B:B, 'Project Overview'!O:O, "")</f>
        <v/>
      </c>
    </row>
    <row r="170" spans="1:8" x14ac:dyDescent="0.3">
      <c r="A170" s="258" t="s">
        <v>92</v>
      </c>
      <c r="B170" s="252">
        <v>1</v>
      </c>
      <c r="C170" s="240" t="str">
        <f>_xlfn.XLOOKUP(A170, 'Project Overview'!B:B, 'Project Overview'!P:P, "")</f>
        <v/>
      </c>
      <c r="D170" s="244" t="str">
        <f>_xlfn.XLOOKUP(A170, 'Project Overview'!B:B, 'Project Overview'!O:O, "")</f>
        <v/>
      </c>
      <c r="G170" s="214"/>
      <c r="H170" t="str">
        <f>_xlfn.XLOOKUP(E170, 'Project Overview'!B:B, 'Project Overview'!O:O, "")</f>
        <v/>
      </c>
    </row>
    <row r="171" spans="1:8" x14ac:dyDescent="0.3">
      <c r="A171" s="255" t="s">
        <v>18</v>
      </c>
      <c r="B171" s="252"/>
      <c r="C171" s="240" t="str">
        <f>_xlfn.XLOOKUP(A171, 'Project Overview'!B:B, 'Project Overview'!P:P, "")</f>
        <v/>
      </c>
      <c r="D171" s="244" t="str">
        <f>_xlfn.XLOOKUP(A171, 'Project Overview'!B:B, 'Project Overview'!O:O, "")</f>
        <v/>
      </c>
      <c r="G171" s="214"/>
      <c r="H171" t="str">
        <f>_xlfn.XLOOKUP(E171, 'Project Overview'!B:B, 'Project Overview'!O:O, "")</f>
        <v/>
      </c>
    </row>
    <row r="172" spans="1:8" x14ac:dyDescent="0.3">
      <c r="A172" s="257" t="s">
        <v>1062</v>
      </c>
      <c r="B172" s="252"/>
      <c r="C172" s="240" t="str">
        <f>_xlfn.XLOOKUP(A172, 'Project Overview'!B:B, 'Project Overview'!P:P, "")</f>
        <v>?</v>
      </c>
      <c r="D172" s="244" t="str">
        <f>_xlfn.XLOOKUP(A172, 'Project Overview'!B:B, 'Project Overview'!O:O, "")</f>
        <v>Sandwich</v>
      </c>
      <c r="G172" s="214"/>
      <c r="H172" t="str">
        <f>_xlfn.XLOOKUP(E172, 'Project Overview'!B:B, 'Project Overview'!O:O, "")</f>
        <v/>
      </c>
    </row>
    <row r="173" spans="1:8" x14ac:dyDescent="0.3">
      <c r="A173" s="258" t="s">
        <v>1064</v>
      </c>
      <c r="B173" s="252">
        <v>1</v>
      </c>
      <c r="C173" s="240" t="str">
        <f>_xlfn.XLOOKUP(A173, 'Project Overview'!B:B, 'Project Overview'!P:P, "")</f>
        <v/>
      </c>
      <c r="D173" s="244" t="str">
        <f>_xlfn.XLOOKUP(A173, 'Project Overview'!B:B, 'Project Overview'!O:O, "")</f>
        <v/>
      </c>
      <c r="G173" s="214"/>
      <c r="H173" t="str">
        <f>_xlfn.XLOOKUP(E173, 'Project Overview'!B:B, 'Project Overview'!O:O, "")</f>
        <v/>
      </c>
    </row>
    <row r="174" spans="1:8" x14ac:dyDescent="0.3">
      <c r="A174" s="257" t="s">
        <v>718</v>
      </c>
      <c r="B174" s="252"/>
      <c r="C174" s="240" t="str">
        <f>_xlfn.XLOOKUP(A174, 'Project Overview'!B:B, 'Project Overview'!P:P, "")</f>
        <v>Escada</v>
      </c>
      <c r="D174" s="244" t="str">
        <f>_xlfn.XLOOKUP(A174, 'Project Overview'!B:B, 'Project Overview'!O:O, "")</f>
        <v>Sandwich</v>
      </c>
      <c r="G174" s="214"/>
      <c r="H174" t="str">
        <f>_xlfn.XLOOKUP(E174, 'Project Overview'!B:B, 'Project Overview'!O:O, "")</f>
        <v/>
      </c>
    </row>
    <row r="175" spans="1:8" x14ac:dyDescent="0.3">
      <c r="A175" s="258" t="s">
        <v>720</v>
      </c>
      <c r="B175" s="252">
        <v>1</v>
      </c>
      <c r="C175" s="240" t="str">
        <f>_xlfn.XLOOKUP(A175, 'Project Overview'!B:B, 'Project Overview'!P:P, "")</f>
        <v/>
      </c>
      <c r="D175" s="244" t="str">
        <f>_xlfn.XLOOKUP(A175, 'Project Overview'!B:B, 'Project Overview'!O:O, "")</f>
        <v/>
      </c>
      <c r="G175" s="214"/>
      <c r="H175" t="str">
        <f>_xlfn.XLOOKUP(E175, 'Project Overview'!B:B, 'Project Overview'!O:O, "")</f>
        <v/>
      </c>
    </row>
    <row r="176" spans="1:8" x14ac:dyDescent="0.3">
      <c r="A176" s="255" t="s">
        <v>497</v>
      </c>
      <c r="B176" s="252"/>
      <c r="C176" s="240" t="str">
        <f>_xlfn.XLOOKUP(A176, 'Project Overview'!B:B, 'Project Overview'!P:P, "")</f>
        <v/>
      </c>
      <c r="D176" s="244" t="str">
        <f>_xlfn.XLOOKUP(A176, 'Project Overview'!B:B, 'Project Overview'!O:O, "")</f>
        <v/>
      </c>
      <c r="G176" s="214"/>
      <c r="H176" t="str">
        <f>_xlfn.XLOOKUP(E176, 'Project Overview'!B:B, 'Project Overview'!O:O, "")</f>
        <v/>
      </c>
    </row>
    <row r="177" spans="1:8" x14ac:dyDescent="0.3">
      <c r="A177" s="257" t="s">
        <v>494</v>
      </c>
      <c r="B177" s="252"/>
      <c r="C177" s="240" t="str">
        <f>_xlfn.XLOOKUP(A177, 'Project Overview'!B:B, 'Project Overview'!P:P, "")</f>
        <v>Escada</v>
      </c>
      <c r="D177" s="244" t="str">
        <f>_xlfn.XLOOKUP(A177, 'Project Overview'!B:B, 'Project Overview'!O:O, "")</f>
        <v>Sandwich</v>
      </c>
      <c r="G177" s="214"/>
      <c r="H177" t="str">
        <f>_xlfn.XLOOKUP(E177, 'Project Overview'!B:B, 'Project Overview'!O:O, "")</f>
        <v/>
      </c>
    </row>
    <row r="178" spans="1:8" x14ac:dyDescent="0.3">
      <c r="A178" s="258" t="s">
        <v>496</v>
      </c>
      <c r="B178" s="252">
        <v>1</v>
      </c>
      <c r="C178" s="240" t="str">
        <f>_xlfn.XLOOKUP(A178, 'Project Overview'!B:B, 'Project Overview'!P:P, "")</f>
        <v/>
      </c>
      <c r="D178" s="244" t="str">
        <f>_xlfn.XLOOKUP(A178, 'Project Overview'!B:B, 'Project Overview'!O:O, "")</f>
        <v/>
      </c>
      <c r="G178" s="214"/>
      <c r="H178" t="str">
        <f>_xlfn.XLOOKUP(E178, 'Project Overview'!B:B, 'Project Overview'!O:O, "")</f>
        <v/>
      </c>
    </row>
    <row r="179" spans="1:8" x14ac:dyDescent="0.3">
      <c r="A179" s="257" t="s">
        <v>500</v>
      </c>
      <c r="B179" s="252"/>
      <c r="C179" s="240" t="str">
        <f>_xlfn.XLOOKUP(A179, 'Project Overview'!B:B, 'Project Overview'!P:P, "")</f>
        <v>Escada</v>
      </c>
      <c r="D179" s="244" t="str">
        <f>_xlfn.XLOOKUP(A179, 'Project Overview'!B:B, 'Project Overview'!O:O, "")</f>
        <v>Sandwich</v>
      </c>
      <c r="G179" s="214"/>
      <c r="H179" t="str">
        <f>_xlfn.XLOOKUP(E179, 'Project Overview'!B:B, 'Project Overview'!O:O, "")</f>
        <v/>
      </c>
    </row>
    <row r="180" spans="1:8" x14ac:dyDescent="0.3">
      <c r="A180" s="258" t="s">
        <v>501</v>
      </c>
      <c r="B180" s="252">
        <v>1</v>
      </c>
      <c r="C180" s="240" t="str">
        <f>_xlfn.XLOOKUP(A180, 'Project Overview'!B:B, 'Project Overview'!P:P, "")</f>
        <v/>
      </c>
      <c r="D180" s="244" t="str">
        <f>_xlfn.XLOOKUP(A180, 'Project Overview'!B:B, 'Project Overview'!O:O, "")</f>
        <v/>
      </c>
      <c r="G180" s="214"/>
      <c r="H180" t="str">
        <f>_xlfn.XLOOKUP(E180, 'Project Overview'!B:B, 'Project Overview'!O:O, "")</f>
        <v/>
      </c>
    </row>
    <row r="181" spans="1:8" x14ac:dyDescent="0.3">
      <c r="A181" s="255" t="s">
        <v>365</v>
      </c>
      <c r="B181" s="252"/>
      <c r="C181" s="240" t="str">
        <f>_xlfn.XLOOKUP(A181, 'Project Overview'!B:B, 'Project Overview'!P:P, "")</f>
        <v/>
      </c>
      <c r="D181" s="244" t="str">
        <f>_xlfn.XLOOKUP(A181, 'Project Overview'!B:B, 'Project Overview'!O:O, "")</f>
        <v/>
      </c>
      <c r="G181" s="214"/>
      <c r="H181" t="str">
        <f>_xlfn.XLOOKUP(E181, 'Project Overview'!B:B, 'Project Overview'!O:O, "")</f>
        <v/>
      </c>
    </row>
    <row r="182" spans="1:8" x14ac:dyDescent="0.3">
      <c r="A182" s="257" t="s">
        <v>823</v>
      </c>
      <c r="B182" s="252"/>
      <c r="C182" s="240" t="str">
        <f>_xlfn.XLOOKUP(A182, 'Project Overview'!B:B, 'Project Overview'!P:P, "")</f>
        <v>Escada</v>
      </c>
      <c r="D182" s="244" t="str">
        <f>_xlfn.XLOOKUP(A182, 'Project Overview'!B:B, 'Project Overview'!O:O, "")</f>
        <v>Car Park</v>
      </c>
      <c r="G182" s="214"/>
      <c r="H182" t="str">
        <f>_xlfn.XLOOKUP(E182, 'Project Overview'!B:B, 'Project Overview'!O:O, "")</f>
        <v/>
      </c>
    </row>
    <row r="183" spans="1:8" x14ac:dyDescent="0.3">
      <c r="A183" s="258" t="s">
        <v>825</v>
      </c>
      <c r="B183" s="252">
        <v>1</v>
      </c>
      <c r="C183" s="240" t="str">
        <f>_xlfn.XLOOKUP(A183, 'Project Overview'!B:B, 'Project Overview'!P:P, "")</f>
        <v/>
      </c>
      <c r="D183" s="244" t="str">
        <f>_xlfn.XLOOKUP(A183, 'Project Overview'!B:B, 'Project Overview'!O:O, "")</f>
        <v/>
      </c>
      <c r="G183" s="214"/>
      <c r="H183" t="str">
        <f>_xlfn.XLOOKUP(E183, 'Project Overview'!B:B, 'Project Overview'!O:O, "")</f>
        <v/>
      </c>
    </row>
    <row r="184" spans="1:8" x14ac:dyDescent="0.3">
      <c r="A184" s="255" t="s">
        <v>510</v>
      </c>
      <c r="B184" s="252"/>
      <c r="C184" s="240" t="str">
        <f>_xlfn.XLOOKUP(A184, 'Project Overview'!B:B, 'Project Overview'!P:P, "")</f>
        <v/>
      </c>
      <c r="D184" s="244" t="str">
        <f>_xlfn.XLOOKUP(A184, 'Project Overview'!B:B, 'Project Overview'!O:O, "")</f>
        <v/>
      </c>
      <c r="G184" s="214"/>
      <c r="H184" t="str">
        <f>_xlfn.XLOOKUP(E184, 'Project Overview'!B:B, 'Project Overview'!O:O, "")</f>
        <v/>
      </c>
    </row>
    <row r="185" spans="1:8" x14ac:dyDescent="0.3">
      <c r="A185" s="257" t="s">
        <v>507</v>
      </c>
      <c r="B185" s="252"/>
      <c r="C185" s="240" t="str">
        <f>_xlfn.XLOOKUP(A185, 'Project Overview'!B:B, 'Project Overview'!P:P, "")</f>
        <v>Escada</v>
      </c>
      <c r="D185" s="244" t="str">
        <f>_xlfn.XLOOKUP(A185, 'Project Overview'!B:B, 'Project Overview'!O:O, "")</f>
        <v>Cobertura Plana</v>
      </c>
      <c r="G185" s="214"/>
      <c r="H185" t="str">
        <f>_xlfn.XLOOKUP(E185, 'Project Overview'!B:B, 'Project Overview'!O:O, "")</f>
        <v/>
      </c>
    </row>
    <row r="186" spans="1:8" x14ac:dyDescent="0.3">
      <c r="A186" s="258" t="s">
        <v>509</v>
      </c>
      <c r="B186" s="252">
        <v>1</v>
      </c>
      <c r="C186" s="240" t="str">
        <f>_xlfn.XLOOKUP(A186, 'Project Overview'!B:B, 'Project Overview'!P:P, "")</f>
        <v/>
      </c>
      <c r="D186" s="244" t="str">
        <f>_xlfn.XLOOKUP(A186, 'Project Overview'!B:B, 'Project Overview'!O:O, "")</f>
        <v/>
      </c>
      <c r="G186" s="214"/>
      <c r="H186" t="str">
        <f>_xlfn.XLOOKUP(E186, 'Project Overview'!B:B, 'Project Overview'!O:O, "")</f>
        <v/>
      </c>
    </row>
    <row r="187" spans="1:8" x14ac:dyDescent="0.3">
      <c r="A187" s="255" t="s">
        <v>273</v>
      </c>
      <c r="B187" s="252"/>
      <c r="C187" s="240" t="str">
        <f>_xlfn.XLOOKUP(A187, 'Project Overview'!B:B, 'Project Overview'!P:P, "")</f>
        <v/>
      </c>
      <c r="D187" s="244" t="str">
        <f>_xlfn.XLOOKUP(A187, 'Project Overview'!B:B, 'Project Overview'!O:O, "")</f>
        <v/>
      </c>
      <c r="G187" s="214"/>
      <c r="H187" t="str">
        <f>_xlfn.XLOOKUP(E187, 'Project Overview'!B:B, 'Project Overview'!O:O, "")</f>
        <v/>
      </c>
    </row>
    <row r="188" spans="1:8" x14ac:dyDescent="0.3">
      <c r="A188" s="257" t="s">
        <v>270</v>
      </c>
      <c r="B188" s="252"/>
      <c r="C188" s="240" t="str">
        <f>_xlfn.XLOOKUP(A188, 'Project Overview'!B:B, 'Project Overview'!P:P, "")</f>
        <v>Escada</v>
      </c>
      <c r="D188" s="244" t="str">
        <f>_xlfn.XLOOKUP(A188, 'Project Overview'!B:B, 'Project Overview'!O:O, "")</f>
        <v>Cobertura + Sandwich</v>
      </c>
      <c r="G188" s="214"/>
      <c r="H188" t="str">
        <f>_xlfn.XLOOKUP(E188, 'Project Overview'!B:B, 'Project Overview'!O:O, "")</f>
        <v/>
      </c>
    </row>
    <row r="189" spans="1:8" x14ac:dyDescent="0.3">
      <c r="A189" s="258" t="s">
        <v>272</v>
      </c>
      <c r="B189" s="252">
        <v>1</v>
      </c>
      <c r="C189" s="240" t="str">
        <f>_xlfn.XLOOKUP(A189, 'Project Overview'!B:B, 'Project Overview'!P:P, "")</f>
        <v/>
      </c>
      <c r="D189" s="244" t="str">
        <f>_xlfn.XLOOKUP(A189, 'Project Overview'!B:B, 'Project Overview'!O:O, "")</f>
        <v/>
      </c>
      <c r="G189" s="214"/>
      <c r="H189" t="str">
        <f>_xlfn.XLOOKUP(E189, 'Project Overview'!B:B, 'Project Overview'!O:O, "")</f>
        <v/>
      </c>
    </row>
    <row r="190" spans="1:8" x14ac:dyDescent="0.3">
      <c r="A190" s="255" t="s">
        <v>255</v>
      </c>
      <c r="B190" s="252"/>
      <c r="C190" s="240" t="str">
        <f>_xlfn.XLOOKUP(A190, 'Project Overview'!B:B, 'Project Overview'!P:P, "")</f>
        <v/>
      </c>
      <c r="D190" s="244" t="str">
        <f>_xlfn.XLOOKUP(A190, 'Project Overview'!B:B, 'Project Overview'!O:O, "")</f>
        <v/>
      </c>
      <c r="G190" s="214"/>
      <c r="H190" t="str">
        <f>_xlfn.XLOOKUP(E190, 'Project Overview'!B:B, 'Project Overview'!O:O, "")</f>
        <v/>
      </c>
    </row>
    <row r="191" spans="1:8" x14ac:dyDescent="0.3">
      <c r="A191" s="257" t="s">
        <v>252</v>
      </c>
      <c r="B191" s="252"/>
      <c r="C191" s="240" t="str">
        <f>_xlfn.XLOOKUP(A191, 'Project Overview'!B:B, 'Project Overview'!P:P, "")</f>
        <v>Escada</v>
      </c>
      <c r="D191" s="244" t="str">
        <f>_xlfn.XLOOKUP(A191, 'Project Overview'!B:B, 'Project Overview'!O:O, "")</f>
        <v>Sandwich</v>
      </c>
      <c r="G191" s="214"/>
      <c r="H191" t="str">
        <f>_xlfn.XLOOKUP(E191, 'Project Overview'!B:B, 'Project Overview'!O:O, "")</f>
        <v/>
      </c>
    </row>
    <row r="192" spans="1:8" x14ac:dyDescent="0.3">
      <c r="A192" s="258" t="s">
        <v>254</v>
      </c>
      <c r="B192" s="252">
        <v>1</v>
      </c>
      <c r="C192" s="240" t="str">
        <f>_xlfn.XLOOKUP(A192, 'Project Overview'!B:B, 'Project Overview'!P:P, "")</f>
        <v/>
      </c>
      <c r="D192" s="244" t="str">
        <f>_xlfn.XLOOKUP(A192, 'Project Overview'!B:B, 'Project Overview'!O:O, "")</f>
        <v/>
      </c>
      <c r="G192" s="214"/>
      <c r="H192" t="str">
        <f>_xlfn.XLOOKUP(E192, 'Project Overview'!B:B, 'Project Overview'!O:O, "")</f>
        <v/>
      </c>
    </row>
    <row r="193" spans="1:8" x14ac:dyDescent="0.3">
      <c r="A193" s="255" t="s">
        <v>392</v>
      </c>
      <c r="B193" s="252"/>
      <c r="C193" s="240" t="str">
        <f>_xlfn.XLOOKUP(A193, 'Project Overview'!B:B, 'Project Overview'!P:P, "")</f>
        <v/>
      </c>
      <c r="D193" s="244" t="str">
        <f>_xlfn.XLOOKUP(A193, 'Project Overview'!B:B, 'Project Overview'!O:O, "")</f>
        <v/>
      </c>
      <c r="G193" s="214"/>
      <c r="H193" t="str">
        <f>_xlfn.XLOOKUP(E193, 'Project Overview'!B:B, 'Project Overview'!O:O, "")</f>
        <v/>
      </c>
    </row>
    <row r="194" spans="1:8" x14ac:dyDescent="0.3">
      <c r="A194" s="257" t="s">
        <v>389</v>
      </c>
      <c r="B194" s="252"/>
      <c r="C194" s="240" t="str">
        <f>_xlfn.XLOOKUP(A194, 'Project Overview'!B:B, 'Project Overview'!P:P, "")</f>
        <v>Plataforma Elevatória dos Bombeiros</v>
      </c>
      <c r="D194" s="244" t="str">
        <f>_xlfn.XLOOKUP(A194, 'Project Overview'!B:B, 'Project Overview'!O:O, "")</f>
        <v>Sandwich</v>
      </c>
      <c r="G194" s="214"/>
      <c r="H194" t="str">
        <f>_xlfn.XLOOKUP(E194, 'Project Overview'!B:B, 'Project Overview'!O:O, "")</f>
        <v/>
      </c>
    </row>
    <row r="195" spans="1:8" x14ac:dyDescent="0.3">
      <c r="A195" s="258" t="s">
        <v>391</v>
      </c>
      <c r="B195" s="252">
        <v>1</v>
      </c>
      <c r="C195" s="240" t="str">
        <f>_xlfn.XLOOKUP(A195, 'Project Overview'!B:B, 'Project Overview'!P:P, "")</f>
        <v/>
      </c>
      <c r="D195" s="244" t="str">
        <f>_xlfn.XLOOKUP(A195, 'Project Overview'!B:B, 'Project Overview'!O:O, "")</f>
        <v/>
      </c>
      <c r="G195" s="214"/>
      <c r="H195" t="str">
        <f>_xlfn.XLOOKUP(E195, 'Project Overview'!B:B, 'Project Overview'!O:O, "")</f>
        <v/>
      </c>
    </row>
    <row r="196" spans="1:8" x14ac:dyDescent="0.3">
      <c r="A196" s="255" t="s">
        <v>1385</v>
      </c>
      <c r="B196" s="252"/>
      <c r="C196" s="240" t="str">
        <f>_xlfn.XLOOKUP(A196, 'Project Overview'!B:B, 'Project Overview'!P:P, "")</f>
        <v/>
      </c>
      <c r="D196" s="244" t="str">
        <f>_xlfn.XLOOKUP(A196, 'Project Overview'!B:B, 'Project Overview'!O:O, "")</f>
        <v/>
      </c>
      <c r="G196" s="214"/>
      <c r="H196" t="str">
        <f>_xlfn.XLOOKUP(E196, 'Project Overview'!B:B, 'Project Overview'!O:O, "")</f>
        <v/>
      </c>
    </row>
    <row r="197" spans="1:8" x14ac:dyDescent="0.3">
      <c r="A197" s="257" t="s">
        <v>1384</v>
      </c>
      <c r="B197" s="252"/>
      <c r="C197" s="240" t="str">
        <f>_xlfn.XLOOKUP(A197, 'Project Overview'!B:B, 'Project Overview'!P:P, "")</f>
        <v>?</v>
      </c>
      <c r="D197" s="244" t="str">
        <f>_xlfn.XLOOKUP(A197, 'Project Overview'!B:B, 'Project Overview'!O:O, "")</f>
        <v>Sandwich</v>
      </c>
      <c r="G197" s="214"/>
      <c r="H197" t="str">
        <f>_xlfn.XLOOKUP(E197, 'Project Overview'!B:B, 'Project Overview'!O:O, "")</f>
        <v/>
      </c>
    </row>
    <row r="198" spans="1:8" x14ac:dyDescent="0.3">
      <c r="A198" s="258" t="s">
        <v>1378</v>
      </c>
      <c r="B198" s="252">
        <v>1</v>
      </c>
      <c r="C198" s="240" t="str">
        <f>_xlfn.XLOOKUP(A198, 'Project Overview'!B:B, 'Project Overview'!P:P, "")</f>
        <v/>
      </c>
      <c r="D198" s="244" t="str">
        <f>_xlfn.XLOOKUP(A198, 'Project Overview'!B:B, 'Project Overview'!O:O, "")</f>
        <v/>
      </c>
      <c r="G198" s="214"/>
      <c r="H198" t="str">
        <f>_xlfn.XLOOKUP(E198, 'Project Overview'!B:B, 'Project Overview'!O:O, "")</f>
        <v/>
      </c>
    </row>
    <row r="199" spans="1:8" x14ac:dyDescent="0.3">
      <c r="A199" s="255" t="s">
        <v>314</v>
      </c>
      <c r="B199" s="252"/>
      <c r="C199" s="240" t="str">
        <f>_xlfn.XLOOKUP(A199, 'Project Overview'!B:B, 'Project Overview'!P:P, "")</f>
        <v/>
      </c>
      <c r="D199" s="244" t="str">
        <f>_xlfn.XLOOKUP(A199, 'Project Overview'!B:B, 'Project Overview'!O:O, "")</f>
        <v/>
      </c>
      <c r="G199" s="214"/>
      <c r="H199" t="str">
        <f>_xlfn.XLOOKUP(E199, 'Project Overview'!B:B, 'Project Overview'!O:O, "")</f>
        <v/>
      </c>
    </row>
    <row r="200" spans="1:8" x14ac:dyDescent="0.3">
      <c r="A200" s="257" t="s">
        <v>311</v>
      </c>
      <c r="B200" s="252"/>
      <c r="C200" s="240" t="str">
        <f>_xlfn.XLOOKUP(A200, 'Project Overview'!B:B, 'Project Overview'!P:P, "")</f>
        <v>Escada</v>
      </c>
      <c r="D200" s="244" t="str">
        <f>_xlfn.XLOOKUP(A200, 'Project Overview'!B:B, 'Project Overview'!O:O, "")</f>
        <v>Sandwich</v>
      </c>
      <c r="G200" s="214"/>
      <c r="H200" t="str">
        <f>_xlfn.XLOOKUP(E200, 'Project Overview'!B:B, 'Project Overview'!O:O, "")</f>
        <v/>
      </c>
    </row>
    <row r="201" spans="1:8" x14ac:dyDescent="0.3">
      <c r="A201" s="258" t="s">
        <v>313</v>
      </c>
      <c r="B201" s="252">
        <v>1</v>
      </c>
      <c r="C201" s="240" t="str">
        <f>_xlfn.XLOOKUP(A201, 'Project Overview'!B:B, 'Project Overview'!P:P, "")</f>
        <v/>
      </c>
      <c r="D201" s="244" t="str">
        <f>_xlfn.XLOOKUP(A201, 'Project Overview'!B:B, 'Project Overview'!O:O, "")</f>
        <v/>
      </c>
      <c r="G201" s="214"/>
      <c r="H201" t="str">
        <f>_xlfn.XLOOKUP(E201, 'Project Overview'!B:B, 'Project Overview'!O:O, "")</f>
        <v/>
      </c>
    </row>
    <row r="202" spans="1:8" x14ac:dyDescent="0.3">
      <c r="A202" s="255" t="s">
        <v>430</v>
      </c>
      <c r="B202" s="252"/>
      <c r="C202" s="240" t="str">
        <f>_xlfn.XLOOKUP(A202, 'Project Overview'!B:B, 'Project Overview'!P:P, "")</f>
        <v/>
      </c>
      <c r="D202" s="244" t="str">
        <f>_xlfn.XLOOKUP(A202, 'Project Overview'!B:B, 'Project Overview'!O:O, "")</f>
        <v/>
      </c>
      <c r="G202" s="214"/>
      <c r="H202" t="str">
        <f>_xlfn.XLOOKUP(E202, 'Project Overview'!B:B, 'Project Overview'!O:O, "")</f>
        <v/>
      </c>
    </row>
    <row r="203" spans="1:8" x14ac:dyDescent="0.3">
      <c r="A203" s="257" t="s">
        <v>428</v>
      </c>
      <c r="B203" s="252"/>
      <c r="C203" s="240" t="str">
        <f>_xlfn.XLOOKUP(A203, 'Project Overview'!B:B, 'Project Overview'!P:P, "")</f>
        <v>Acesso pela cobertura</v>
      </c>
      <c r="D203" s="244" t="str">
        <f>_xlfn.XLOOKUP(A203, 'Project Overview'!B:B, 'Project Overview'!O:O, "")</f>
        <v>Cobertura Plana</v>
      </c>
      <c r="G203" s="214"/>
      <c r="H203" t="str">
        <f>_xlfn.XLOOKUP(E203, 'Project Overview'!B:B, 'Project Overview'!O:O, "")</f>
        <v/>
      </c>
    </row>
    <row r="204" spans="1:8" x14ac:dyDescent="0.3">
      <c r="A204" s="258" t="s">
        <v>429</v>
      </c>
      <c r="B204" s="252">
        <v>1</v>
      </c>
      <c r="C204" s="240" t="str">
        <f>_xlfn.XLOOKUP(A204, 'Project Overview'!B:B, 'Project Overview'!P:P, "")</f>
        <v/>
      </c>
      <c r="D204" s="244" t="str">
        <f>_xlfn.XLOOKUP(A204, 'Project Overview'!B:B, 'Project Overview'!O:O, "")</f>
        <v/>
      </c>
      <c r="G204" s="214"/>
      <c r="H204" t="str">
        <f>_xlfn.XLOOKUP(E204, 'Project Overview'!B:B, 'Project Overview'!O:O, "")</f>
        <v/>
      </c>
    </row>
    <row r="205" spans="1:8" x14ac:dyDescent="0.3">
      <c r="A205" s="255" t="s">
        <v>455</v>
      </c>
      <c r="B205" s="252"/>
      <c r="C205" s="240" t="str">
        <f>_xlfn.XLOOKUP(A205, 'Project Overview'!B:B, 'Project Overview'!P:P, "")</f>
        <v/>
      </c>
      <c r="D205" s="244" t="str">
        <f>_xlfn.XLOOKUP(A205, 'Project Overview'!B:B, 'Project Overview'!O:O, "")</f>
        <v/>
      </c>
      <c r="G205" s="214"/>
      <c r="H205" t="str">
        <f>_xlfn.XLOOKUP(E205, 'Project Overview'!B:B, 'Project Overview'!O:O, "")</f>
        <v/>
      </c>
    </row>
    <row r="206" spans="1:8" x14ac:dyDescent="0.3">
      <c r="A206" s="257" t="s">
        <v>452</v>
      </c>
      <c r="B206" s="252"/>
      <c r="C206" s="240" t="str">
        <f>_xlfn.XLOOKUP(A206, 'Project Overview'!B:B, 'Project Overview'!P:P, "")</f>
        <v>Não é necessário</v>
      </c>
      <c r="D206" s="244" t="str">
        <f>_xlfn.XLOOKUP(A206, 'Project Overview'!B:B, 'Project Overview'!O:O, "")</f>
        <v>Solo</v>
      </c>
      <c r="G206" s="214"/>
      <c r="H206" t="str">
        <f>_xlfn.XLOOKUP(E206, 'Project Overview'!B:B, 'Project Overview'!O:O, "")</f>
        <v/>
      </c>
    </row>
    <row r="207" spans="1:8" x14ac:dyDescent="0.3">
      <c r="A207" s="258" t="s">
        <v>454</v>
      </c>
      <c r="B207" s="252">
        <v>1</v>
      </c>
      <c r="C207" s="240" t="str">
        <f>_xlfn.XLOOKUP(A207, 'Project Overview'!B:B, 'Project Overview'!P:P, "")</f>
        <v/>
      </c>
      <c r="D207" s="244" t="str">
        <f>_xlfn.XLOOKUP(A207, 'Project Overview'!B:B, 'Project Overview'!O:O, "")</f>
        <v/>
      </c>
      <c r="G207" s="214"/>
      <c r="H207" t="str">
        <f>_xlfn.XLOOKUP(E207, 'Project Overview'!B:B, 'Project Overview'!O:O, "")</f>
        <v/>
      </c>
    </row>
    <row r="208" spans="1:8" x14ac:dyDescent="0.3">
      <c r="A208" s="255" t="s">
        <v>298</v>
      </c>
      <c r="B208" s="252"/>
      <c r="C208" s="240" t="str">
        <f>_xlfn.XLOOKUP(A208, 'Project Overview'!B:B, 'Project Overview'!P:P, "")</f>
        <v/>
      </c>
      <c r="D208" s="244" t="str">
        <f>_xlfn.XLOOKUP(A208, 'Project Overview'!B:B, 'Project Overview'!O:O, "")</f>
        <v/>
      </c>
      <c r="G208" s="214"/>
      <c r="H208" t="str">
        <f>_xlfn.XLOOKUP(E208, 'Project Overview'!B:B, 'Project Overview'!O:O, "")</f>
        <v/>
      </c>
    </row>
    <row r="209" spans="1:8" x14ac:dyDescent="0.3">
      <c r="A209" s="257" t="s">
        <v>295</v>
      </c>
      <c r="B209" s="252"/>
      <c r="C209" s="240" t="str">
        <f>_xlfn.XLOOKUP(A209, 'Project Overview'!B:B, 'Project Overview'!P:P, "")</f>
        <v>Escada</v>
      </c>
      <c r="D209" s="244" t="str">
        <f>_xlfn.XLOOKUP(A209, 'Project Overview'!B:B, 'Project Overview'!O:O, "")</f>
        <v>Sandwich</v>
      </c>
      <c r="G209" s="214"/>
      <c r="H209" t="str">
        <f>_xlfn.XLOOKUP(E209, 'Project Overview'!B:B, 'Project Overview'!O:O, "")</f>
        <v/>
      </c>
    </row>
    <row r="210" spans="1:8" x14ac:dyDescent="0.3">
      <c r="A210" s="258" t="s">
        <v>297</v>
      </c>
      <c r="B210" s="252">
        <v>1</v>
      </c>
      <c r="C210" s="240" t="str">
        <f>_xlfn.XLOOKUP(A210, 'Project Overview'!B:B, 'Project Overview'!P:P, "")</f>
        <v/>
      </c>
      <c r="D210" s="244" t="str">
        <f>_xlfn.XLOOKUP(A210, 'Project Overview'!B:B, 'Project Overview'!O:O, "")</f>
        <v/>
      </c>
      <c r="G210" s="214"/>
      <c r="H210" t="str">
        <f>_xlfn.XLOOKUP(E210, 'Project Overview'!B:B, 'Project Overview'!O:O, "")</f>
        <v/>
      </c>
    </row>
    <row r="211" spans="1:8" x14ac:dyDescent="0.3">
      <c r="A211" s="255" t="s">
        <v>401</v>
      </c>
      <c r="B211" s="252"/>
      <c r="C211" s="240" t="str">
        <f>_xlfn.XLOOKUP(A211, 'Project Overview'!B:B, 'Project Overview'!P:P, "")</f>
        <v/>
      </c>
      <c r="D211" s="244" t="str">
        <f>_xlfn.XLOOKUP(A211, 'Project Overview'!B:B, 'Project Overview'!O:O, "")</f>
        <v/>
      </c>
      <c r="G211" s="214"/>
      <c r="H211" t="str">
        <f>_xlfn.XLOOKUP(E211, 'Project Overview'!B:B, 'Project Overview'!O:O, "")</f>
        <v/>
      </c>
    </row>
    <row r="212" spans="1:8" x14ac:dyDescent="0.3">
      <c r="A212" s="257" t="s">
        <v>398</v>
      </c>
      <c r="B212" s="252"/>
      <c r="C212" s="240" t="str">
        <f>_xlfn.XLOOKUP(A212, 'Project Overview'!B:B, 'Project Overview'!P:P, "")</f>
        <v>Escada</v>
      </c>
      <c r="D212" s="244" t="str">
        <f>_xlfn.XLOOKUP(A212, 'Project Overview'!B:B, 'Project Overview'!O:O, "")</f>
        <v>Sandwich</v>
      </c>
      <c r="G212" s="214"/>
      <c r="H212" t="str">
        <f>_xlfn.XLOOKUP(E212, 'Project Overview'!B:B, 'Project Overview'!O:O, "")</f>
        <v/>
      </c>
    </row>
    <row r="213" spans="1:8" x14ac:dyDescent="0.3">
      <c r="A213" s="258" t="s">
        <v>400</v>
      </c>
      <c r="B213" s="252">
        <v>1</v>
      </c>
      <c r="C213" s="240" t="str">
        <f>_xlfn.XLOOKUP(A213, 'Project Overview'!B:B, 'Project Overview'!P:P, "")</f>
        <v/>
      </c>
      <c r="D213" s="244" t="str">
        <f>_xlfn.XLOOKUP(A213, 'Project Overview'!B:B, 'Project Overview'!O:O, "")</f>
        <v/>
      </c>
      <c r="G213" s="214"/>
      <c r="H213" t="str">
        <f>_xlfn.XLOOKUP(E213, 'Project Overview'!B:B, 'Project Overview'!O:O, "")</f>
        <v/>
      </c>
    </row>
    <row r="214" spans="1:8" x14ac:dyDescent="0.3">
      <c r="A214" s="255" t="s">
        <v>407</v>
      </c>
      <c r="B214" s="252"/>
      <c r="C214" s="240" t="str">
        <f>_xlfn.XLOOKUP(A214, 'Project Overview'!B:B, 'Project Overview'!P:P, "")</f>
        <v/>
      </c>
      <c r="D214" s="244" t="str">
        <f>_xlfn.XLOOKUP(A214, 'Project Overview'!B:B, 'Project Overview'!O:O, "")</f>
        <v/>
      </c>
      <c r="G214" s="214"/>
      <c r="H214" t="str">
        <f>_xlfn.XLOOKUP(E214, 'Project Overview'!B:B, 'Project Overview'!O:O, "")</f>
        <v/>
      </c>
    </row>
    <row r="215" spans="1:8" x14ac:dyDescent="0.3">
      <c r="A215" s="257" t="s">
        <v>404</v>
      </c>
      <c r="B215" s="252"/>
      <c r="C215" s="240" t="str">
        <f>_xlfn.XLOOKUP(A215, 'Project Overview'!B:B, 'Project Overview'!P:P, "")</f>
        <v>Escada</v>
      </c>
      <c r="D215" s="244" t="str">
        <f>_xlfn.XLOOKUP(A215, 'Project Overview'!B:B, 'Project Overview'!O:O, "")</f>
        <v>Sandwich</v>
      </c>
      <c r="G215" s="214"/>
      <c r="H215" t="str">
        <f>_xlfn.XLOOKUP(E215, 'Project Overview'!B:B, 'Project Overview'!O:O, "")</f>
        <v/>
      </c>
    </row>
    <row r="216" spans="1:8" x14ac:dyDescent="0.3">
      <c r="A216" s="258" t="s">
        <v>406</v>
      </c>
      <c r="B216" s="252">
        <v>1</v>
      </c>
      <c r="C216" s="240" t="str">
        <f>_xlfn.XLOOKUP(A216, 'Project Overview'!B:B, 'Project Overview'!P:P, "")</f>
        <v/>
      </c>
      <c r="D216" s="244" t="str">
        <f>_xlfn.XLOOKUP(A216, 'Project Overview'!B:B, 'Project Overview'!O:O, "")</f>
        <v/>
      </c>
      <c r="G216" s="214"/>
      <c r="H216" t="str">
        <f>_xlfn.XLOOKUP(E216, 'Project Overview'!B:B, 'Project Overview'!O:O, "")</f>
        <v/>
      </c>
    </row>
    <row r="217" spans="1:8" x14ac:dyDescent="0.3">
      <c r="A217" s="255" t="s">
        <v>164</v>
      </c>
      <c r="B217" s="252"/>
      <c r="C217" s="240" t="str">
        <f>_xlfn.XLOOKUP(A217, 'Project Overview'!B:B, 'Project Overview'!P:P, "")</f>
        <v/>
      </c>
      <c r="D217" s="244" t="str">
        <f>_xlfn.XLOOKUP(A217, 'Project Overview'!B:B, 'Project Overview'!O:O, "")</f>
        <v/>
      </c>
      <c r="G217" s="214"/>
      <c r="H217" t="str">
        <f>_xlfn.XLOOKUP(E217, 'Project Overview'!B:B, 'Project Overview'!O:O, "")</f>
        <v/>
      </c>
    </row>
    <row r="218" spans="1:8" x14ac:dyDescent="0.3">
      <c r="A218" s="257" t="s">
        <v>161</v>
      </c>
      <c r="B218" s="252"/>
      <c r="C218" s="240" t="str">
        <f>_xlfn.XLOOKUP(A218, 'Project Overview'!B:B, 'Project Overview'!P:P, "")</f>
        <v>Escada</v>
      </c>
      <c r="D218" s="244" t="str">
        <f>_xlfn.XLOOKUP(A218, 'Project Overview'!B:B, 'Project Overview'!O:O, "")</f>
        <v>Sandwich</v>
      </c>
      <c r="G218" s="214"/>
      <c r="H218" t="str">
        <f>_xlfn.XLOOKUP(E218, 'Project Overview'!B:B, 'Project Overview'!O:O, "")</f>
        <v/>
      </c>
    </row>
    <row r="219" spans="1:8" x14ac:dyDescent="0.3">
      <c r="A219" s="258" t="s">
        <v>163</v>
      </c>
      <c r="B219" s="252">
        <v>1</v>
      </c>
      <c r="C219" s="240" t="str">
        <f>_xlfn.XLOOKUP(A219, 'Project Overview'!B:B, 'Project Overview'!P:P, "")</f>
        <v/>
      </c>
      <c r="D219" s="244" t="str">
        <f>_xlfn.XLOOKUP(A219, 'Project Overview'!B:B, 'Project Overview'!O:O, "")</f>
        <v/>
      </c>
      <c r="G219" s="214"/>
      <c r="H219" t="str">
        <f>_xlfn.XLOOKUP(E219, 'Project Overview'!B:B, 'Project Overview'!O:O, "")</f>
        <v/>
      </c>
    </row>
    <row r="220" spans="1:8" x14ac:dyDescent="0.3">
      <c r="A220" s="255" t="s">
        <v>334</v>
      </c>
      <c r="B220" s="252"/>
      <c r="C220" s="240" t="str">
        <f>_xlfn.XLOOKUP(A220, 'Project Overview'!B:B, 'Project Overview'!P:P, "")</f>
        <v/>
      </c>
      <c r="D220" s="244" t="str">
        <f>_xlfn.XLOOKUP(A220, 'Project Overview'!B:B, 'Project Overview'!O:O, "")</f>
        <v/>
      </c>
      <c r="G220" s="214"/>
      <c r="H220" t="str">
        <f>_xlfn.XLOOKUP(E220, 'Project Overview'!B:B, 'Project Overview'!O:O, "")</f>
        <v/>
      </c>
    </row>
    <row r="221" spans="1:8" x14ac:dyDescent="0.3">
      <c r="A221" s="257" t="s">
        <v>331</v>
      </c>
      <c r="B221" s="252"/>
      <c r="C221" s="240" t="str">
        <f>_xlfn.XLOOKUP(A221, 'Project Overview'!B:B, 'Project Overview'!P:P, "")</f>
        <v>Escada Vertical</v>
      </c>
      <c r="D221" s="244" t="str">
        <f>_xlfn.XLOOKUP(A221, 'Project Overview'!B:B, 'Project Overview'!O:O, "")</f>
        <v>Sandwich</v>
      </c>
      <c r="G221" s="214"/>
      <c r="H221" t="str">
        <f>_xlfn.XLOOKUP(E221, 'Project Overview'!B:B, 'Project Overview'!O:O, "")</f>
        <v/>
      </c>
    </row>
    <row r="222" spans="1:8" x14ac:dyDescent="0.3">
      <c r="A222" s="258" t="s">
        <v>333</v>
      </c>
      <c r="B222" s="252">
        <v>1</v>
      </c>
      <c r="C222" s="240" t="str">
        <f>_xlfn.XLOOKUP(A222, 'Project Overview'!B:B, 'Project Overview'!P:P, "")</f>
        <v/>
      </c>
      <c r="D222" s="244" t="str">
        <f>_xlfn.XLOOKUP(A222, 'Project Overview'!B:B, 'Project Overview'!O:O, "")</f>
        <v/>
      </c>
      <c r="G222" s="214"/>
      <c r="H222" t="str">
        <f>_xlfn.XLOOKUP(E222, 'Project Overview'!B:B, 'Project Overview'!O:O, "")</f>
        <v/>
      </c>
    </row>
    <row r="223" spans="1:8" x14ac:dyDescent="0.3">
      <c r="A223" s="255" t="s">
        <v>616</v>
      </c>
      <c r="B223" s="252"/>
      <c r="C223" s="240" t="str">
        <f>_xlfn.XLOOKUP(A223, 'Project Overview'!B:B, 'Project Overview'!P:P, "")</f>
        <v/>
      </c>
      <c r="D223" s="244" t="str">
        <f>_xlfn.XLOOKUP(A223, 'Project Overview'!B:B, 'Project Overview'!O:O, "")</f>
        <v/>
      </c>
      <c r="G223" s="214"/>
      <c r="H223" t="str">
        <f>_xlfn.XLOOKUP(E223, 'Project Overview'!B:B, 'Project Overview'!O:O, "")</f>
        <v/>
      </c>
    </row>
    <row r="224" spans="1:8" x14ac:dyDescent="0.3">
      <c r="A224" s="257" t="s">
        <v>614</v>
      </c>
      <c r="B224" s="252"/>
      <c r="C224" s="240" t="str">
        <f>_xlfn.XLOOKUP(A224, 'Project Overview'!B:B, 'Project Overview'!P:P, "")</f>
        <v>Escada</v>
      </c>
      <c r="D224" s="244" t="str">
        <f>_xlfn.XLOOKUP(A224, 'Project Overview'!B:B, 'Project Overview'!O:O, "")</f>
        <v>Cobertura Plana</v>
      </c>
      <c r="G224" s="214"/>
      <c r="H224" t="str">
        <f>_xlfn.XLOOKUP(E224, 'Project Overview'!B:B, 'Project Overview'!O:O, "")</f>
        <v/>
      </c>
    </row>
    <row r="225" spans="1:4" x14ac:dyDescent="0.3">
      <c r="A225" s="258" t="s">
        <v>615</v>
      </c>
      <c r="B225" s="252">
        <v>1</v>
      </c>
      <c r="C225" s="240" t="str">
        <f>_xlfn.XLOOKUP(A225, 'Project Overview'!B:B, 'Project Overview'!P:P, "")</f>
        <v/>
      </c>
      <c r="D225" s="244" t="str">
        <f>_xlfn.XLOOKUP(A225, 'Project Overview'!B:B, 'Project Overview'!O:O, "")</f>
        <v/>
      </c>
    </row>
    <row r="226" spans="1:4" x14ac:dyDescent="0.3">
      <c r="A226" s="255" t="s">
        <v>247</v>
      </c>
      <c r="B226" s="252"/>
      <c r="C226" s="240" t="str">
        <f>_xlfn.XLOOKUP(A226, 'Project Overview'!B:B, 'Project Overview'!P:P, "")</f>
        <v/>
      </c>
      <c r="D226" s="244" t="str">
        <f>_xlfn.XLOOKUP(A226, 'Project Overview'!B:B, 'Project Overview'!O:O, "")</f>
        <v/>
      </c>
    </row>
    <row r="227" spans="1:4" x14ac:dyDescent="0.3">
      <c r="A227" s="257" t="s">
        <v>244</v>
      </c>
      <c r="B227" s="252"/>
      <c r="C227" s="240" t="str">
        <f>_xlfn.XLOOKUP(A227, 'Project Overview'!B:B, 'Project Overview'!P:P, "")</f>
        <v>Não é necessário</v>
      </c>
      <c r="D227" s="244" t="str">
        <f>_xlfn.XLOOKUP(A227, 'Project Overview'!B:B, 'Project Overview'!O:O, "")</f>
        <v>Solo</v>
      </c>
    </row>
    <row r="228" spans="1:4" x14ac:dyDescent="0.3">
      <c r="A228" s="258" t="s">
        <v>246</v>
      </c>
      <c r="B228" s="252">
        <v>1</v>
      </c>
      <c r="C228" s="240" t="str">
        <f>_xlfn.XLOOKUP(A228, 'Project Overview'!B:B, 'Project Overview'!P:P, "")</f>
        <v/>
      </c>
      <c r="D228" s="244" t="str">
        <f>_xlfn.XLOOKUP(A228, 'Project Overview'!B:B, 'Project Overview'!O:O, "")</f>
        <v/>
      </c>
    </row>
    <row r="229" spans="1:4" x14ac:dyDescent="0.3">
      <c r="A229" s="255" t="s">
        <v>157</v>
      </c>
      <c r="B229" s="252"/>
      <c r="C229" s="240" t="str">
        <f>_xlfn.XLOOKUP(A229, 'Project Overview'!B:B, 'Project Overview'!P:P, "")</f>
        <v/>
      </c>
      <c r="D229" s="244" t="str">
        <f>_xlfn.XLOOKUP(A229, 'Project Overview'!B:B, 'Project Overview'!O:O, "")</f>
        <v/>
      </c>
    </row>
    <row r="230" spans="1:4" x14ac:dyDescent="0.3">
      <c r="A230" s="257" t="s">
        <v>154</v>
      </c>
      <c r="B230" s="252"/>
      <c r="C230" s="240" t="str">
        <f>_xlfn.XLOOKUP(A230, 'Project Overview'!B:B, 'Project Overview'!P:P, "")</f>
        <v>Escada</v>
      </c>
      <c r="D230" s="244" t="str">
        <f>_xlfn.XLOOKUP(A230, 'Project Overview'!B:B, 'Project Overview'!O:O, "")</f>
        <v>Sandwich</v>
      </c>
    </row>
    <row r="231" spans="1:4" x14ac:dyDescent="0.3">
      <c r="A231" s="258" t="s">
        <v>156</v>
      </c>
      <c r="B231" s="252">
        <v>1</v>
      </c>
      <c r="C231" s="240" t="str">
        <f>_xlfn.XLOOKUP(A231, 'Project Overview'!B:B, 'Project Overview'!P:P, "")</f>
        <v/>
      </c>
      <c r="D231" s="244" t="str">
        <f>_xlfn.XLOOKUP(A231, 'Project Overview'!B:B, 'Project Overview'!O:O, "")</f>
        <v/>
      </c>
    </row>
    <row r="232" spans="1:4" x14ac:dyDescent="0.3">
      <c r="A232" s="255" t="s">
        <v>630</v>
      </c>
      <c r="B232" s="252"/>
      <c r="C232" s="240" t="str">
        <f>_xlfn.XLOOKUP(A232, 'Project Overview'!B:B, 'Project Overview'!P:P, "")</f>
        <v/>
      </c>
      <c r="D232" s="244" t="str">
        <f>_xlfn.XLOOKUP(A232, 'Project Overview'!B:B, 'Project Overview'!O:O, "")</f>
        <v/>
      </c>
    </row>
    <row r="233" spans="1:4" x14ac:dyDescent="0.3">
      <c r="A233" s="257" t="s">
        <v>627</v>
      </c>
      <c r="B233" s="252"/>
      <c r="C233" s="240" t="str">
        <f>_xlfn.XLOOKUP(A233, 'Project Overview'!B:B, 'Project Overview'!P:P, "")</f>
        <v>Escada</v>
      </c>
      <c r="D233" s="244" t="str">
        <f>_xlfn.XLOOKUP(A233, 'Project Overview'!B:B, 'Project Overview'!O:O, "")</f>
        <v>Sandwich</v>
      </c>
    </row>
    <row r="234" spans="1:4" s="228" customFormat="1" x14ac:dyDescent="0.3">
      <c r="A234" s="258" t="s">
        <v>629</v>
      </c>
      <c r="B234" s="252">
        <v>1</v>
      </c>
      <c r="C234" s="240" t="str">
        <f>_xlfn.XLOOKUP(A234, 'Project Overview'!B:B, 'Project Overview'!P:P, "")</f>
        <v/>
      </c>
      <c r="D234" s="244" t="str">
        <f>_xlfn.XLOOKUP(A234, 'Project Overview'!B:B, 'Project Overview'!O:O, "")</f>
        <v/>
      </c>
    </row>
    <row r="235" spans="1:4" x14ac:dyDescent="0.3">
      <c r="A235" s="255" t="s">
        <v>338</v>
      </c>
      <c r="B235" s="252"/>
      <c r="C235" s="240" t="str">
        <f>_xlfn.XLOOKUP(A235, 'Project Overview'!B:B, 'Project Overview'!P:P, "")</f>
        <v/>
      </c>
      <c r="D235" s="244" t="str">
        <f>_xlfn.XLOOKUP(A235, 'Project Overview'!B:B, 'Project Overview'!O:O, "")</f>
        <v/>
      </c>
    </row>
    <row r="236" spans="1:4" x14ac:dyDescent="0.3">
      <c r="A236" s="257" t="s">
        <v>1111</v>
      </c>
      <c r="B236" s="252"/>
      <c r="C236" s="240" t="str">
        <f>_xlfn.XLOOKUP(A236, 'Project Overview'!B:B, 'Project Overview'!P:P, "")</f>
        <v>Escada fixa</v>
      </c>
      <c r="D236" s="244" t="str">
        <f>_xlfn.XLOOKUP(A236, 'Project Overview'!B:B, 'Project Overview'!O:O, "")</f>
        <v>Sandwich</v>
      </c>
    </row>
    <row r="237" spans="1:4" x14ac:dyDescent="0.3">
      <c r="A237" s="258" t="s">
        <v>1113</v>
      </c>
      <c r="B237" s="252">
        <v>1</v>
      </c>
      <c r="C237" s="240" t="str">
        <f>_xlfn.XLOOKUP(A237, 'Project Overview'!B:B, 'Project Overview'!P:P, "")</f>
        <v/>
      </c>
      <c r="D237" s="244" t="str">
        <f>_xlfn.XLOOKUP(A237, 'Project Overview'!B:B, 'Project Overview'!O:O, "")</f>
        <v/>
      </c>
    </row>
    <row r="238" spans="1:4" x14ac:dyDescent="0.3">
      <c r="A238" s="255" t="s">
        <v>524</v>
      </c>
      <c r="B238" s="252"/>
      <c r="C238" s="240" t="str">
        <f>_xlfn.XLOOKUP(A238, 'Project Overview'!B:B, 'Project Overview'!P:P, "")</f>
        <v/>
      </c>
      <c r="D238" s="244" t="str">
        <f>_xlfn.XLOOKUP(A238, 'Project Overview'!B:B, 'Project Overview'!O:O, "")</f>
        <v/>
      </c>
    </row>
    <row r="239" spans="1:4" x14ac:dyDescent="0.3">
      <c r="A239" s="257" t="s">
        <v>521</v>
      </c>
      <c r="B239" s="252"/>
      <c r="C239" s="240" t="str">
        <f>_xlfn.XLOOKUP(A239, 'Project Overview'!B:B, 'Project Overview'!P:P, "")</f>
        <v>Escada</v>
      </c>
      <c r="D239" s="244" t="str">
        <f>_xlfn.XLOOKUP(A239, 'Project Overview'!B:B, 'Project Overview'!O:O, "")</f>
        <v>Sandwich</v>
      </c>
    </row>
    <row r="240" spans="1:4" x14ac:dyDescent="0.3">
      <c r="A240" s="258" t="s">
        <v>523</v>
      </c>
      <c r="B240" s="252">
        <v>1</v>
      </c>
      <c r="C240" s="240" t="str">
        <f>_xlfn.XLOOKUP(A240, 'Project Overview'!B:B, 'Project Overview'!P:P, "")</f>
        <v/>
      </c>
      <c r="D240" s="244" t="str">
        <f>_xlfn.XLOOKUP(A240, 'Project Overview'!B:B, 'Project Overview'!O:O, "")</f>
        <v/>
      </c>
    </row>
    <row r="241" spans="1:4" x14ac:dyDescent="0.3">
      <c r="A241" s="255" t="s">
        <v>117</v>
      </c>
      <c r="B241" s="252"/>
      <c r="D241" s="241"/>
    </row>
    <row r="242" spans="1:4" x14ac:dyDescent="0.3">
      <c r="A242" s="257" t="s">
        <v>114</v>
      </c>
      <c r="B242" s="252"/>
      <c r="C242" s="240" t="str">
        <f>_xlfn.XLOOKUP(A230, 'Project Overview'!B:B, 'Project Overview'!P:P, "")</f>
        <v>Escada</v>
      </c>
      <c r="D242" s="244" t="str">
        <f>_xlfn.XLOOKUP(A230, 'Project Overview'!B:B, 'Project Overview'!O:O, "")</f>
        <v>Sandwich</v>
      </c>
    </row>
    <row r="243" spans="1:4" x14ac:dyDescent="0.3">
      <c r="A243" s="258" t="s">
        <v>116</v>
      </c>
      <c r="B243" s="252">
        <v>1</v>
      </c>
      <c r="D243" s="241"/>
    </row>
    <row r="244" spans="1:4" x14ac:dyDescent="0.3">
      <c r="A244" s="256" t="s">
        <v>1358</v>
      </c>
      <c r="B244" s="253">
        <v>80</v>
      </c>
      <c r="C244" s="246"/>
      <c r="D244" s="247"/>
    </row>
  </sheetData>
  <mergeCells count="2">
    <mergeCell ref="A1:B1"/>
    <mergeCell ref="A43:D43"/>
  </mergeCells>
  <printOptions horizontalCentered="1" verticalCentered="1"/>
  <pageMargins left="0.7" right="0.7" top="0.75" bottom="0.75" header="0.3" footer="0.3"/>
  <pageSetup paperSize="9" scale="50" orientation="portrait" r:id="rId3"/>
  <rowBreaks count="2" manualBreakCount="2">
    <brk id="42" max="3" man="1"/>
    <brk id="126" max="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45"/>
  <sheetViews>
    <sheetView topLeftCell="AG10" zoomScaleNormal="100" workbookViewId="0">
      <selection activeCell="AO1" sqref="AO1"/>
    </sheetView>
  </sheetViews>
  <sheetFormatPr defaultRowHeight="14.4" x14ac:dyDescent="0.3"/>
  <cols>
    <col min="1" max="1" width="12.77734375" bestFit="1" customWidth="1"/>
    <col min="2" max="2" width="16.109375" bestFit="1" customWidth="1"/>
    <col min="4" max="4" width="12.77734375" bestFit="1" customWidth="1"/>
    <col min="5" max="5" width="16.109375" bestFit="1" customWidth="1"/>
    <col min="10" max="10" width="21.21875" bestFit="1" customWidth="1"/>
    <col min="11" max="11" width="16.109375" bestFit="1" customWidth="1"/>
    <col min="13" max="13" width="14.109375" bestFit="1" customWidth="1"/>
    <col min="14" max="14" width="12.77734375" bestFit="1" customWidth="1"/>
    <col min="16" max="16" width="41.21875" bestFit="1" customWidth="1"/>
    <col min="17" max="17" width="16.109375" bestFit="1" customWidth="1"/>
    <col min="21" max="21" width="34.44140625" bestFit="1" customWidth="1"/>
    <col min="22" max="22" width="21.77734375" customWidth="1"/>
    <col min="23" max="23" width="12.5546875" bestFit="1" customWidth="1"/>
    <col min="24" max="24" width="12.88671875" bestFit="1" customWidth="1"/>
    <col min="26" max="26" width="35.21875" bestFit="1" customWidth="1"/>
    <col min="27" max="27" width="13.88671875" bestFit="1" customWidth="1"/>
    <col min="28" max="29" width="10.5546875" customWidth="1"/>
    <col min="30" max="30" width="11.5546875" customWidth="1"/>
    <col min="35" max="35" width="34.44140625" bestFit="1" customWidth="1"/>
    <col min="36" max="36" width="13.88671875" bestFit="1" customWidth="1"/>
    <col min="39" max="39" width="8.88671875" style="215"/>
    <col min="41" max="41" width="34.44140625" bestFit="1" customWidth="1"/>
    <col min="42" max="42" width="13" bestFit="1" customWidth="1"/>
    <col min="43" max="43" width="17.88671875" customWidth="1"/>
    <col min="44" max="44" width="16.77734375" customWidth="1"/>
    <col min="45" max="45" width="13" style="215" customWidth="1"/>
    <col min="47" max="47" width="32.77734375" bestFit="1" customWidth="1"/>
    <col min="49" max="49" width="11.33203125" customWidth="1"/>
    <col min="50" max="50" width="12.33203125" customWidth="1"/>
  </cols>
  <sheetData>
    <row r="1" spans="1:51" x14ac:dyDescent="0.3">
      <c r="J1" s="212" t="s">
        <v>36</v>
      </c>
      <c r="K1" t="s">
        <v>1349</v>
      </c>
      <c r="M1" s="212" t="s">
        <v>36</v>
      </c>
      <c r="N1" t="s">
        <v>1349</v>
      </c>
      <c r="P1" s="212" t="s">
        <v>36</v>
      </c>
      <c r="Q1" t="s">
        <v>1349</v>
      </c>
      <c r="U1" s="213">
        <v>46120</v>
      </c>
      <c r="Z1" s="213">
        <v>46122</v>
      </c>
      <c r="AI1" s="213">
        <v>46125</v>
      </c>
      <c r="AO1" s="213">
        <v>46127</v>
      </c>
    </row>
    <row r="2" spans="1:51" x14ac:dyDescent="0.3">
      <c r="A2" s="212" t="s">
        <v>36</v>
      </c>
      <c r="B2" t="s">
        <v>77</v>
      </c>
      <c r="D2" s="212" t="s">
        <v>36</v>
      </c>
      <c r="E2" t="s">
        <v>77</v>
      </c>
      <c r="J2" s="212" t="s">
        <v>46</v>
      </c>
      <c r="K2" t="s">
        <v>77</v>
      </c>
      <c r="M2" s="212" t="s">
        <v>46</v>
      </c>
      <c r="N2" t="s">
        <v>77</v>
      </c>
      <c r="P2" s="212" t="s">
        <v>46</v>
      </c>
      <c r="Q2" t="s">
        <v>77</v>
      </c>
      <c r="U2" t="s">
        <v>1393</v>
      </c>
      <c r="V2" t="s">
        <v>1394</v>
      </c>
      <c r="W2" t="s">
        <v>1395</v>
      </c>
      <c r="X2" t="s">
        <v>1396</v>
      </c>
      <c r="Z2" s="235" t="s">
        <v>1402</v>
      </c>
      <c r="AA2" s="235" t="s">
        <v>1401</v>
      </c>
      <c r="AB2" s="236" t="s">
        <v>1400</v>
      </c>
      <c r="AC2" s="236" t="s">
        <v>1399</v>
      </c>
      <c r="AD2" s="236" t="s">
        <v>1398</v>
      </c>
      <c r="AE2" s="237" t="s">
        <v>1393</v>
      </c>
      <c r="AH2">
        <v>0</v>
      </c>
      <c r="AI2" s="235" t="s">
        <v>1402</v>
      </c>
      <c r="AJ2" s="235" t="s">
        <v>1401</v>
      </c>
      <c r="AK2" s="236" t="s">
        <v>1400</v>
      </c>
      <c r="AL2" s="236" t="s">
        <v>1399</v>
      </c>
      <c r="AM2" s="273" t="s">
        <v>1398</v>
      </c>
      <c r="AO2" t="s">
        <v>1414</v>
      </c>
      <c r="AP2" t="s">
        <v>5</v>
      </c>
      <c r="AQ2" s="236" t="s">
        <v>1400</v>
      </c>
      <c r="AR2" s="236" t="s">
        <v>1399</v>
      </c>
      <c r="AS2" s="273" t="s">
        <v>1398</v>
      </c>
      <c r="AU2" t="s">
        <v>1414</v>
      </c>
      <c r="AV2" t="s">
        <v>1392</v>
      </c>
      <c r="AW2" t="s">
        <v>1430</v>
      </c>
      <c r="AX2" t="s">
        <v>1431</v>
      </c>
      <c r="AY2" s="215" t="s">
        <v>1403</v>
      </c>
    </row>
    <row r="3" spans="1:51" x14ac:dyDescent="0.3">
      <c r="T3" s="234" t="b">
        <v>1</v>
      </c>
      <c r="U3" s="233" t="s">
        <v>947</v>
      </c>
      <c r="V3" t="s">
        <v>1391</v>
      </c>
      <c r="W3" t="str">
        <f ca="1">_xlfn.XLOOKUP(U3, 'Project Overview'!B:B, 'Project Overview'!Y:Y, "not found")</f>
        <v>yes</v>
      </c>
      <c r="X3" t="str">
        <f>_xlfn.XLOOKUP(U3, 'Project Overview'!B:B, 'Project Overview'!I:I, "not found")</f>
        <v>EPC</v>
      </c>
      <c r="Z3" t="s">
        <v>1415</v>
      </c>
      <c r="AA3" t="s">
        <v>1392</v>
      </c>
      <c r="AB3" t="str">
        <f>_xlfn.XLOOKUP(Table38[[#This Row],[Nome]], 'Project Overview'!B:B, 'Project Overview'!Y:Y, "not found")</f>
        <v>not found</v>
      </c>
      <c r="AC3" t="str">
        <f>_xlfn.XLOOKUP(Z3, 'Project Overview'!B:B, 'Project Overview'!I:I, "not found")</f>
        <v>EPC</v>
      </c>
      <c r="AD3">
        <f t="shared" ref="AD3:AD38" si="0">COUNTIF(U:U, Z3)</f>
        <v>1</v>
      </c>
      <c r="AE3" t="str">
        <f>_xlfn.XLOOKUP(Z3, 'Project Overview'!B:B, 'Project Overview'!N:N, "not found")</f>
        <v>yes</v>
      </c>
      <c r="AH3">
        <v>1</v>
      </c>
      <c r="AI3" s="270" t="s">
        <v>1415</v>
      </c>
      <c r="AJ3" t="s">
        <v>1392</v>
      </c>
      <c r="AK3" t="s">
        <v>1348</v>
      </c>
      <c r="AL3" t="s">
        <v>8</v>
      </c>
      <c r="AM3" s="215" t="s">
        <v>1403</v>
      </c>
      <c r="AO3" s="270" t="s">
        <v>1415</v>
      </c>
      <c r="AP3" t="s">
        <v>1392</v>
      </c>
      <c r="AQ3" t="str">
        <f ca="1">_xlfn.XLOOKUP(AO3, 'Project Overview'!B:B, 'Project Overview'!Y:Y, "not found")</f>
        <v>no</v>
      </c>
      <c r="AR3" t="str">
        <f>_xlfn.XLOOKUP(AO3, 'Project Overview'!B:B, 'Project Overview'!I:I, "not found")</f>
        <v>EPC</v>
      </c>
      <c r="AS3" s="215" t="s">
        <v>1403</v>
      </c>
      <c r="AU3" t="s">
        <v>502</v>
      </c>
      <c r="AV3" t="s">
        <v>1392</v>
      </c>
      <c r="AW3" t="str">
        <f ca="1">_xlfn.XLOOKUP(AO3, 'Project Overview'!B:B, 'Project Overview'!Y:Y, "not found")</f>
        <v>no</v>
      </c>
      <c r="AX3" t="str">
        <f>_xlfn.XLOOKUP(AU3, 'Project Overview'!B:B, 'Project Overview'!I:I, "not found")</f>
        <v>ESCO</v>
      </c>
      <c r="AY3" s="215">
        <f t="shared" ref="AY3:AY37" si="1">COUNTIF(AI:AI, AO4)</f>
        <v>0</v>
      </c>
    </row>
    <row r="4" spans="1:51" x14ac:dyDescent="0.3">
      <c r="A4" s="212" t="s">
        <v>1345</v>
      </c>
      <c r="B4" t="s">
        <v>1346</v>
      </c>
      <c r="D4" s="212" t="s">
        <v>1345</v>
      </c>
      <c r="E4" t="s">
        <v>1346</v>
      </c>
      <c r="J4" s="212" t="s">
        <v>1345</v>
      </c>
      <c r="K4" t="s">
        <v>1346</v>
      </c>
      <c r="M4" s="212" t="s">
        <v>1345</v>
      </c>
      <c r="N4" t="s">
        <v>1352</v>
      </c>
      <c r="P4" s="212" t="s">
        <v>1345</v>
      </c>
      <c r="Q4" t="s">
        <v>1346</v>
      </c>
      <c r="T4" s="234" t="b">
        <v>0</v>
      </c>
      <c r="U4" t="s">
        <v>1166</v>
      </c>
      <c r="V4" t="s">
        <v>1391</v>
      </c>
      <c r="W4" t="str">
        <f ca="1">_xlfn.XLOOKUP(U4, 'Project Overview'!B:B, 'Project Overview'!Y:Y, "not found")</f>
        <v>no</v>
      </c>
      <c r="X4" t="str">
        <f>_xlfn.XLOOKUP(U4, 'Project Overview'!B:B, 'Project Overview'!I:I, "not found")</f>
        <v>EPC</v>
      </c>
      <c r="Z4" t="s">
        <v>670</v>
      </c>
      <c r="AA4" t="s">
        <v>1392</v>
      </c>
      <c r="AB4" t="str">
        <f ca="1">_xlfn.XLOOKUP(Z4, 'Project Overview'!B:B, 'Project Overview'!Y:Y, "not found")</f>
        <v>yes</v>
      </c>
      <c r="AC4" t="str">
        <f>_xlfn.XLOOKUP(Z4, 'Project Overview'!B:B, 'Project Overview'!I:I, "not found")</f>
        <v>ESCO</v>
      </c>
      <c r="AD4">
        <f t="shared" si="0"/>
        <v>1</v>
      </c>
      <c r="AE4" t="str">
        <f>_xlfn.XLOOKUP(Z4, 'Project Overview'!B:B, 'Project Overview'!N:N, "not found")</f>
        <v>yes</v>
      </c>
      <c r="AH4">
        <v>2</v>
      </c>
      <c r="AI4" t="s">
        <v>670</v>
      </c>
      <c r="AJ4" t="s">
        <v>1392</v>
      </c>
      <c r="AK4" t="str">
        <f ca="1">_xlfn.XLOOKUP(AI4, 'Project Overview'!B:B, 'Project Overview'!Y:Y, "not found")</f>
        <v>yes</v>
      </c>
      <c r="AL4" t="str">
        <f>_xlfn.XLOOKUP(AI4, 'Project Overview'!B:B, 'Project Overview'!I:I, "not found")</f>
        <v>ESCO</v>
      </c>
      <c r="AM4" s="215">
        <f t="shared" ref="AM4:AM45" si="2">COUNTIF(Z:Z, AI4)</f>
        <v>1</v>
      </c>
      <c r="AO4" s="270" t="s">
        <v>502</v>
      </c>
      <c r="AP4" t="s">
        <v>1392</v>
      </c>
      <c r="AQ4" t="str">
        <f ca="1">_xlfn.XLOOKUP(AO4, 'Project Overview'!B:B, 'Project Overview'!Y:Y, "not found")</f>
        <v>yes</v>
      </c>
      <c r="AR4" t="str">
        <f>_xlfn.XLOOKUP(AO4, 'Project Overview'!B:B, 'Project Overview'!I:I, "not found")</f>
        <v>ESCO</v>
      </c>
      <c r="AS4" s="215">
        <f>COUNTIF(AI:AI, AO4)</f>
        <v>0</v>
      </c>
      <c r="AU4" s="270" t="s">
        <v>670</v>
      </c>
      <c r="AV4" t="s">
        <v>1392</v>
      </c>
      <c r="AW4" t="str">
        <f ca="1">_xlfn.XLOOKUP(AO4, 'Project Overview'!B:B, 'Project Overview'!Y:Y, "not found")</f>
        <v>yes</v>
      </c>
      <c r="AX4" t="str">
        <f>_xlfn.XLOOKUP(AU4, 'Project Overview'!B:B, 'Project Overview'!I:I, "not found")</f>
        <v>ESCO</v>
      </c>
      <c r="AY4" s="215">
        <f t="shared" si="1"/>
        <v>1</v>
      </c>
    </row>
    <row r="5" spans="1:51" x14ac:dyDescent="0.3">
      <c r="A5" s="7" t="s">
        <v>8</v>
      </c>
      <c r="B5">
        <v>22</v>
      </c>
      <c r="D5" s="7" t="s">
        <v>1348</v>
      </c>
      <c r="E5">
        <v>9</v>
      </c>
      <c r="J5" s="7" t="s">
        <v>9</v>
      </c>
      <c r="K5">
        <v>8</v>
      </c>
      <c r="M5" s="7">
        <v>2026</v>
      </c>
      <c r="N5">
        <v>5</v>
      </c>
      <c r="P5" s="7" t="s">
        <v>1386</v>
      </c>
      <c r="Q5">
        <v>3</v>
      </c>
      <c r="T5" s="234" t="b">
        <v>0</v>
      </c>
      <c r="U5" t="s">
        <v>1103</v>
      </c>
      <c r="V5" t="s">
        <v>1391</v>
      </c>
      <c r="W5" t="str">
        <f ca="1">_xlfn.XLOOKUP(U5, 'Project Overview'!B:B, 'Project Overview'!Y:Y, "not found")</f>
        <v>no</v>
      </c>
      <c r="X5" t="str">
        <f>_xlfn.XLOOKUP(U5, 'Project Overview'!B:B, 'Project Overview'!I:I, "not found")</f>
        <v>EPC</v>
      </c>
      <c r="Z5" t="s">
        <v>1416</v>
      </c>
      <c r="AA5" t="s">
        <v>1392</v>
      </c>
      <c r="AB5" t="str">
        <f ca="1">_xlfn.XLOOKUP(Z5, 'Project Overview'!B:B, 'Project Overview'!Y:Y, "not found")</f>
        <v>no</v>
      </c>
      <c r="AC5" t="str">
        <f>_xlfn.XLOOKUP(Z5, 'Project Overview'!B:B, 'Project Overview'!I:I, "not found")</f>
        <v>EPC</v>
      </c>
      <c r="AD5">
        <f t="shared" si="0"/>
        <v>1</v>
      </c>
      <c r="AE5" t="str">
        <f>_xlfn.XLOOKUP(Z5, 'Project Overview'!B:B, 'Project Overview'!N:N, "not found")</f>
        <v>no</v>
      </c>
      <c r="AH5">
        <v>3</v>
      </c>
      <c r="AI5" t="s">
        <v>798</v>
      </c>
      <c r="AJ5" t="s">
        <v>1392</v>
      </c>
      <c r="AK5" t="str">
        <f ca="1">_xlfn.XLOOKUP(AI5, 'Project Overview'!B:B, 'Project Overview'!Y:Y, "not found")</f>
        <v>no</v>
      </c>
      <c r="AL5" t="str">
        <f>_xlfn.XLOOKUP(AI5, 'Project Overview'!B:B, 'Project Overview'!I:I, "not found")</f>
        <v>ESCO</v>
      </c>
      <c r="AM5" s="215">
        <f t="shared" si="2"/>
        <v>0</v>
      </c>
      <c r="AO5" s="270" t="s">
        <v>670</v>
      </c>
      <c r="AP5" t="s">
        <v>1392</v>
      </c>
      <c r="AQ5" t="str">
        <f ca="1">_xlfn.XLOOKUP(AO5, 'Project Overview'!B:B, 'Project Overview'!Y:Y, "not found")</f>
        <v>yes</v>
      </c>
      <c r="AR5" t="str">
        <f>_xlfn.XLOOKUP(AO5, 'Project Overview'!B:B, 'Project Overview'!I:I, "not found")</f>
        <v>ESCO</v>
      </c>
      <c r="AS5" s="215">
        <f t="shared" ref="AS5:AS35" si="3">COUNTIF(AI:AI, AO5)</f>
        <v>1</v>
      </c>
      <c r="AU5" s="270" t="s">
        <v>1416</v>
      </c>
      <c r="AV5" t="s">
        <v>1392</v>
      </c>
      <c r="AW5" t="str">
        <f ca="1">_xlfn.XLOOKUP(AO5, 'Project Overview'!B:B, 'Project Overview'!Y:Y, "not found")</f>
        <v>yes</v>
      </c>
      <c r="AX5" t="str">
        <f>_xlfn.XLOOKUP(AU5, 'Project Overview'!B:B, 'Project Overview'!I:I, "not found")</f>
        <v>EPC</v>
      </c>
      <c r="AY5" s="215">
        <f t="shared" si="1"/>
        <v>1</v>
      </c>
    </row>
    <row r="6" spans="1:51" x14ac:dyDescent="0.3">
      <c r="A6" s="7" t="s">
        <v>11</v>
      </c>
      <c r="B6">
        <v>67</v>
      </c>
      <c r="D6" s="7" t="s">
        <v>77</v>
      </c>
      <c r="E6">
        <v>80</v>
      </c>
      <c r="J6" s="7" t="s">
        <v>16</v>
      </c>
      <c r="K6">
        <v>8</v>
      </c>
      <c r="M6" s="7">
        <v>2027</v>
      </c>
      <c r="N6">
        <v>8</v>
      </c>
      <c r="P6" s="7" t="s">
        <v>432</v>
      </c>
      <c r="Q6">
        <v>4</v>
      </c>
      <c r="T6" s="234" t="b">
        <v>0</v>
      </c>
      <c r="U6" t="s">
        <v>1424</v>
      </c>
      <c r="V6" t="s">
        <v>1391</v>
      </c>
      <c r="W6" t="str">
        <f ca="1">_xlfn.XLOOKUP(U6, 'Project Overview'!B:B, 'Project Overview'!Y:Y, "not found")</f>
        <v>no</v>
      </c>
      <c r="X6" t="str">
        <f>_xlfn.XLOOKUP(U6, 'Project Overview'!B:B, 'Project Overview'!I:I, "not found")</f>
        <v>EPC</v>
      </c>
      <c r="Z6" t="s">
        <v>1424</v>
      </c>
      <c r="AA6" t="s">
        <v>1392</v>
      </c>
      <c r="AB6" t="str">
        <f ca="1">_xlfn.XLOOKUP(Z6, 'Project Overview'!B:B, 'Project Overview'!Y:Y, "not found")</f>
        <v>no</v>
      </c>
      <c r="AC6" t="str">
        <f>_xlfn.XLOOKUP(Z6, 'Project Overview'!B:B, 'Project Overview'!I:I, "not found")</f>
        <v>EPC</v>
      </c>
      <c r="AD6">
        <f t="shared" si="0"/>
        <v>2</v>
      </c>
      <c r="AE6" t="str">
        <f>_xlfn.XLOOKUP(Z6, 'Project Overview'!B:B, 'Project Overview'!N:N, "not found")</f>
        <v>no</v>
      </c>
      <c r="AH6">
        <v>4</v>
      </c>
      <c r="AI6" s="272" t="s">
        <v>641</v>
      </c>
      <c r="AJ6" t="s">
        <v>1392</v>
      </c>
      <c r="AK6" t="str">
        <f ca="1">_xlfn.XLOOKUP(AI6, 'Project Overview'!B:B, 'Project Overview'!Y:Y, "not found")</f>
        <v>no</v>
      </c>
      <c r="AL6" t="str">
        <f>_xlfn.XLOOKUP(AI6, 'Project Overview'!B:B, 'Project Overview'!I:I, "not found")</f>
        <v>EPC</v>
      </c>
      <c r="AM6" s="215">
        <f t="shared" si="2"/>
        <v>0</v>
      </c>
      <c r="AO6" s="270" t="s">
        <v>1416</v>
      </c>
      <c r="AP6" t="s">
        <v>1392</v>
      </c>
      <c r="AQ6" t="str">
        <f ca="1">_xlfn.XLOOKUP(AO6, 'Project Overview'!B:B, 'Project Overview'!Y:Y, "not found")</f>
        <v>no</v>
      </c>
      <c r="AR6" t="str">
        <f>_xlfn.XLOOKUP(AO6, 'Project Overview'!B:B, 'Project Overview'!I:I, "not found")</f>
        <v>EPC</v>
      </c>
      <c r="AS6" s="215">
        <f t="shared" si="3"/>
        <v>1</v>
      </c>
      <c r="AU6" t="s">
        <v>1417</v>
      </c>
      <c r="AV6" t="s">
        <v>1392</v>
      </c>
      <c r="AW6" t="str">
        <f ca="1">_xlfn.XLOOKUP(AO6, 'Project Overview'!B:B, 'Project Overview'!Y:Y, "not found")</f>
        <v>no</v>
      </c>
      <c r="AX6" t="str">
        <f>_xlfn.XLOOKUP(AU6, 'Project Overview'!B:B, 'Project Overview'!I:I, "not found")</f>
        <v>EPC</v>
      </c>
      <c r="AY6" s="215">
        <f t="shared" si="1"/>
        <v>1</v>
      </c>
    </row>
    <row r="7" spans="1:51" x14ac:dyDescent="0.3">
      <c r="A7" s="7" t="s">
        <v>1347</v>
      </c>
      <c r="B7">
        <v>89</v>
      </c>
      <c r="D7" s="7" t="s">
        <v>1347</v>
      </c>
      <c r="E7">
        <v>89</v>
      </c>
      <c r="J7" s="7" t="s">
        <v>12</v>
      </c>
      <c r="K7">
        <v>7</v>
      </c>
      <c r="M7" s="7">
        <v>2028</v>
      </c>
      <c r="N7">
        <v>5</v>
      </c>
      <c r="P7" s="7" t="s">
        <v>54</v>
      </c>
      <c r="Q7">
        <v>2</v>
      </c>
      <c r="T7" s="234" t="b">
        <v>0</v>
      </c>
      <c r="U7" t="s">
        <v>873</v>
      </c>
      <c r="V7" t="s">
        <v>1391</v>
      </c>
      <c r="W7" t="str">
        <f ca="1">_xlfn.XLOOKUP(U7, 'Project Overview'!B:B, 'Project Overview'!Y:Y, "not found")</f>
        <v>no</v>
      </c>
      <c r="X7" t="str">
        <f>_xlfn.XLOOKUP(U7, 'Project Overview'!B:B, 'Project Overview'!I:I, "not found")</f>
        <v>EPC</v>
      </c>
      <c r="Z7" t="s">
        <v>888</v>
      </c>
      <c r="AA7" t="s">
        <v>1392</v>
      </c>
      <c r="AB7" t="str">
        <f ca="1">_xlfn.XLOOKUP(Z7, 'Project Overview'!B:B, 'Project Overview'!Y:Y, "not found")</f>
        <v>no</v>
      </c>
      <c r="AC7" t="str">
        <f>_xlfn.XLOOKUP(Z7, 'Project Overview'!B:B, 'Project Overview'!I:I, "not found")</f>
        <v>EPC</v>
      </c>
      <c r="AD7">
        <f t="shared" si="0"/>
        <v>1</v>
      </c>
      <c r="AE7" t="str">
        <f>_xlfn.XLOOKUP(Z7, 'Project Overview'!B:B, 'Project Overview'!N:N, "not found")</f>
        <v>no</v>
      </c>
      <c r="AH7">
        <v>5</v>
      </c>
      <c r="AI7" t="s">
        <v>1433</v>
      </c>
      <c r="AJ7" t="s">
        <v>1392</v>
      </c>
      <c r="AK7" t="str">
        <f ca="1">_xlfn.XLOOKUP(AI7, 'Project Overview'!B:B, 'Project Overview'!Y:Y, "not found")</f>
        <v>yes</v>
      </c>
      <c r="AL7" t="str">
        <f>_xlfn.XLOOKUP(AI7, 'Project Overview'!B:B, 'Project Overview'!I:I, "not found")</f>
        <v>ESCO</v>
      </c>
      <c r="AM7" s="215">
        <f t="shared" si="2"/>
        <v>0</v>
      </c>
      <c r="AO7" s="270" t="s">
        <v>1417</v>
      </c>
      <c r="AP7" t="s">
        <v>1392</v>
      </c>
      <c r="AQ7" t="str">
        <f ca="1">_xlfn.XLOOKUP(AO7, 'Project Overview'!B:B, 'Project Overview'!Y:Y, "not found")</f>
        <v>no</v>
      </c>
      <c r="AR7" t="str">
        <f>_xlfn.XLOOKUP(AO7, 'Project Overview'!B:B, 'Project Overview'!I:I, "not found")</f>
        <v>EPC</v>
      </c>
      <c r="AS7" s="215">
        <f t="shared" si="3"/>
        <v>1</v>
      </c>
      <c r="AU7" s="269" t="s">
        <v>363</v>
      </c>
      <c r="AV7" t="s">
        <v>1392</v>
      </c>
      <c r="AW7" t="str">
        <f ca="1">_xlfn.XLOOKUP(AO7, 'Project Overview'!B:B, 'Project Overview'!Y:Y, "not found")</f>
        <v>no</v>
      </c>
      <c r="AX7" t="str">
        <f>_xlfn.XLOOKUP(AU7, 'Project Overview'!B:B, 'Project Overview'!I:I, "not found")</f>
        <v>EPC</v>
      </c>
      <c r="AY7" s="215">
        <f t="shared" si="1"/>
        <v>1</v>
      </c>
    </row>
    <row r="8" spans="1:51" x14ac:dyDescent="0.3">
      <c r="J8" s="7" t="s">
        <v>105</v>
      </c>
      <c r="K8">
        <v>6</v>
      </c>
      <c r="M8" s="7">
        <v>2029</v>
      </c>
      <c r="N8">
        <v>3</v>
      </c>
      <c r="P8" s="7" t="s">
        <v>61</v>
      </c>
      <c r="Q8">
        <v>52</v>
      </c>
      <c r="T8" s="234" t="b">
        <v>0</v>
      </c>
      <c r="U8" t="s">
        <v>877</v>
      </c>
      <c r="V8" t="s">
        <v>1391</v>
      </c>
      <c r="W8" t="str">
        <f ca="1">_xlfn.XLOOKUP(U8, 'Project Overview'!B:B, 'Project Overview'!Y:Y, "not found")</f>
        <v>no</v>
      </c>
      <c r="X8" t="str">
        <f>_xlfn.XLOOKUP(U8, 'Project Overview'!B:B, 'Project Overview'!I:I, "not found")</f>
        <v>EPC</v>
      </c>
      <c r="Z8" t="s">
        <v>1418</v>
      </c>
      <c r="AA8" t="s">
        <v>1392</v>
      </c>
      <c r="AB8" t="str">
        <f ca="1">_xlfn.XLOOKUP(Z8, 'Project Overview'!B:B, 'Project Overview'!Y:Y, "not found")</f>
        <v>no</v>
      </c>
      <c r="AC8" t="str">
        <f>_xlfn.XLOOKUP(Z8, 'Project Overview'!B:B, 'Project Overview'!I:I, "not found")</f>
        <v>EPC</v>
      </c>
      <c r="AD8">
        <f t="shared" si="0"/>
        <v>1</v>
      </c>
      <c r="AE8" t="str">
        <f>_xlfn.XLOOKUP(Z8, 'Project Overview'!B:B, 'Project Overview'!N:N, "not found")</f>
        <v>no</v>
      </c>
      <c r="AH8">
        <v>6</v>
      </c>
      <c r="AI8" s="270" t="s">
        <v>1416</v>
      </c>
      <c r="AJ8" t="s">
        <v>1392</v>
      </c>
      <c r="AK8" t="str">
        <f ca="1">_xlfn.XLOOKUP(AI8, 'Project Overview'!B:B, 'Project Overview'!Y:Y, "not found")</f>
        <v>no</v>
      </c>
      <c r="AL8" t="str">
        <f>_xlfn.XLOOKUP(AI8, 'Project Overview'!B:B, 'Project Overview'!I:I, "not found")</f>
        <v>EPC</v>
      </c>
      <c r="AM8" s="215">
        <f t="shared" si="2"/>
        <v>1</v>
      </c>
      <c r="AO8" s="270" t="s">
        <v>363</v>
      </c>
      <c r="AP8" t="s">
        <v>1392</v>
      </c>
      <c r="AQ8" t="str">
        <f ca="1">_xlfn.XLOOKUP(AO8, 'Project Overview'!B:B, 'Project Overview'!Y:Y, "not found")</f>
        <v>no</v>
      </c>
      <c r="AR8" t="str">
        <f>_xlfn.XLOOKUP(AO8, 'Project Overview'!B:B, 'Project Overview'!I:I, "not found")</f>
        <v>EPC</v>
      </c>
      <c r="AS8" s="215">
        <f t="shared" si="3"/>
        <v>1</v>
      </c>
      <c r="AU8" s="270" t="s">
        <v>1418</v>
      </c>
      <c r="AV8" t="s">
        <v>1392</v>
      </c>
      <c r="AW8" t="str">
        <f ca="1">_xlfn.XLOOKUP(AO8, 'Project Overview'!B:B, 'Project Overview'!Y:Y, "not found")</f>
        <v>no</v>
      </c>
      <c r="AX8" t="str">
        <f>_xlfn.XLOOKUP(AU8, 'Project Overview'!B:B, 'Project Overview'!I:I, "not found")</f>
        <v>EPC</v>
      </c>
      <c r="AY8" s="215">
        <f t="shared" si="1"/>
        <v>1</v>
      </c>
    </row>
    <row r="9" spans="1:51" x14ac:dyDescent="0.3">
      <c r="J9" s="7" t="s">
        <v>17</v>
      </c>
      <c r="K9">
        <v>4</v>
      </c>
      <c r="M9" s="7">
        <v>2032</v>
      </c>
      <c r="N9">
        <v>3</v>
      </c>
      <c r="P9" s="7" t="s">
        <v>1114</v>
      </c>
      <c r="Q9">
        <v>5</v>
      </c>
      <c r="T9" s="234" t="b">
        <v>0</v>
      </c>
      <c r="U9" t="s">
        <v>1426</v>
      </c>
      <c r="V9" t="s">
        <v>1391</v>
      </c>
      <c r="W9" t="str">
        <f ca="1">_xlfn.XLOOKUP(U9, 'Project Overview'!B:B, 'Project Overview'!Y:Y, "not found")</f>
        <v>no</v>
      </c>
      <c r="X9" t="str">
        <f>_xlfn.XLOOKUP(U9, 'Project Overview'!B:B, 'Project Overview'!I:I, "not found")</f>
        <v>EPC</v>
      </c>
      <c r="Z9" t="s">
        <v>1419</v>
      </c>
      <c r="AA9" t="s">
        <v>1392</v>
      </c>
      <c r="AB9" t="str">
        <f ca="1">_xlfn.XLOOKUP(Z9, 'Project Overview'!B:B, 'Project Overview'!Y:Y, "not found")</f>
        <v>no</v>
      </c>
      <c r="AC9" t="str">
        <f>_xlfn.XLOOKUP(Z9, 'Project Overview'!B:B, 'Project Overview'!I:I, "not found")</f>
        <v>ESCO BUYOUT</v>
      </c>
      <c r="AD9">
        <f t="shared" si="0"/>
        <v>1</v>
      </c>
      <c r="AE9" t="str">
        <f>_xlfn.XLOOKUP(Z9, 'Project Overview'!B:B, 'Project Overview'!N:N, "not found")</f>
        <v>no</v>
      </c>
      <c r="AH9">
        <v>7</v>
      </c>
      <c r="AI9" t="s">
        <v>1417</v>
      </c>
      <c r="AJ9" t="s">
        <v>1392</v>
      </c>
      <c r="AK9" t="str">
        <f ca="1">_xlfn.XLOOKUP(AI9, 'Project Overview'!B:B, 'Project Overview'!Y:Y, "not found")</f>
        <v>no</v>
      </c>
      <c r="AL9" t="str">
        <f>_xlfn.XLOOKUP(AI9, 'Project Overview'!B:B, 'Project Overview'!I:I, "not found")</f>
        <v>EPC</v>
      </c>
      <c r="AM9" s="215">
        <f t="shared" si="2"/>
        <v>0</v>
      </c>
      <c r="AO9" s="270" t="s">
        <v>1418</v>
      </c>
      <c r="AP9" t="s">
        <v>1392</v>
      </c>
      <c r="AQ9" t="str">
        <f ca="1">_xlfn.XLOOKUP(AO9, 'Project Overview'!B:B, 'Project Overview'!Y:Y, "not found")</f>
        <v>no</v>
      </c>
      <c r="AR9" t="str">
        <f>_xlfn.XLOOKUP(AO9, 'Project Overview'!B:B, 'Project Overview'!I:I, "not found")</f>
        <v>EPC</v>
      </c>
      <c r="AS9" s="215">
        <f t="shared" si="3"/>
        <v>1</v>
      </c>
      <c r="AU9" t="s">
        <v>1419</v>
      </c>
      <c r="AV9" t="s">
        <v>1392</v>
      </c>
      <c r="AW9" t="str">
        <f ca="1">_xlfn.XLOOKUP(AO9, 'Project Overview'!B:B, 'Project Overview'!Y:Y, "not found")</f>
        <v>no</v>
      </c>
      <c r="AX9" t="str">
        <f>_xlfn.XLOOKUP(AU9, 'Project Overview'!B:B, 'Project Overview'!I:I, "not found")</f>
        <v>ESCO BUYOUT</v>
      </c>
      <c r="AY9" s="215">
        <f t="shared" si="1"/>
        <v>1</v>
      </c>
    </row>
    <row r="10" spans="1:51" x14ac:dyDescent="0.3">
      <c r="J10" s="7" t="s">
        <v>51</v>
      </c>
      <c r="K10">
        <v>4</v>
      </c>
      <c r="M10" s="7">
        <v>2033</v>
      </c>
      <c r="N10">
        <v>7</v>
      </c>
      <c r="P10" s="7" t="s">
        <v>78</v>
      </c>
      <c r="Q10">
        <v>3</v>
      </c>
      <c r="T10" s="234" t="b">
        <v>0</v>
      </c>
      <c r="U10" t="s">
        <v>1428</v>
      </c>
      <c r="V10" t="s">
        <v>1391</v>
      </c>
      <c r="W10" t="str">
        <f ca="1">_xlfn.XLOOKUP(U10, 'Project Overview'!B:B, 'Project Overview'!Y:Y, "not found")</f>
        <v>no</v>
      </c>
      <c r="X10" t="str">
        <f>_xlfn.XLOOKUP(U10, 'Project Overview'!B:B, 'Project Overview'!I:I, "not found")</f>
        <v>EPC</v>
      </c>
      <c r="Z10" t="s">
        <v>1420</v>
      </c>
      <c r="AA10" t="s">
        <v>1392</v>
      </c>
      <c r="AB10" t="str">
        <f ca="1">_xlfn.XLOOKUP(Z10, 'Project Overview'!B:B, 'Project Overview'!Y:Y, "not found")</f>
        <v>no</v>
      </c>
      <c r="AC10" t="str">
        <f>_xlfn.XLOOKUP(Z10, 'Project Overview'!B:B, 'Project Overview'!I:I, "not found")</f>
        <v>EPC</v>
      </c>
      <c r="AD10">
        <f t="shared" si="0"/>
        <v>1</v>
      </c>
      <c r="AE10" t="str">
        <f>_xlfn.XLOOKUP(Z10, 'Project Overview'!B:B, 'Project Overview'!N:N, "not found")</f>
        <v>no</v>
      </c>
      <c r="AH10">
        <v>8</v>
      </c>
      <c r="AI10" t="s">
        <v>363</v>
      </c>
      <c r="AJ10" t="s">
        <v>1392</v>
      </c>
      <c r="AK10" t="str">
        <f ca="1">_xlfn.XLOOKUP(AI10, 'Project Overview'!B:B, 'Project Overview'!Y:Y, "not found")</f>
        <v>no</v>
      </c>
      <c r="AL10" t="str">
        <f>_xlfn.XLOOKUP(AI10, 'Project Overview'!B:B, 'Project Overview'!I:I, "not found")</f>
        <v>EPC</v>
      </c>
      <c r="AM10" s="215">
        <f t="shared" si="2"/>
        <v>0</v>
      </c>
      <c r="AO10" s="270" t="s">
        <v>1419</v>
      </c>
      <c r="AP10" t="s">
        <v>1392</v>
      </c>
      <c r="AQ10" t="str">
        <f ca="1">_xlfn.XLOOKUP(AO10, 'Project Overview'!B:B, 'Project Overview'!Y:Y, "not found")</f>
        <v>no</v>
      </c>
      <c r="AR10" t="str">
        <f>_xlfn.XLOOKUP(AO10, 'Project Overview'!B:B, 'Project Overview'!I:I, "not found")</f>
        <v>ESCO BUYOUT</v>
      </c>
      <c r="AS10" s="215">
        <f t="shared" si="3"/>
        <v>1</v>
      </c>
      <c r="AU10" t="s">
        <v>627</v>
      </c>
      <c r="AV10" t="s">
        <v>1392</v>
      </c>
      <c r="AW10" t="str">
        <f ca="1">_xlfn.XLOOKUP(AO10, 'Project Overview'!B:B, 'Project Overview'!Y:Y, "not found")</f>
        <v>no</v>
      </c>
      <c r="AX10" t="str">
        <f>_xlfn.XLOOKUP(AU10, 'Project Overview'!B:B, 'Project Overview'!I:I, "not found")</f>
        <v>ESCO</v>
      </c>
      <c r="AY10" s="215">
        <f t="shared" si="1"/>
        <v>1</v>
      </c>
    </row>
    <row r="11" spans="1:51" x14ac:dyDescent="0.3">
      <c r="J11" s="7" t="s">
        <v>19</v>
      </c>
      <c r="K11">
        <v>4</v>
      </c>
      <c r="M11" s="7">
        <v>2034</v>
      </c>
      <c r="N11">
        <v>3</v>
      </c>
      <c r="P11" s="7" t="s">
        <v>208</v>
      </c>
      <c r="Q11">
        <v>5</v>
      </c>
      <c r="T11" s="234" t="b">
        <v>0</v>
      </c>
      <c r="U11" t="s">
        <v>306</v>
      </c>
      <c r="V11" t="s">
        <v>1391</v>
      </c>
      <c r="W11" t="str">
        <f ca="1">_xlfn.XLOOKUP(U11, 'Project Overview'!B:B, 'Project Overview'!Y:Y, "not found")</f>
        <v>no</v>
      </c>
      <c r="X11" t="str">
        <f>_xlfn.XLOOKUP(U11, 'Project Overview'!B:B, 'Project Overview'!I:I, "not found")</f>
        <v>EPC</v>
      </c>
      <c r="Z11" t="s">
        <v>1421</v>
      </c>
      <c r="AA11" t="s">
        <v>1392</v>
      </c>
      <c r="AB11" t="str">
        <f ca="1">_xlfn.XLOOKUP(Z11, 'Project Overview'!B:B, 'Project Overview'!Y:Y, "not found")</f>
        <v>yes</v>
      </c>
      <c r="AC11" t="str">
        <f>_xlfn.XLOOKUP(Z11, 'Project Overview'!B:B, 'Project Overview'!I:I, "not found")</f>
        <v>ESCO</v>
      </c>
      <c r="AD11">
        <f t="shared" si="0"/>
        <v>1</v>
      </c>
      <c r="AE11" t="str">
        <f>_xlfn.XLOOKUP(Z11, 'Project Overview'!B:B, 'Project Overview'!N:N, "not found")</f>
        <v>yes</v>
      </c>
      <c r="AH11">
        <v>9</v>
      </c>
      <c r="AI11" t="s">
        <v>281</v>
      </c>
      <c r="AJ11" t="s">
        <v>1392</v>
      </c>
      <c r="AK11" t="str">
        <f ca="1">_xlfn.XLOOKUP(AI11, 'Project Overview'!B:B, 'Project Overview'!Y:Y, "not found")</f>
        <v>no</v>
      </c>
      <c r="AL11" t="str">
        <f>_xlfn.XLOOKUP(AI11, 'Project Overview'!B:B, 'Project Overview'!I:I, "not found")</f>
        <v>EPC</v>
      </c>
      <c r="AM11" s="215">
        <f t="shared" si="2"/>
        <v>0</v>
      </c>
      <c r="AO11" s="270" t="s">
        <v>627</v>
      </c>
      <c r="AP11" t="s">
        <v>1392</v>
      </c>
      <c r="AQ11" t="str">
        <f ca="1">_xlfn.XLOOKUP(AO11, 'Project Overview'!B:B, 'Project Overview'!Y:Y, "not found")</f>
        <v>yes</v>
      </c>
      <c r="AR11" t="str">
        <f>_xlfn.XLOOKUP(AO11, 'Project Overview'!B:B, 'Project Overview'!I:I, "not found")</f>
        <v>ESCO</v>
      </c>
      <c r="AS11" s="215">
        <f t="shared" si="3"/>
        <v>1</v>
      </c>
      <c r="AU11" s="269" t="s">
        <v>1420</v>
      </c>
      <c r="AV11" t="s">
        <v>1392</v>
      </c>
      <c r="AW11" t="str">
        <f ca="1">_xlfn.XLOOKUP(AO11, 'Project Overview'!B:B, 'Project Overview'!Y:Y, "not found")</f>
        <v>yes</v>
      </c>
      <c r="AX11" t="str">
        <f>_xlfn.XLOOKUP(AU11, 'Project Overview'!B:B, 'Project Overview'!I:I, "not found")</f>
        <v>EPC</v>
      </c>
      <c r="AY11" s="215">
        <f t="shared" si="1"/>
        <v>1</v>
      </c>
    </row>
    <row r="12" spans="1:51" x14ac:dyDescent="0.3">
      <c r="J12" s="7" t="s">
        <v>20</v>
      </c>
      <c r="K12">
        <v>3</v>
      </c>
      <c r="M12" s="7">
        <v>2035</v>
      </c>
      <c r="N12">
        <v>7</v>
      </c>
      <c r="P12" s="7" t="s">
        <v>393</v>
      </c>
      <c r="Q12">
        <v>2</v>
      </c>
      <c r="T12" s="234" t="b">
        <v>0</v>
      </c>
      <c r="U12" t="s">
        <v>301</v>
      </c>
      <c r="V12" t="s">
        <v>1391</v>
      </c>
      <c r="W12" t="str">
        <f ca="1">_xlfn.XLOOKUP(U12, 'Project Overview'!B:B, 'Project Overview'!Y:Y, "not found")</f>
        <v>yes</v>
      </c>
      <c r="X12" t="str">
        <f>_xlfn.XLOOKUP(U12, 'Project Overview'!B:B, 'Project Overview'!I:I, "not found")</f>
        <v>ESCO</v>
      </c>
      <c r="Z12" t="s">
        <v>244</v>
      </c>
      <c r="AA12" t="s">
        <v>1392</v>
      </c>
      <c r="AB12" t="str">
        <f ca="1">_xlfn.XLOOKUP(Z12, 'Project Overview'!B:B, 'Project Overview'!Y:Y, "not found")</f>
        <v>yes</v>
      </c>
      <c r="AC12" t="str">
        <f>_xlfn.XLOOKUP(Z12, 'Project Overview'!B:B, 'Project Overview'!I:I, "not found")</f>
        <v>ESCO</v>
      </c>
      <c r="AD12">
        <f t="shared" si="0"/>
        <v>1</v>
      </c>
      <c r="AE12" t="str">
        <f>_xlfn.XLOOKUP(Z12, 'Project Overview'!B:B, 'Project Overview'!N:N, "not found")</f>
        <v>yes</v>
      </c>
      <c r="AH12">
        <v>10</v>
      </c>
      <c r="AI12" s="272" t="s">
        <v>605</v>
      </c>
      <c r="AJ12" t="s">
        <v>1392</v>
      </c>
      <c r="AK12" t="str">
        <f ca="1">_xlfn.XLOOKUP(AI12, 'Project Overview'!B:B, 'Project Overview'!Y:Y, "not found")</f>
        <v>no</v>
      </c>
      <c r="AL12" t="str">
        <f>_xlfn.XLOOKUP(AI12, 'Project Overview'!B:B, 'Project Overview'!I:I, "not found")</f>
        <v>EPC</v>
      </c>
      <c r="AM12" s="215">
        <f t="shared" si="2"/>
        <v>0</v>
      </c>
      <c r="AO12" s="270" t="s">
        <v>1420</v>
      </c>
      <c r="AP12" t="s">
        <v>1392</v>
      </c>
      <c r="AQ12" t="str">
        <f ca="1">_xlfn.XLOOKUP(AO12, 'Project Overview'!B:B, 'Project Overview'!Y:Y, "not found")</f>
        <v>no</v>
      </c>
      <c r="AR12" t="str">
        <f>_xlfn.XLOOKUP(AO12, 'Project Overview'!B:B, 'Project Overview'!I:I, "not found")</f>
        <v>EPC</v>
      </c>
      <c r="AS12" s="215">
        <f t="shared" si="3"/>
        <v>1</v>
      </c>
      <c r="AU12" s="270" t="s">
        <v>1421</v>
      </c>
      <c r="AV12" t="s">
        <v>1392</v>
      </c>
      <c r="AW12" t="str">
        <f ca="1">_xlfn.XLOOKUP(AO12, 'Project Overview'!B:B, 'Project Overview'!Y:Y, "not found")</f>
        <v>no</v>
      </c>
      <c r="AX12" t="str">
        <f>_xlfn.XLOOKUP(AU12, 'Project Overview'!B:B, 'Project Overview'!I:I, "not found")</f>
        <v>ESCO</v>
      </c>
      <c r="AY12" s="215">
        <f t="shared" si="1"/>
        <v>1</v>
      </c>
    </row>
    <row r="13" spans="1:51" x14ac:dyDescent="0.3">
      <c r="J13" s="7" t="s">
        <v>1248</v>
      </c>
      <c r="K13">
        <v>3</v>
      </c>
      <c r="M13" s="7">
        <v>2036</v>
      </c>
      <c r="N13">
        <v>10</v>
      </c>
      <c r="P13" s="7" t="s">
        <v>1390</v>
      </c>
      <c r="Q13">
        <v>4</v>
      </c>
      <c r="T13" s="234" t="b">
        <v>0</v>
      </c>
      <c r="U13" t="s">
        <v>230</v>
      </c>
      <c r="V13" t="s">
        <v>1391</v>
      </c>
      <c r="W13" t="str">
        <f ca="1">_xlfn.XLOOKUP(U13, 'Project Overview'!B:B, 'Project Overview'!Y:Y, "not found")</f>
        <v>no</v>
      </c>
      <c r="X13" t="str">
        <f>_xlfn.XLOOKUP(U13, 'Project Overview'!B:B, 'Project Overview'!I:I, "not found")</f>
        <v>ESCO BUYOUT</v>
      </c>
      <c r="Z13" t="s">
        <v>244</v>
      </c>
      <c r="AA13" t="s">
        <v>1392</v>
      </c>
      <c r="AB13" t="str">
        <f ca="1">_xlfn.XLOOKUP(Z13, 'Project Overview'!B:B, 'Project Overview'!Y:Y, "not found")</f>
        <v>yes</v>
      </c>
      <c r="AC13" t="str">
        <f>_xlfn.XLOOKUP(Z13, 'Project Overview'!B:B, 'Project Overview'!I:I, "not found")</f>
        <v>ESCO</v>
      </c>
      <c r="AD13">
        <f t="shared" si="0"/>
        <v>1</v>
      </c>
      <c r="AE13" t="str">
        <f>_xlfn.XLOOKUP(Z13, 'Project Overview'!B:B, 'Project Overview'!N:N, "not found")</f>
        <v>yes</v>
      </c>
      <c r="AH13">
        <v>11</v>
      </c>
      <c r="AI13" s="270" t="s">
        <v>888</v>
      </c>
      <c r="AJ13" t="s">
        <v>1392</v>
      </c>
      <c r="AK13" t="str">
        <f ca="1">_xlfn.XLOOKUP(AI13, 'Project Overview'!B:B, 'Project Overview'!Y:Y, "not found")</f>
        <v>no</v>
      </c>
      <c r="AL13" t="str">
        <f>_xlfn.XLOOKUP(AI13, 'Project Overview'!B:B, 'Project Overview'!I:I, "not found")</f>
        <v>EPC</v>
      </c>
      <c r="AM13" s="215">
        <f t="shared" si="2"/>
        <v>1</v>
      </c>
      <c r="AO13" s="270" t="s">
        <v>1421</v>
      </c>
      <c r="AP13" t="s">
        <v>1392</v>
      </c>
      <c r="AQ13" t="str">
        <f ca="1">_xlfn.XLOOKUP(AO13, 'Project Overview'!B:B, 'Project Overview'!Y:Y, "not found")</f>
        <v>yes</v>
      </c>
      <c r="AR13" t="str">
        <f>_xlfn.XLOOKUP(AO13, 'Project Overview'!B:B, 'Project Overview'!I:I, "not found")</f>
        <v>ESCO</v>
      </c>
      <c r="AS13" s="215">
        <f t="shared" si="3"/>
        <v>1</v>
      </c>
      <c r="AU13" t="s">
        <v>345</v>
      </c>
      <c r="AV13" t="s">
        <v>1392</v>
      </c>
      <c r="AW13" t="str">
        <f ca="1">_xlfn.XLOOKUP(AO13, 'Project Overview'!B:B, 'Project Overview'!Y:Y, "not found")</f>
        <v>yes</v>
      </c>
      <c r="AX13" t="str">
        <f>_xlfn.XLOOKUP(AU13, 'Project Overview'!B:B, 'Project Overview'!I:I, "not found")</f>
        <v>ESCO</v>
      </c>
      <c r="AY13" s="215">
        <f t="shared" si="1"/>
        <v>1</v>
      </c>
    </row>
    <row r="14" spans="1:51" x14ac:dyDescent="0.3">
      <c r="J14" s="7" t="s">
        <v>375</v>
      </c>
      <c r="K14">
        <v>2</v>
      </c>
      <c r="M14" s="7">
        <v>2037</v>
      </c>
      <c r="N14">
        <v>5</v>
      </c>
      <c r="P14" s="230" t="s">
        <v>999</v>
      </c>
      <c r="Q14">
        <v>1</v>
      </c>
      <c r="T14" s="234" t="b">
        <v>1</v>
      </c>
      <c r="U14" t="s">
        <v>58</v>
      </c>
      <c r="V14" t="s">
        <v>1391</v>
      </c>
      <c r="W14" t="str">
        <f ca="1">_xlfn.XLOOKUP(U14, 'Project Overview'!B:B, 'Project Overview'!Y:Y, "not found")</f>
        <v>yes</v>
      </c>
      <c r="X14" t="str">
        <f>_xlfn.XLOOKUP(U14, 'Project Overview'!B:B, 'Project Overview'!I:I, "not found")</f>
        <v>ESCO</v>
      </c>
      <c r="Z14" t="s">
        <v>345</v>
      </c>
      <c r="AA14" t="s">
        <v>1392</v>
      </c>
      <c r="AB14" t="str">
        <f ca="1">_xlfn.XLOOKUP(Z14, 'Project Overview'!B:B, 'Project Overview'!Y:Y, "not found")</f>
        <v>yes</v>
      </c>
      <c r="AC14" t="str">
        <f>_xlfn.XLOOKUP(Z14, 'Project Overview'!B:B, 'Project Overview'!I:I, "not found")</f>
        <v>ESCO</v>
      </c>
      <c r="AD14">
        <f t="shared" si="0"/>
        <v>1</v>
      </c>
      <c r="AE14" t="str">
        <f>_xlfn.XLOOKUP(Z14, 'Project Overview'!B:B, 'Project Overview'!N:N, "not found")</f>
        <v>yes</v>
      </c>
      <c r="AH14">
        <v>12</v>
      </c>
      <c r="AI14" s="269" t="s">
        <v>1418</v>
      </c>
      <c r="AJ14" t="s">
        <v>1392</v>
      </c>
      <c r="AK14" t="str">
        <f ca="1">_xlfn.XLOOKUP(AI14, 'Project Overview'!B:B, 'Project Overview'!Y:Y, "not found")</f>
        <v>no</v>
      </c>
      <c r="AL14" t="str">
        <f>_xlfn.XLOOKUP(AI14, 'Project Overview'!B:B, 'Project Overview'!I:I, "not found")</f>
        <v>EPC</v>
      </c>
      <c r="AM14" s="215">
        <f t="shared" si="2"/>
        <v>1</v>
      </c>
      <c r="AO14" s="270" t="s">
        <v>345</v>
      </c>
      <c r="AP14" t="s">
        <v>1392</v>
      </c>
      <c r="AQ14" t="str">
        <f ca="1">_xlfn.XLOOKUP(AO14, 'Project Overview'!B:B, 'Project Overview'!Y:Y, "not found")</f>
        <v>yes</v>
      </c>
      <c r="AR14" t="str">
        <f>_xlfn.XLOOKUP(AO14, 'Project Overview'!B:B, 'Project Overview'!I:I, "not found")</f>
        <v>ESCO</v>
      </c>
      <c r="AS14" s="215">
        <f t="shared" si="3"/>
        <v>1</v>
      </c>
      <c r="AU14" t="s">
        <v>714</v>
      </c>
      <c r="AV14" t="s">
        <v>1392</v>
      </c>
      <c r="AW14" t="str">
        <f ca="1">_xlfn.XLOOKUP(AO14, 'Project Overview'!B:B, 'Project Overview'!Y:Y, "not found")</f>
        <v>yes</v>
      </c>
      <c r="AX14" t="str">
        <f>_xlfn.XLOOKUP(AU14, 'Project Overview'!B:B, 'Project Overview'!I:I, "not found")</f>
        <v>EPC</v>
      </c>
      <c r="AY14" s="215">
        <f t="shared" si="1"/>
        <v>1</v>
      </c>
    </row>
    <row r="15" spans="1:51" x14ac:dyDescent="0.3">
      <c r="J15" s="7" t="s">
        <v>571</v>
      </c>
      <c r="K15">
        <v>2</v>
      </c>
      <c r="M15" s="7">
        <v>2038</v>
      </c>
      <c r="N15">
        <v>16</v>
      </c>
      <c r="P15" s="231">
        <v>195</v>
      </c>
      <c r="Q15">
        <v>1</v>
      </c>
      <c r="T15" s="234" t="b">
        <v>0</v>
      </c>
      <c r="U15" t="s">
        <v>168</v>
      </c>
      <c r="V15" t="s">
        <v>1391</v>
      </c>
      <c r="W15" t="str">
        <f ca="1">_xlfn.XLOOKUP(U15, 'Project Overview'!B:B, 'Project Overview'!Y:Y, "not found")</f>
        <v>no</v>
      </c>
      <c r="X15" t="str">
        <f>_xlfn.XLOOKUP(U15, 'Project Overview'!B:B, 'Project Overview'!I:I, "not found")</f>
        <v>ESCO BUYOUT</v>
      </c>
      <c r="Z15" t="s">
        <v>714</v>
      </c>
      <c r="AA15" t="s">
        <v>1392</v>
      </c>
      <c r="AB15" t="str">
        <f ca="1">_xlfn.XLOOKUP(Z15, 'Project Overview'!B:B, 'Project Overview'!Y:Y, "not found")</f>
        <v>no</v>
      </c>
      <c r="AC15" t="str">
        <f>_xlfn.XLOOKUP(Z15, 'Project Overview'!B:B, 'Project Overview'!I:I, "not found")</f>
        <v>EPC</v>
      </c>
      <c r="AD15">
        <f t="shared" si="0"/>
        <v>1</v>
      </c>
      <c r="AE15" t="str">
        <f>_xlfn.XLOOKUP(Z15, 'Project Overview'!B:B, 'Project Overview'!N:N, "not found")</f>
        <v>no</v>
      </c>
      <c r="AH15">
        <v>13</v>
      </c>
      <c r="AI15" s="270" t="s">
        <v>1419</v>
      </c>
      <c r="AJ15" t="s">
        <v>1392</v>
      </c>
      <c r="AK15" t="str">
        <f ca="1">_xlfn.XLOOKUP(AI15, 'Project Overview'!B:B, 'Project Overview'!Y:Y, "not found")</f>
        <v>no</v>
      </c>
      <c r="AL15" t="str">
        <f>_xlfn.XLOOKUP(AI15, 'Project Overview'!B:B, 'Project Overview'!I:I, "not found")</f>
        <v>ESCO BUYOUT</v>
      </c>
      <c r="AM15" s="215">
        <f t="shared" si="2"/>
        <v>1</v>
      </c>
      <c r="AO15" s="270" t="s">
        <v>714</v>
      </c>
      <c r="AP15" t="s">
        <v>1392</v>
      </c>
      <c r="AQ15" t="str">
        <f ca="1">_xlfn.XLOOKUP(AO15, 'Project Overview'!B:B, 'Project Overview'!Y:Y, "not found")</f>
        <v>no</v>
      </c>
      <c r="AR15" t="str">
        <f>_xlfn.XLOOKUP(AO15, 'Project Overview'!B:B, 'Project Overview'!I:I, "not found")</f>
        <v>EPC</v>
      </c>
      <c r="AS15" s="215">
        <f t="shared" si="3"/>
        <v>1</v>
      </c>
      <c r="AU15" s="280" t="s">
        <v>1422</v>
      </c>
      <c r="AV15" t="s">
        <v>1392</v>
      </c>
      <c r="AW15" t="str">
        <f ca="1">_xlfn.XLOOKUP(AO15, 'Project Overview'!B:B, 'Project Overview'!Y:Y, "not found")</f>
        <v>no</v>
      </c>
      <c r="AX15" t="str">
        <f>_xlfn.XLOOKUP(AU15, 'Project Overview'!B:B, 'Project Overview'!I:I, "not found")</f>
        <v>EPC</v>
      </c>
      <c r="AY15" s="215">
        <f t="shared" si="1"/>
        <v>1</v>
      </c>
    </row>
    <row r="16" spans="1:51" x14ac:dyDescent="0.3">
      <c r="J16" s="7" t="s">
        <v>68</v>
      </c>
      <c r="K16">
        <v>2</v>
      </c>
      <c r="M16" s="7">
        <v>2039</v>
      </c>
      <c r="N16">
        <v>5</v>
      </c>
      <c r="P16" s="230" t="s">
        <v>1054</v>
      </c>
      <c r="Q16">
        <v>1</v>
      </c>
      <c r="T16" s="234" t="b">
        <v>0</v>
      </c>
      <c r="U16" t="s">
        <v>1427</v>
      </c>
      <c r="V16" t="s">
        <v>1391</v>
      </c>
      <c r="W16" t="str">
        <f ca="1">_xlfn.XLOOKUP(U16, 'Project Overview'!B:B, 'Project Overview'!Y:Y, "not found")</f>
        <v>no</v>
      </c>
      <c r="X16" t="str">
        <f>_xlfn.XLOOKUP(U16, 'Project Overview'!B:B, 'Project Overview'!I:I, "not found")</f>
        <v>EPC</v>
      </c>
      <c r="Z16" t="s">
        <v>1422</v>
      </c>
      <c r="AA16" t="s">
        <v>1392</v>
      </c>
      <c r="AB16" t="str">
        <f ca="1">_xlfn.XLOOKUP(Z16, 'Project Overview'!B:B, 'Project Overview'!Y:Y, "not found")</f>
        <v>no</v>
      </c>
      <c r="AC16" t="str">
        <f>_xlfn.XLOOKUP(Z16, 'Project Overview'!B:B, 'Project Overview'!I:I, "not found")</f>
        <v>EPC</v>
      </c>
      <c r="AD16">
        <f t="shared" si="0"/>
        <v>1</v>
      </c>
      <c r="AE16" t="str">
        <f>_xlfn.XLOOKUP(Z16, 'Project Overview'!B:B, 'Project Overview'!N:N, "not found")</f>
        <v>no</v>
      </c>
      <c r="AH16">
        <v>14</v>
      </c>
      <c r="AI16" t="s">
        <v>627</v>
      </c>
      <c r="AJ16" t="s">
        <v>1392</v>
      </c>
      <c r="AK16" t="str">
        <f ca="1">_xlfn.XLOOKUP(AI16, 'Project Overview'!B:B, 'Project Overview'!Y:Y, "not found")</f>
        <v>yes</v>
      </c>
      <c r="AL16" t="str">
        <f>_xlfn.XLOOKUP(AI16, 'Project Overview'!B:B, 'Project Overview'!I:I, "not found")</f>
        <v>ESCO</v>
      </c>
      <c r="AM16" s="215">
        <f t="shared" si="2"/>
        <v>0</v>
      </c>
      <c r="AO16" s="270" t="s">
        <v>1422</v>
      </c>
      <c r="AP16" t="s">
        <v>1392</v>
      </c>
      <c r="AQ16" t="str">
        <f ca="1">_xlfn.XLOOKUP(AO16, 'Project Overview'!B:B, 'Project Overview'!Y:Y, "not found")</f>
        <v>no</v>
      </c>
      <c r="AR16" t="str">
        <f>_xlfn.XLOOKUP(AO16, 'Project Overview'!B:B, 'Project Overview'!I:I, "not found")</f>
        <v>EPC</v>
      </c>
      <c r="AS16" s="215">
        <f t="shared" si="3"/>
        <v>1</v>
      </c>
      <c r="AU16" s="270" t="s">
        <v>230</v>
      </c>
      <c r="AV16" t="s">
        <v>1391</v>
      </c>
      <c r="AW16" t="str">
        <f ca="1">_xlfn.XLOOKUP(AO16, 'Project Overview'!B:B, 'Project Overview'!Y:Y, "not found")</f>
        <v>no</v>
      </c>
      <c r="AX16" t="str">
        <f>_xlfn.XLOOKUP(AU16, 'Project Overview'!B:B, 'Project Overview'!I:I, "not found")</f>
        <v>ESCO BUYOUT</v>
      </c>
      <c r="AY16" s="215">
        <f t="shared" si="1"/>
        <v>1</v>
      </c>
    </row>
    <row r="17" spans="10:51" x14ac:dyDescent="0.3">
      <c r="J17" s="7" t="s">
        <v>93</v>
      </c>
      <c r="K17">
        <v>2</v>
      </c>
      <c r="M17" s="7">
        <v>2041</v>
      </c>
      <c r="N17">
        <v>2</v>
      </c>
      <c r="P17" s="231">
        <v>205</v>
      </c>
      <c r="Q17">
        <v>1</v>
      </c>
      <c r="T17" s="234" t="b">
        <v>0</v>
      </c>
      <c r="U17" t="s">
        <v>448</v>
      </c>
      <c r="V17" t="s">
        <v>1391</v>
      </c>
      <c r="W17" t="str">
        <f ca="1">_xlfn.XLOOKUP(U17, 'Project Overview'!B:B, 'Project Overview'!Y:Y, "not found")</f>
        <v>no</v>
      </c>
      <c r="X17" t="str">
        <f>_xlfn.XLOOKUP(U17, 'Project Overview'!B:B, 'Project Overview'!I:I, "not found")</f>
        <v>EPC</v>
      </c>
      <c r="Z17" t="s">
        <v>230</v>
      </c>
      <c r="AA17" t="s">
        <v>1391</v>
      </c>
      <c r="AB17" t="str">
        <f ca="1">_xlfn.XLOOKUP(Z17, 'Project Overview'!B:B, 'Project Overview'!Y:Y, "not found")</f>
        <v>no</v>
      </c>
      <c r="AC17" t="str">
        <f>_xlfn.XLOOKUP(Z17, 'Project Overview'!B:B, 'Project Overview'!I:I, "not found")</f>
        <v>ESCO BUYOUT</v>
      </c>
      <c r="AD17">
        <f t="shared" si="0"/>
        <v>1</v>
      </c>
      <c r="AE17" t="str">
        <f>_xlfn.XLOOKUP(Z17, 'Project Overview'!B:B, 'Project Overview'!N:N, "not found")</f>
        <v>no</v>
      </c>
      <c r="AH17">
        <v>15</v>
      </c>
      <c r="AI17" t="s">
        <v>562</v>
      </c>
      <c r="AJ17" t="s">
        <v>1392</v>
      </c>
      <c r="AK17" t="str">
        <f ca="1">_xlfn.XLOOKUP(AI17, 'Project Overview'!B:B, 'Project Overview'!Y:Y, "not found")</f>
        <v>yes</v>
      </c>
      <c r="AL17" t="str">
        <f>_xlfn.XLOOKUP(AI17, 'Project Overview'!B:B, 'Project Overview'!I:I, "not found")</f>
        <v>ESCO</v>
      </c>
      <c r="AM17" s="215">
        <f t="shared" si="2"/>
        <v>0</v>
      </c>
      <c r="AO17" s="270" t="s">
        <v>230</v>
      </c>
      <c r="AP17" t="s">
        <v>1391</v>
      </c>
      <c r="AQ17" t="str">
        <f ca="1">_xlfn.XLOOKUP(AO17, 'Project Overview'!B:B, 'Project Overview'!Y:Y, "not found")</f>
        <v>no</v>
      </c>
      <c r="AR17" t="str">
        <f>_xlfn.XLOOKUP(AO17, 'Project Overview'!B:B, 'Project Overview'!I:I, "not found")</f>
        <v>ESCO BUYOUT</v>
      </c>
      <c r="AS17" s="215">
        <f t="shared" si="3"/>
        <v>1</v>
      </c>
      <c r="AU17" s="269" t="s">
        <v>927</v>
      </c>
      <c r="AV17" t="s">
        <v>1391</v>
      </c>
      <c r="AW17" t="str">
        <f ca="1">_xlfn.XLOOKUP(AO17, 'Project Overview'!B:B, 'Project Overview'!Y:Y, "not found")</f>
        <v>no</v>
      </c>
      <c r="AX17" t="str">
        <f>_xlfn.XLOOKUP(AU17, 'Project Overview'!B:B, 'Project Overview'!I:I, "not found")</f>
        <v>EPC</v>
      </c>
      <c r="AY17" s="215">
        <f t="shared" si="1"/>
        <v>1</v>
      </c>
    </row>
    <row r="18" spans="10:51" x14ac:dyDescent="0.3">
      <c r="J18" s="7" t="s">
        <v>18</v>
      </c>
      <c r="K18">
        <v>2</v>
      </c>
      <c r="M18" s="7">
        <v>2043</v>
      </c>
      <c r="N18">
        <v>1</v>
      </c>
      <c r="P18" s="230" t="s">
        <v>1039</v>
      </c>
      <c r="Q18">
        <v>1</v>
      </c>
      <c r="T18" s="234" t="b">
        <v>0</v>
      </c>
      <c r="U18" t="s">
        <v>1423</v>
      </c>
      <c r="V18" t="s">
        <v>1391</v>
      </c>
      <c r="W18" t="str">
        <f ca="1">_xlfn.XLOOKUP(U18, 'Project Overview'!B:B, 'Project Overview'!Y:Y, "not found")</f>
        <v>no</v>
      </c>
      <c r="X18" t="str">
        <f>_xlfn.XLOOKUP(U18, 'Project Overview'!B:B, 'Project Overview'!I:I, "not found")</f>
        <v>EPC</v>
      </c>
      <c r="Z18" t="s">
        <v>1103</v>
      </c>
      <c r="AA18" t="s">
        <v>1391</v>
      </c>
      <c r="AB18" t="str">
        <f ca="1">_xlfn.XLOOKUP(Z18, 'Project Overview'!B:B, 'Project Overview'!Y:Y, "not found")</f>
        <v>no</v>
      </c>
      <c r="AC18" t="str">
        <f>_xlfn.XLOOKUP(Z18, 'Project Overview'!B:B, 'Project Overview'!I:I, "not found")</f>
        <v>EPC</v>
      </c>
      <c r="AD18">
        <f t="shared" si="0"/>
        <v>1</v>
      </c>
      <c r="AE18" t="str">
        <f>_xlfn.XLOOKUP(Z18, 'Project Overview'!B:B, 'Project Overview'!N:N, "not found")</f>
        <v>no</v>
      </c>
      <c r="AH18">
        <v>16</v>
      </c>
      <c r="AI18" s="269" t="s">
        <v>1420</v>
      </c>
      <c r="AJ18" t="s">
        <v>1392</v>
      </c>
      <c r="AK18" t="str">
        <f ca="1">_xlfn.XLOOKUP(AI18, 'Project Overview'!B:B, 'Project Overview'!Y:Y, "not found")</f>
        <v>no</v>
      </c>
      <c r="AL18" t="str">
        <f>_xlfn.XLOOKUP(AI18, 'Project Overview'!B:B, 'Project Overview'!I:I, "not found")</f>
        <v>EPC</v>
      </c>
      <c r="AM18" s="215">
        <f t="shared" si="2"/>
        <v>1</v>
      </c>
      <c r="AO18" s="270" t="s">
        <v>927</v>
      </c>
      <c r="AP18" t="s">
        <v>1391</v>
      </c>
      <c r="AQ18" t="str">
        <f ca="1">_xlfn.XLOOKUP(AO18, 'Project Overview'!B:B, 'Project Overview'!Y:Y, "not found")</f>
        <v>no</v>
      </c>
      <c r="AR18" t="str">
        <f>_xlfn.XLOOKUP(AO18, 'Project Overview'!B:B, 'Project Overview'!I:I, "not found")</f>
        <v>EPC</v>
      </c>
      <c r="AS18" s="215">
        <f t="shared" si="3"/>
        <v>1</v>
      </c>
      <c r="AU18" s="270" t="s">
        <v>1103</v>
      </c>
      <c r="AV18" t="s">
        <v>1391</v>
      </c>
      <c r="AW18" t="str">
        <f ca="1">_xlfn.XLOOKUP(AO18, 'Project Overview'!B:B, 'Project Overview'!Y:Y, "not found")</f>
        <v>no</v>
      </c>
      <c r="AX18" t="str">
        <f>_xlfn.XLOOKUP(AU18, 'Project Overview'!B:B, 'Project Overview'!I:I, "not found")</f>
        <v>EPC</v>
      </c>
      <c r="AY18" s="215">
        <f t="shared" si="1"/>
        <v>1</v>
      </c>
    </row>
    <row r="19" spans="10:51" x14ac:dyDescent="0.3">
      <c r="J19" s="7" t="s">
        <v>497</v>
      </c>
      <c r="K19">
        <v>2</v>
      </c>
      <c r="M19" s="7" t="s">
        <v>1347</v>
      </c>
      <c r="N19">
        <v>80</v>
      </c>
      <c r="P19" s="231">
        <v>202</v>
      </c>
      <c r="Q19">
        <v>1</v>
      </c>
      <c r="T19" s="234" t="b">
        <v>0</v>
      </c>
      <c r="U19" t="s">
        <v>466</v>
      </c>
      <c r="V19" t="s">
        <v>1391</v>
      </c>
      <c r="W19" t="str">
        <f ca="1">_xlfn.XLOOKUP(U19, 'Project Overview'!B:B, 'Project Overview'!Y:Y, "not found")</f>
        <v>no</v>
      </c>
      <c r="X19" t="str">
        <f>_xlfn.XLOOKUP(U19, 'Project Overview'!B:B, 'Project Overview'!I:I, "not found")</f>
        <v>ESCO BUYOUT</v>
      </c>
      <c r="Z19" t="s">
        <v>301</v>
      </c>
      <c r="AA19" t="s">
        <v>1391</v>
      </c>
      <c r="AB19" t="str">
        <f ca="1">_xlfn.XLOOKUP(Z19, 'Project Overview'!B:B, 'Project Overview'!Y:Y, "not found")</f>
        <v>yes</v>
      </c>
      <c r="AC19" t="str">
        <f>_xlfn.XLOOKUP(Z19, 'Project Overview'!B:B, 'Project Overview'!I:I, "not found")</f>
        <v>ESCO</v>
      </c>
      <c r="AD19">
        <f t="shared" si="0"/>
        <v>1</v>
      </c>
      <c r="AE19" t="str">
        <f>_xlfn.XLOOKUP(Z19, 'Project Overview'!B:B, 'Project Overview'!N:N, "not found")</f>
        <v>yes</v>
      </c>
      <c r="AH19">
        <v>17</v>
      </c>
      <c r="AI19" t="s">
        <v>1421</v>
      </c>
      <c r="AJ19" t="s">
        <v>1392</v>
      </c>
      <c r="AK19" t="str">
        <f ca="1">_xlfn.XLOOKUP(AI19, 'Project Overview'!B:B, 'Project Overview'!Y:Y, "not found")</f>
        <v>yes</v>
      </c>
      <c r="AL19" t="str">
        <f>_xlfn.XLOOKUP(AI19, 'Project Overview'!B:B, 'Project Overview'!I:I, "not found")</f>
        <v>ESCO</v>
      </c>
      <c r="AM19" s="215">
        <f t="shared" si="2"/>
        <v>1</v>
      </c>
      <c r="AO19" s="270" t="s">
        <v>1103</v>
      </c>
      <c r="AP19" t="s">
        <v>1391</v>
      </c>
      <c r="AQ19" t="str">
        <f ca="1">_xlfn.XLOOKUP(AO19, 'Project Overview'!B:B, 'Project Overview'!Y:Y, "not found")</f>
        <v>no</v>
      </c>
      <c r="AR19" t="str">
        <f>_xlfn.XLOOKUP(AO19, 'Project Overview'!B:B, 'Project Overview'!I:I, "not found")</f>
        <v>EPC</v>
      </c>
      <c r="AS19" s="215">
        <f t="shared" si="3"/>
        <v>1</v>
      </c>
      <c r="AU19" t="s">
        <v>301</v>
      </c>
      <c r="AV19" t="s">
        <v>1391</v>
      </c>
      <c r="AW19" t="str">
        <f ca="1">_xlfn.XLOOKUP(AO19, 'Project Overview'!B:B, 'Project Overview'!Y:Y, "not found")</f>
        <v>no</v>
      </c>
      <c r="AX19" t="str">
        <f>_xlfn.XLOOKUP(AU19, 'Project Overview'!B:B, 'Project Overview'!I:I, "not found")</f>
        <v>ESCO</v>
      </c>
      <c r="AY19" s="215">
        <f t="shared" si="1"/>
        <v>1</v>
      </c>
    </row>
    <row r="20" spans="10:51" x14ac:dyDescent="0.3">
      <c r="J20" s="7" t="s">
        <v>365</v>
      </c>
      <c r="K20">
        <v>1</v>
      </c>
      <c r="P20" s="230" t="s">
        <v>1433</v>
      </c>
      <c r="Q20">
        <v>1</v>
      </c>
      <c r="T20" s="234" t="b">
        <v>0</v>
      </c>
      <c r="U20" t="s">
        <v>180</v>
      </c>
      <c r="V20" t="s">
        <v>1391</v>
      </c>
      <c r="W20" t="str">
        <f ca="1">_xlfn.XLOOKUP(U20, 'Project Overview'!B:B, 'Project Overview'!Y:Y, "not found")</f>
        <v>yes</v>
      </c>
      <c r="X20" t="str">
        <f>_xlfn.XLOOKUP(U20, 'Project Overview'!B:B, 'Project Overview'!I:I, "not found")</f>
        <v>EPC</v>
      </c>
      <c r="Z20" t="s">
        <v>466</v>
      </c>
      <c r="AA20" t="s">
        <v>1391</v>
      </c>
      <c r="AB20" t="str">
        <f ca="1">_xlfn.XLOOKUP(Z20, 'Project Overview'!B:B, 'Project Overview'!Y:Y, "not found")</f>
        <v>no</v>
      </c>
      <c r="AC20" t="str">
        <f>_xlfn.XLOOKUP(Z20, 'Project Overview'!B:B, 'Project Overview'!I:I, "not found")</f>
        <v>ESCO BUYOUT</v>
      </c>
      <c r="AD20">
        <f t="shared" si="0"/>
        <v>1</v>
      </c>
      <c r="AE20" t="str">
        <f>_xlfn.XLOOKUP(Z20, 'Project Overview'!B:B, 'Project Overview'!N:N, "not found")</f>
        <v>no</v>
      </c>
      <c r="AH20">
        <v>18</v>
      </c>
      <c r="AI20" t="s">
        <v>244</v>
      </c>
      <c r="AJ20" t="s">
        <v>1392</v>
      </c>
      <c r="AK20" t="str">
        <f ca="1">_xlfn.XLOOKUP(AI20, 'Project Overview'!B:B, 'Project Overview'!Y:Y, "not found")</f>
        <v>yes</v>
      </c>
      <c r="AL20" t="str">
        <f>_xlfn.XLOOKUP(AI20, 'Project Overview'!B:B, 'Project Overview'!I:I, "not found")</f>
        <v>ESCO</v>
      </c>
      <c r="AM20" s="215">
        <f t="shared" si="2"/>
        <v>2</v>
      </c>
      <c r="AO20" s="270" t="s">
        <v>301</v>
      </c>
      <c r="AP20" t="s">
        <v>1391</v>
      </c>
      <c r="AQ20" t="str">
        <f ca="1">_xlfn.XLOOKUP(AO20, 'Project Overview'!B:B, 'Project Overview'!Y:Y, "not found")</f>
        <v>yes</v>
      </c>
      <c r="AR20" t="str">
        <f>_xlfn.XLOOKUP(AO20, 'Project Overview'!B:B, 'Project Overview'!I:I, "not found")</f>
        <v>ESCO</v>
      </c>
      <c r="AS20" s="215">
        <f t="shared" si="3"/>
        <v>1</v>
      </c>
      <c r="AU20" t="s">
        <v>466</v>
      </c>
      <c r="AV20" t="s">
        <v>1391</v>
      </c>
      <c r="AW20" t="str">
        <f ca="1">_xlfn.XLOOKUP(AO20, 'Project Overview'!B:B, 'Project Overview'!Y:Y, "not found")</f>
        <v>yes</v>
      </c>
      <c r="AX20" t="str">
        <f>_xlfn.XLOOKUP(AU20, 'Project Overview'!B:B, 'Project Overview'!I:I, "not found")</f>
        <v>ESCO BUYOUT</v>
      </c>
      <c r="AY20" s="215">
        <f t="shared" si="1"/>
        <v>1</v>
      </c>
    </row>
    <row r="21" spans="10:51" x14ac:dyDescent="0.3">
      <c r="J21" s="7" t="s">
        <v>510</v>
      </c>
      <c r="K21">
        <v>1</v>
      </c>
      <c r="P21" s="231">
        <v>207</v>
      </c>
      <c r="Q21">
        <v>1</v>
      </c>
      <c r="T21" s="234" t="b">
        <v>0</v>
      </c>
      <c r="U21" t="s">
        <v>1425</v>
      </c>
      <c r="V21" t="s">
        <v>1391</v>
      </c>
      <c r="W21" t="str">
        <f ca="1">_xlfn.XLOOKUP(U21, 'Project Overview'!B:B, 'Project Overview'!Y:Y, "not found")</f>
        <v>yes</v>
      </c>
      <c r="X21" t="str">
        <f>_xlfn.XLOOKUP(U21, 'Project Overview'!B:B, 'Project Overview'!I:I, "not found")</f>
        <v>EPC</v>
      </c>
      <c r="Z21" t="s">
        <v>1423</v>
      </c>
      <c r="AA21" t="s">
        <v>1391</v>
      </c>
      <c r="AB21" t="str">
        <f ca="1">_xlfn.XLOOKUP(Z21, 'Project Overview'!B:B, 'Project Overview'!Y:Y, "not found")</f>
        <v>no</v>
      </c>
      <c r="AC21" t="str">
        <f>_xlfn.XLOOKUP(Z21, 'Project Overview'!B:B, 'Project Overview'!I:I, "not found")</f>
        <v>EPC</v>
      </c>
      <c r="AD21">
        <f t="shared" si="0"/>
        <v>1</v>
      </c>
      <c r="AE21" t="str">
        <f>_xlfn.XLOOKUP(Z21, 'Project Overview'!B:B, 'Project Overview'!N:N, "not found")</f>
        <v>no</v>
      </c>
      <c r="AH21">
        <v>19</v>
      </c>
      <c r="AI21" t="s">
        <v>244</v>
      </c>
      <c r="AJ21" t="s">
        <v>1392</v>
      </c>
      <c r="AK21" t="str">
        <f ca="1">_xlfn.XLOOKUP(AI21, 'Project Overview'!B:B, 'Project Overview'!Y:Y, "not found")</f>
        <v>yes</v>
      </c>
      <c r="AL21" t="str">
        <f>_xlfn.XLOOKUP(AI21, 'Project Overview'!B:B, 'Project Overview'!I:I, "not found")</f>
        <v>ESCO</v>
      </c>
      <c r="AM21" s="215">
        <f t="shared" si="2"/>
        <v>2</v>
      </c>
      <c r="AO21" s="270" t="s">
        <v>466</v>
      </c>
      <c r="AP21" t="s">
        <v>1391</v>
      </c>
      <c r="AQ21" t="str">
        <f ca="1">_xlfn.XLOOKUP(AO21, 'Project Overview'!B:B, 'Project Overview'!Y:Y, "not found")</f>
        <v>no</v>
      </c>
      <c r="AR21" t="str">
        <f>_xlfn.XLOOKUP(AO21, 'Project Overview'!B:B, 'Project Overview'!I:I, "not found")</f>
        <v>ESCO BUYOUT</v>
      </c>
      <c r="AS21" s="215">
        <f t="shared" si="3"/>
        <v>1</v>
      </c>
      <c r="AU21" s="270" t="s">
        <v>1423</v>
      </c>
      <c r="AV21" t="s">
        <v>1391</v>
      </c>
      <c r="AW21" t="str">
        <f ca="1">_xlfn.XLOOKUP(AO21, 'Project Overview'!B:B, 'Project Overview'!Y:Y, "not found")</f>
        <v>no</v>
      </c>
      <c r="AX21" t="str">
        <f>_xlfn.XLOOKUP(AU21, 'Project Overview'!B:B, 'Project Overview'!I:I, "not found")</f>
        <v>EPC</v>
      </c>
      <c r="AY21" s="215">
        <f t="shared" si="1"/>
        <v>1</v>
      </c>
    </row>
    <row r="22" spans="10:51" x14ac:dyDescent="0.3">
      <c r="J22" s="7" t="s">
        <v>273</v>
      </c>
      <c r="K22">
        <v>1</v>
      </c>
      <c r="P22" s="7" t="s">
        <v>1347</v>
      </c>
      <c r="Q22">
        <v>80</v>
      </c>
      <c r="T22" s="234" t="b">
        <v>0</v>
      </c>
      <c r="U22" t="s">
        <v>114</v>
      </c>
      <c r="V22" t="s">
        <v>1391</v>
      </c>
      <c r="W22" t="str">
        <f ca="1">_xlfn.XLOOKUP(U22, 'Project Overview'!B:B, 'Project Overview'!Y:Y, "not found")</f>
        <v>yes</v>
      </c>
      <c r="X22" t="str">
        <f>_xlfn.XLOOKUP(U22, 'Project Overview'!B:B, 'Project Overview'!I:I, "not found")</f>
        <v>ESCO</v>
      </c>
      <c r="Z22" t="s">
        <v>449</v>
      </c>
      <c r="AA22" t="s">
        <v>1391</v>
      </c>
      <c r="AB22" t="str">
        <f ca="1">_xlfn.XLOOKUP(Z22, 'Project Overview'!B:B, 'Project Overview'!Y:Y, "not found")</f>
        <v>no</v>
      </c>
      <c r="AC22" t="str">
        <f>_xlfn.XLOOKUP(Z22, 'Project Overview'!B:B, 'Project Overview'!I:I, "not found")</f>
        <v>EPC</v>
      </c>
      <c r="AD22">
        <f t="shared" si="0"/>
        <v>0</v>
      </c>
      <c r="AE22" t="str">
        <f>_xlfn.XLOOKUP(Z22, 'Project Overview'!B:B, 'Project Overview'!N:N, "not found")</f>
        <v>no</v>
      </c>
      <c r="AH22">
        <v>20</v>
      </c>
      <c r="AI22" t="s">
        <v>345</v>
      </c>
      <c r="AJ22" t="s">
        <v>1392</v>
      </c>
      <c r="AK22" t="str">
        <f ca="1">_xlfn.XLOOKUP(AI22, 'Project Overview'!B:B, 'Project Overview'!Y:Y, "not found")</f>
        <v>yes</v>
      </c>
      <c r="AL22" t="str">
        <f>_xlfn.XLOOKUP(AI22, 'Project Overview'!B:B, 'Project Overview'!I:I, "not found")</f>
        <v>ESCO</v>
      </c>
      <c r="AM22" s="215">
        <f t="shared" si="2"/>
        <v>1</v>
      </c>
      <c r="AO22" s="270" t="s">
        <v>1423</v>
      </c>
      <c r="AP22" t="s">
        <v>1391</v>
      </c>
      <c r="AQ22" t="str">
        <f ca="1">_xlfn.XLOOKUP(AO22, 'Project Overview'!B:B, 'Project Overview'!Y:Y, "not found")</f>
        <v>no</v>
      </c>
      <c r="AR22" t="str">
        <f>_xlfn.XLOOKUP(AO22, 'Project Overview'!B:B, 'Project Overview'!I:I, "not found")</f>
        <v>EPC</v>
      </c>
      <c r="AS22" s="215">
        <f t="shared" si="3"/>
        <v>1</v>
      </c>
      <c r="AU22" s="281" t="s">
        <v>1429</v>
      </c>
      <c r="AV22" t="s">
        <v>1391</v>
      </c>
      <c r="AW22" t="str">
        <f ca="1">_xlfn.XLOOKUP(AO22, 'Project Overview'!B:B, 'Project Overview'!Y:Y, "not found")</f>
        <v>no</v>
      </c>
      <c r="AX22" t="str">
        <f>_xlfn.XLOOKUP(AU22, 'Project Overview'!B:B, 'Project Overview'!I:I, "not found")</f>
        <v>not found</v>
      </c>
      <c r="AY22" s="215">
        <f t="shared" si="1"/>
        <v>0</v>
      </c>
    </row>
    <row r="23" spans="10:51" x14ac:dyDescent="0.3">
      <c r="J23" s="7" t="s">
        <v>255</v>
      </c>
      <c r="K23">
        <v>1</v>
      </c>
      <c r="T23" s="234" t="b">
        <v>0</v>
      </c>
      <c r="U23" t="s">
        <v>85</v>
      </c>
      <c r="V23" t="s">
        <v>1391</v>
      </c>
      <c r="W23" t="str">
        <f ca="1">_xlfn.XLOOKUP(U23, 'Project Overview'!B:B, 'Project Overview'!Y:Y, "not found")</f>
        <v>no</v>
      </c>
      <c r="X23" t="str">
        <f>_xlfn.XLOOKUP(U23, 'Project Overview'!B:B, 'Project Overview'!I:I, "not found")</f>
        <v>ESCO BUYOUT</v>
      </c>
      <c r="Z23" t="s">
        <v>586</v>
      </c>
      <c r="AA23" t="s">
        <v>1391</v>
      </c>
      <c r="AB23" t="str">
        <f ca="1">_xlfn.XLOOKUP(Z23, 'Project Overview'!B:B, 'Project Overview'!Y:Y, "not found")</f>
        <v>no</v>
      </c>
      <c r="AC23" t="str">
        <f>_xlfn.XLOOKUP(Z23, 'Project Overview'!B:B, 'Project Overview'!I:I, "not found")</f>
        <v>EPC</v>
      </c>
      <c r="AD23">
        <f t="shared" si="0"/>
        <v>0</v>
      </c>
      <c r="AE23" t="str">
        <f>_xlfn.XLOOKUP(Z23, 'Project Overview'!B:B, 'Project Overview'!N:N, "not found")</f>
        <v>yes</v>
      </c>
      <c r="AH23">
        <v>21</v>
      </c>
      <c r="AI23" t="s">
        <v>714</v>
      </c>
      <c r="AJ23" t="s">
        <v>1392</v>
      </c>
      <c r="AK23" t="str">
        <f ca="1">_xlfn.XLOOKUP(AI23, 'Project Overview'!B:B, 'Project Overview'!Y:Y, "not found")</f>
        <v>no</v>
      </c>
      <c r="AL23" t="str">
        <f>_xlfn.XLOOKUP(AI23, 'Project Overview'!B:B, 'Project Overview'!I:I, "not found")</f>
        <v>EPC</v>
      </c>
      <c r="AM23" s="215">
        <f t="shared" si="2"/>
        <v>1</v>
      </c>
      <c r="AO23" s="270" t="s">
        <v>586</v>
      </c>
      <c r="AP23" t="s">
        <v>1391</v>
      </c>
      <c r="AQ23" t="str">
        <f ca="1">_xlfn.XLOOKUP(AO23, 'Project Overview'!B:B, 'Project Overview'!Y:Y, "not found")</f>
        <v>no</v>
      </c>
      <c r="AR23" t="str">
        <f>_xlfn.XLOOKUP(AO23, 'Project Overview'!B:B, 'Project Overview'!I:I, "not found")</f>
        <v>EPC</v>
      </c>
      <c r="AS23" s="215">
        <f t="shared" si="3"/>
        <v>0</v>
      </c>
      <c r="AU23" t="s">
        <v>1446</v>
      </c>
      <c r="AV23" t="s">
        <v>1391</v>
      </c>
      <c r="AW23" t="str">
        <f ca="1">_xlfn.XLOOKUP(AO23, 'Project Overview'!B:B, 'Project Overview'!Y:Y, "not found")</f>
        <v>no</v>
      </c>
      <c r="AX23" t="str">
        <f>_xlfn.XLOOKUP(AU23, 'Project Overview'!B:B, 'Project Overview'!I:I, "not found")</f>
        <v>not found</v>
      </c>
      <c r="AY23" s="215">
        <f t="shared" si="1"/>
        <v>1</v>
      </c>
    </row>
    <row r="24" spans="10:51" x14ac:dyDescent="0.3">
      <c r="J24" s="7" t="s">
        <v>392</v>
      </c>
      <c r="K24">
        <v>1</v>
      </c>
      <c r="T24" s="234" t="b">
        <v>0</v>
      </c>
      <c r="U24" t="s">
        <v>1424</v>
      </c>
      <c r="V24" t="s">
        <v>1392</v>
      </c>
      <c r="W24" t="str">
        <f ca="1">_xlfn.XLOOKUP(U24, 'Project Overview'!B:B, 'Project Overview'!Y:Y, "not found")</f>
        <v>no</v>
      </c>
      <c r="X24" t="str">
        <f>_xlfn.XLOOKUP(U24, 'Project Overview'!B:B, 'Project Overview'!I:I, "not found")</f>
        <v>EPC</v>
      </c>
      <c r="Z24" t="s">
        <v>1424</v>
      </c>
      <c r="AA24" t="s">
        <v>1391</v>
      </c>
      <c r="AB24" t="str">
        <f ca="1">_xlfn.XLOOKUP(Z24, 'Project Overview'!B:B, 'Project Overview'!Y:Y, "not found")</f>
        <v>no</v>
      </c>
      <c r="AC24" t="str">
        <f>_xlfn.XLOOKUP(Z24, 'Project Overview'!B:B, 'Project Overview'!I:I, "not found")</f>
        <v>EPC</v>
      </c>
      <c r="AD24">
        <f t="shared" si="0"/>
        <v>2</v>
      </c>
      <c r="AE24" t="str">
        <f>_xlfn.XLOOKUP(Z24, 'Project Overview'!B:B, 'Project Overview'!N:N, "not found")</f>
        <v>no</v>
      </c>
      <c r="AH24">
        <v>22</v>
      </c>
      <c r="AI24" s="272" t="s">
        <v>1422</v>
      </c>
      <c r="AJ24" t="s">
        <v>1392</v>
      </c>
      <c r="AK24" t="str">
        <f ca="1">_xlfn.XLOOKUP(AI24, 'Project Overview'!B:B, 'Project Overview'!Y:Y, "not found")</f>
        <v>no</v>
      </c>
      <c r="AL24" t="str">
        <f>_xlfn.XLOOKUP(AI24, 'Project Overview'!B:B, 'Project Overview'!I:I, "not found")</f>
        <v>EPC</v>
      </c>
      <c r="AM24" s="215">
        <f t="shared" si="2"/>
        <v>1</v>
      </c>
      <c r="AO24" s="270" t="s">
        <v>1424</v>
      </c>
      <c r="AP24" t="s">
        <v>1391</v>
      </c>
      <c r="AQ24" t="str">
        <f ca="1">_xlfn.XLOOKUP(AO24, 'Project Overview'!B:B, 'Project Overview'!Y:Y, "not found")</f>
        <v>no</v>
      </c>
      <c r="AR24" t="str">
        <f>_xlfn.XLOOKUP(AO24, 'Project Overview'!B:B, 'Project Overview'!I:I, "not found")</f>
        <v>EPC</v>
      </c>
      <c r="AS24" s="215">
        <f t="shared" si="3"/>
        <v>1</v>
      </c>
      <c r="AU24" t="s">
        <v>58</v>
      </c>
      <c r="AV24" t="s">
        <v>1391</v>
      </c>
      <c r="AW24" t="str">
        <f ca="1">_xlfn.XLOOKUP(AO24, 'Project Overview'!B:B, 'Project Overview'!Y:Y, "not found")</f>
        <v>no</v>
      </c>
      <c r="AX24" t="str">
        <f>_xlfn.XLOOKUP(AU24, 'Project Overview'!B:B, 'Project Overview'!I:I, "not found")</f>
        <v>ESCO</v>
      </c>
      <c r="AY24" s="215">
        <f t="shared" si="1"/>
        <v>1</v>
      </c>
    </row>
    <row r="25" spans="10:51" x14ac:dyDescent="0.3">
      <c r="J25" s="7" t="s">
        <v>1385</v>
      </c>
      <c r="K25">
        <v>1</v>
      </c>
      <c r="T25" s="234" t="b">
        <v>0</v>
      </c>
      <c r="U25" t="s">
        <v>1420</v>
      </c>
      <c r="V25" t="s">
        <v>1392</v>
      </c>
      <c r="W25" t="str">
        <f ca="1">_xlfn.XLOOKUP(U25, 'Project Overview'!B:B, 'Project Overview'!Y:Y, "not found")</f>
        <v>no</v>
      </c>
      <c r="X25" t="str">
        <f>_xlfn.XLOOKUP(U25, 'Project Overview'!B:B, 'Project Overview'!I:I, "not found")</f>
        <v>EPC</v>
      </c>
      <c r="Z25" t="s">
        <v>58</v>
      </c>
      <c r="AA25" t="s">
        <v>1391</v>
      </c>
      <c r="AB25" t="str">
        <f ca="1">_xlfn.XLOOKUP(Z25, 'Project Overview'!B:B, 'Project Overview'!Y:Y, "not found")</f>
        <v>yes</v>
      </c>
      <c r="AC25" t="str">
        <f>_xlfn.XLOOKUP(Z25, 'Project Overview'!B:B, 'Project Overview'!I:I, "not found")</f>
        <v>ESCO</v>
      </c>
      <c r="AD25">
        <f t="shared" si="0"/>
        <v>1</v>
      </c>
      <c r="AE25" t="str">
        <f>_xlfn.XLOOKUP(Z25, 'Project Overview'!B:B, 'Project Overview'!N:N, "not found")</f>
        <v>yes</v>
      </c>
      <c r="AH25">
        <v>23</v>
      </c>
      <c r="AI25" t="s">
        <v>230</v>
      </c>
      <c r="AJ25" t="s">
        <v>1391</v>
      </c>
      <c r="AK25" t="str">
        <f ca="1">_xlfn.XLOOKUP(AI25, 'Project Overview'!B:B, 'Project Overview'!Y:Y, "not found")</f>
        <v>no</v>
      </c>
      <c r="AL25" t="str">
        <f>_xlfn.XLOOKUP(AI25, 'Project Overview'!B:B, 'Project Overview'!I:I, "not found")</f>
        <v>ESCO BUYOUT</v>
      </c>
      <c r="AM25" s="215">
        <f t="shared" si="2"/>
        <v>1</v>
      </c>
      <c r="AO25" s="270" t="s">
        <v>58</v>
      </c>
      <c r="AP25" t="s">
        <v>1391</v>
      </c>
      <c r="AQ25" t="str">
        <f ca="1">_xlfn.XLOOKUP(AO25, 'Project Overview'!B:B, 'Project Overview'!Y:Y, "not found")</f>
        <v>yes</v>
      </c>
      <c r="AR25" t="str">
        <f>_xlfn.XLOOKUP(AO25, 'Project Overview'!B:B, 'Project Overview'!I:I, "not found")</f>
        <v>ESCO</v>
      </c>
      <c r="AS25" s="215">
        <f t="shared" si="3"/>
        <v>1</v>
      </c>
      <c r="AU25" t="s">
        <v>168</v>
      </c>
      <c r="AV25" t="s">
        <v>1391</v>
      </c>
      <c r="AW25" t="str">
        <f ca="1">_xlfn.XLOOKUP(AO25, 'Project Overview'!B:B, 'Project Overview'!Y:Y, "not found")</f>
        <v>yes</v>
      </c>
      <c r="AX25" t="str">
        <f>_xlfn.XLOOKUP(AU25, 'Project Overview'!B:B, 'Project Overview'!I:I, "not found")</f>
        <v>ESCO BUYOUT</v>
      </c>
      <c r="AY25" s="215">
        <f t="shared" si="1"/>
        <v>1</v>
      </c>
    </row>
    <row r="26" spans="10:51" x14ac:dyDescent="0.3">
      <c r="J26" s="7" t="s">
        <v>314</v>
      </c>
      <c r="K26">
        <v>1</v>
      </c>
      <c r="T26" s="234" t="b">
        <v>0</v>
      </c>
      <c r="U26" t="s">
        <v>888</v>
      </c>
      <c r="V26" t="s">
        <v>1392</v>
      </c>
      <c r="W26" t="str">
        <f ca="1">_xlfn.XLOOKUP(U26, 'Project Overview'!B:B, 'Project Overview'!Y:Y, "not found")</f>
        <v>no</v>
      </c>
      <c r="X26" t="str">
        <f>_xlfn.XLOOKUP(U26, 'Project Overview'!B:B, 'Project Overview'!I:I, "not found")</f>
        <v>EPC</v>
      </c>
      <c r="Z26" t="s">
        <v>168</v>
      </c>
      <c r="AA26" t="s">
        <v>1391</v>
      </c>
      <c r="AB26" t="str">
        <f ca="1">_xlfn.XLOOKUP(Z26, 'Project Overview'!B:B, 'Project Overview'!Y:Y, "not found")</f>
        <v>no</v>
      </c>
      <c r="AC26" t="str">
        <f>_xlfn.XLOOKUP(Z26, 'Project Overview'!B:B, 'Project Overview'!I:I, "not found")</f>
        <v>ESCO BUYOUT</v>
      </c>
      <c r="AD26">
        <f t="shared" si="0"/>
        <v>1</v>
      </c>
      <c r="AE26" t="str">
        <f>_xlfn.XLOOKUP(Z26, 'Project Overview'!B:B, 'Project Overview'!N:N, "not found")</f>
        <v>no</v>
      </c>
      <c r="AH26">
        <v>24</v>
      </c>
      <c r="AI26" t="s">
        <v>927</v>
      </c>
      <c r="AJ26" t="s">
        <v>1391</v>
      </c>
      <c r="AK26" t="str">
        <f ca="1">_xlfn.XLOOKUP(AI26, 'Project Overview'!B:B, 'Project Overview'!Y:Y, "not found")</f>
        <v>no</v>
      </c>
      <c r="AL26" t="str">
        <f>_xlfn.XLOOKUP(AI26, 'Project Overview'!B:B, 'Project Overview'!I:I, "not found")</f>
        <v>EPC</v>
      </c>
      <c r="AM26" s="215">
        <f t="shared" si="2"/>
        <v>0</v>
      </c>
      <c r="AO26" s="270" t="s">
        <v>168</v>
      </c>
      <c r="AP26" t="s">
        <v>1391</v>
      </c>
      <c r="AQ26" t="str">
        <f ca="1">_xlfn.XLOOKUP(AO26, 'Project Overview'!B:B, 'Project Overview'!Y:Y, "not found")</f>
        <v>no</v>
      </c>
      <c r="AR26" t="str">
        <f>_xlfn.XLOOKUP(AO26, 'Project Overview'!B:B, 'Project Overview'!I:I, "not found")</f>
        <v>ESCO BUYOUT</v>
      </c>
      <c r="AS26" s="215">
        <f t="shared" si="3"/>
        <v>1</v>
      </c>
      <c r="AU26" t="s">
        <v>877</v>
      </c>
      <c r="AV26" t="s">
        <v>1391</v>
      </c>
      <c r="AW26" t="str">
        <f ca="1">_xlfn.XLOOKUP(AO26, 'Project Overview'!B:B, 'Project Overview'!Y:Y, "not found")</f>
        <v>no</v>
      </c>
      <c r="AX26" t="str">
        <f>_xlfn.XLOOKUP(AU26, 'Project Overview'!B:B, 'Project Overview'!I:I, "not found")</f>
        <v>EPC</v>
      </c>
      <c r="AY26" s="215">
        <f t="shared" si="1"/>
        <v>1</v>
      </c>
    </row>
    <row r="27" spans="10:51" x14ac:dyDescent="0.3">
      <c r="J27" s="7" t="s">
        <v>430</v>
      </c>
      <c r="K27">
        <v>1</v>
      </c>
      <c r="T27" s="234" t="b">
        <v>0</v>
      </c>
      <c r="U27" t="s">
        <v>1418</v>
      </c>
      <c r="V27" t="s">
        <v>1392</v>
      </c>
      <c r="W27" t="str">
        <f ca="1">_xlfn.XLOOKUP(U27, 'Project Overview'!B:B, 'Project Overview'!Y:Y, "not found")</f>
        <v>no</v>
      </c>
      <c r="X27" t="str">
        <f>_xlfn.XLOOKUP(U27, 'Project Overview'!B:B, 'Project Overview'!I:I, "not found")</f>
        <v>EPC</v>
      </c>
      <c r="Z27" t="s">
        <v>877</v>
      </c>
      <c r="AA27" t="s">
        <v>1391</v>
      </c>
      <c r="AB27" t="str">
        <f ca="1">_xlfn.XLOOKUP(Z27, 'Project Overview'!B:B, 'Project Overview'!Y:Y, "not found")</f>
        <v>no</v>
      </c>
      <c r="AC27" t="str">
        <f>_xlfn.XLOOKUP(Z27, 'Project Overview'!B:B, 'Project Overview'!I:I, "not found")</f>
        <v>EPC</v>
      </c>
      <c r="AD27">
        <f t="shared" si="0"/>
        <v>1</v>
      </c>
      <c r="AE27" t="str">
        <f>_xlfn.XLOOKUP(Z27, 'Project Overview'!B:B, 'Project Overview'!N:N, "not found")</f>
        <v>no</v>
      </c>
      <c r="AH27">
        <v>25</v>
      </c>
      <c r="AI27" t="s">
        <v>1103</v>
      </c>
      <c r="AJ27" t="s">
        <v>1391</v>
      </c>
      <c r="AK27" t="str">
        <f ca="1">_xlfn.XLOOKUP(AI27, 'Project Overview'!B:B, 'Project Overview'!Y:Y, "not found")</f>
        <v>no</v>
      </c>
      <c r="AL27" t="str">
        <f>_xlfn.XLOOKUP(AI27, 'Project Overview'!B:B, 'Project Overview'!I:I, "not found")</f>
        <v>EPC</v>
      </c>
      <c r="AM27" s="215">
        <f t="shared" si="2"/>
        <v>1</v>
      </c>
      <c r="AO27" s="270" t="s">
        <v>877</v>
      </c>
      <c r="AP27" t="s">
        <v>1391</v>
      </c>
      <c r="AQ27" t="str">
        <f ca="1">_xlfn.XLOOKUP(AO27, 'Project Overview'!B:B, 'Project Overview'!Y:Y, "not found")</f>
        <v>no</v>
      </c>
      <c r="AR27" t="str">
        <f>_xlfn.XLOOKUP(AO27, 'Project Overview'!B:B, 'Project Overview'!I:I, "not found")</f>
        <v>EPC</v>
      </c>
      <c r="AS27" s="215">
        <f t="shared" si="3"/>
        <v>1</v>
      </c>
      <c r="AU27" s="269" t="s">
        <v>1166</v>
      </c>
      <c r="AV27" t="s">
        <v>1391</v>
      </c>
      <c r="AW27" t="str">
        <f ca="1">_xlfn.XLOOKUP(AO27, 'Project Overview'!B:B, 'Project Overview'!Y:Y, "not found")</f>
        <v>no</v>
      </c>
      <c r="AX27" t="str">
        <f>_xlfn.XLOOKUP(AU27, 'Project Overview'!B:B, 'Project Overview'!I:I, "not found")</f>
        <v>EPC</v>
      </c>
      <c r="AY27" s="215">
        <f t="shared" si="1"/>
        <v>1</v>
      </c>
    </row>
    <row r="28" spans="10:51" x14ac:dyDescent="0.3">
      <c r="J28" s="7" t="s">
        <v>455</v>
      </c>
      <c r="K28">
        <v>1</v>
      </c>
      <c r="T28" s="234" t="b">
        <v>0</v>
      </c>
      <c r="U28" t="s">
        <v>1415</v>
      </c>
      <c r="V28" t="s">
        <v>1392</v>
      </c>
      <c r="W28" t="str">
        <f ca="1">_xlfn.XLOOKUP(U28, 'Project Overview'!B:B, 'Project Overview'!Y:Y, "not found")</f>
        <v>no</v>
      </c>
      <c r="X28" t="str">
        <f>_xlfn.XLOOKUP(U28, 'Project Overview'!B:B, 'Project Overview'!I:I, "not found")</f>
        <v>EPC</v>
      </c>
      <c r="Z28" t="s">
        <v>1166</v>
      </c>
      <c r="AA28" t="s">
        <v>1391</v>
      </c>
      <c r="AB28" t="str">
        <f ca="1">_xlfn.XLOOKUP(Z28, 'Project Overview'!B:B, 'Project Overview'!Y:Y, "not found")</f>
        <v>no</v>
      </c>
      <c r="AC28" t="str">
        <f>_xlfn.XLOOKUP(Z28, 'Project Overview'!B:B, 'Project Overview'!I:I, "not found")</f>
        <v>EPC</v>
      </c>
      <c r="AD28">
        <f t="shared" si="0"/>
        <v>1</v>
      </c>
      <c r="AE28" t="str">
        <f>_xlfn.XLOOKUP(Z28, 'Project Overview'!B:B, 'Project Overview'!N:N, "not found")</f>
        <v>no</v>
      </c>
      <c r="AH28">
        <v>26</v>
      </c>
      <c r="AI28" t="s">
        <v>301</v>
      </c>
      <c r="AJ28" t="s">
        <v>1391</v>
      </c>
      <c r="AK28" t="str">
        <f ca="1">_xlfn.XLOOKUP(AI28, 'Project Overview'!B:B, 'Project Overview'!Y:Y, "not found")</f>
        <v>yes</v>
      </c>
      <c r="AL28" t="str">
        <f>_xlfn.XLOOKUP(AI28, 'Project Overview'!B:B, 'Project Overview'!I:I, "not found")</f>
        <v>ESCO</v>
      </c>
      <c r="AM28" s="215">
        <f t="shared" si="2"/>
        <v>1</v>
      </c>
      <c r="AO28" s="270" t="s">
        <v>1166</v>
      </c>
      <c r="AP28" t="s">
        <v>1391</v>
      </c>
      <c r="AQ28" t="str">
        <f ca="1">_xlfn.XLOOKUP(AO28, 'Project Overview'!B:B, 'Project Overview'!Y:Y, "not found")</f>
        <v>no</v>
      </c>
      <c r="AR28" t="str">
        <f>_xlfn.XLOOKUP(AO28, 'Project Overview'!B:B, 'Project Overview'!I:I, "not found")</f>
        <v>EPC</v>
      </c>
      <c r="AS28" s="215">
        <f t="shared" si="3"/>
        <v>1</v>
      </c>
      <c r="AU28" s="270" t="s">
        <v>114</v>
      </c>
      <c r="AV28" t="s">
        <v>1391</v>
      </c>
      <c r="AW28" t="str">
        <f ca="1">_xlfn.XLOOKUP(AO28, 'Project Overview'!B:B, 'Project Overview'!Y:Y, "not found")</f>
        <v>no</v>
      </c>
      <c r="AX28" t="str">
        <f>_xlfn.XLOOKUP(AU28, 'Project Overview'!B:B, 'Project Overview'!I:I, "not found")</f>
        <v>ESCO</v>
      </c>
      <c r="AY28" s="215">
        <f t="shared" si="1"/>
        <v>0</v>
      </c>
    </row>
    <row r="29" spans="10:51" x14ac:dyDescent="0.3">
      <c r="J29" s="7" t="s">
        <v>298</v>
      </c>
      <c r="K29">
        <v>1</v>
      </c>
      <c r="T29" s="234" t="b">
        <v>0</v>
      </c>
      <c r="U29" t="s">
        <v>714</v>
      </c>
      <c r="V29" t="s">
        <v>1392</v>
      </c>
      <c r="W29" t="str">
        <f ca="1">_xlfn.XLOOKUP(U29, 'Project Overview'!B:B, 'Project Overview'!Y:Y, "not found")</f>
        <v>no</v>
      </c>
      <c r="X29" t="str">
        <f>_xlfn.XLOOKUP(U29, 'Project Overview'!B:B, 'Project Overview'!I:I, "not found")</f>
        <v>EPC</v>
      </c>
      <c r="Z29" t="s">
        <v>204</v>
      </c>
      <c r="AA29" t="s">
        <v>1391</v>
      </c>
      <c r="AB29" t="str">
        <f ca="1">_xlfn.XLOOKUP(Z29, 'Project Overview'!B:B, 'Project Overview'!Y:Y, "not found")</f>
        <v>yes</v>
      </c>
      <c r="AC29" t="str">
        <f>_xlfn.XLOOKUP(Z29, 'Project Overview'!B:B, 'Project Overview'!I:I, "not found")</f>
        <v>ESCO</v>
      </c>
      <c r="AD29">
        <f t="shared" si="0"/>
        <v>0</v>
      </c>
      <c r="AE29" t="str">
        <f>_xlfn.XLOOKUP(Z29, 'Project Overview'!B:B, 'Project Overview'!N:N, "not found")</f>
        <v>yes</v>
      </c>
      <c r="AH29">
        <v>27</v>
      </c>
      <c r="AI29" t="s">
        <v>466</v>
      </c>
      <c r="AJ29" t="s">
        <v>1391</v>
      </c>
      <c r="AK29" t="str">
        <f ca="1">_xlfn.XLOOKUP(AI29, 'Project Overview'!B:B, 'Project Overview'!Y:Y, "not found")</f>
        <v>no</v>
      </c>
      <c r="AL29" t="str">
        <f>_xlfn.XLOOKUP(AI29, 'Project Overview'!B:B, 'Project Overview'!I:I, "not found")</f>
        <v>ESCO BUYOUT</v>
      </c>
      <c r="AM29" s="215">
        <f t="shared" si="2"/>
        <v>1</v>
      </c>
      <c r="AO29" s="270" t="s">
        <v>114</v>
      </c>
      <c r="AP29" t="s">
        <v>1391</v>
      </c>
      <c r="AQ29" t="str">
        <f ca="1">_xlfn.XLOOKUP(AO29, 'Project Overview'!B:B, 'Project Overview'!Y:Y, "not found")</f>
        <v>yes</v>
      </c>
      <c r="AR29" t="str">
        <f>_xlfn.XLOOKUP(AO29, 'Project Overview'!B:B, 'Project Overview'!I:I, "not found")</f>
        <v>ESCO</v>
      </c>
      <c r="AS29" s="215">
        <f t="shared" si="3"/>
        <v>0</v>
      </c>
      <c r="AU29" s="269" t="s">
        <v>204</v>
      </c>
      <c r="AV29" t="s">
        <v>1391</v>
      </c>
      <c r="AW29" t="str">
        <f ca="1">_xlfn.XLOOKUP(AO29, 'Project Overview'!B:B, 'Project Overview'!Y:Y, "not found")</f>
        <v>yes</v>
      </c>
      <c r="AX29" t="str">
        <f>_xlfn.XLOOKUP(AU29, 'Project Overview'!B:B, 'Project Overview'!I:I, "not found")</f>
        <v>ESCO</v>
      </c>
      <c r="AY29" s="215">
        <f t="shared" si="1"/>
        <v>0</v>
      </c>
    </row>
    <row r="30" spans="10:51" x14ac:dyDescent="0.3">
      <c r="J30" s="7" t="s">
        <v>401</v>
      </c>
      <c r="K30">
        <v>1</v>
      </c>
      <c r="T30" s="234" t="b">
        <v>0</v>
      </c>
      <c r="U30" t="s">
        <v>670</v>
      </c>
      <c r="V30" t="s">
        <v>1392</v>
      </c>
      <c r="W30" t="str">
        <f ca="1">_xlfn.XLOOKUP(U30, 'Project Overview'!B:B, 'Project Overview'!Y:Y, "not found")</f>
        <v>yes</v>
      </c>
      <c r="X30" t="str">
        <f>_xlfn.XLOOKUP(U30, 'Project Overview'!B:B, 'Project Overview'!I:I, "not found")</f>
        <v>ESCO</v>
      </c>
      <c r="Z30" t="s">
        <v>1425</v>
      </c>
      <c r="AA30" t="s">
        <v>1391</v>
      </c>
      <c r="AB30" t="str">
        <f ca="1">_xlfn.XLOOKUP(Z30, 'Project Overview'!B:B, 'Project Overview'!Y:Y, "not found")</f>
        <v>yes</v>
      </c>
      <c r="AC30" t="str">
        <f>_xlfn.XLOOKUP(Z30, 'Project Overview'!B:B, 'Project Overview'!I:I, "not found")</f>
        <v>EPC</v>
      </c>
      <c r="AD30">
        <f t="shared" si="0"/>
        <v>1</v>
      </c>
      <c r="AE30" t="str">
        <f>_xlfn.XLOOKUP(Z30, 'Project Overview'!B:B, 'Project Overview'!N:N, "not found")</f>
        <v>yes</v>
      </c>
      <c r="AH30">
        <v>28</v>
      </c>
      <c r="AI30" s="270" t="s">
        <v>1423</v>
      </c>
      <c r="AJ30" t="s">
        <v>1391</v>
      </c>
      <c r="AK30" t="str">
        <f ca="1">_xlfn.XLOOKUP(AI30, 'Project Overview'!B:B, 'Project Overview'!Y:Y, "not found")</f>
        <v>no</v>
      </c>
      <c r="AL30" t="str">
        <f>_xlfn.XLOOKUP(AI30, 'Project Overview'!B:B, 'Project Overview'!I:I, "not found")</f>
        <v>EPC</v>
      </c>
      <c r="AM30" s="215">
        <f t="shared" si="2"/>
        <v>1</v>
      </c>
      <c r="AO30" s="270" t="s">
        <v>204</v>
      </c>
      <c r="AP30" t="s">
        <v>1391</v>
      </c>
      <c r="AQ30" t="str">
        <f ca="1">_xlfn.XLOOKUP(AO30, 'Project Overview'!B:B, 'Project Overview'!Y:Y, "not found")</f>
        <v>yes</v>
      </c>
      <c r="AR30" t="str">
        <f>_xlfn.XLOOKUP(AO30, 'Project Overview'!B:B, 'Project Overview'!I:I, "not found")</f>
        <v>ESCO</v>
      </c>
      <c r="AS30" s="215">
        <f t="shared" si="3"/>
        <v>0</v>
      </c>
      <c r="AU30" s="270" t="s">
        <v>1425</v>
      </c>
      <c r="AV30" t="s">
        <v>1391</v>
      </c>
      <c r="AW30" t="str">
        <f ca="1">_xlfn.XLOOKUP(AO30, 'Project Overview'!B:B, 'Project Overview'!Y:Y, "not found")</f>
        <v>yes</v>
      </c>
      <c r="AX30" t="str">
        <f>_xlfn.XLOOKUP(AU30, 'Project Overview'!B:B, 'Project Overview'!I:I, "not found")</f>
        <v>EPC</v>
      </c>
      <c r="AY30" s="215">
        <f t="shared" si="1"/>
        <v>1</v>
      </c>
    </row>
    <row r="31" spans="10:51" x14ac:dyDescent="0.3">
      <c r="J31" s="7" t="s">
        <v>407</v>
      </c>
      <c r="K31">
        <v>1</v>
      </c>
      <c r="T31" s="234" t="b">
        <v>0</v>
      </c>
      <c r="U31" t="s">
        <v>1416</v>
      </c>
      <c r="V31" t="s">
        <v>1392</v>
      </c>
      <c r="W31" t="str">
        <f ca="1">_xlfn.XLOOKUP(U31, 'Project Overview'!B:B, 'Project Overview'!Y:Y, "not found")</f>
        <v>no</v>
      </c>
      <c r="X31" t="str">
        <f>_xlfn.XLOOKUP(U31, 'Project Overview'!B:B, 'Project Overview'!I:I, "not found")</f>
        <v>EPC</v>
      </c>
      <c r="Z31" t="s">
        <v>1426</v>
      </c>
      <c r="AA31" t="s">
        <v>1391</v>
      </c>
      <c r="AB31" t="str">
        <f ca="1">_xlfn.XLOOKUP(Z31, 'Project Overview'!B:B, 'Project Overview'!Y:Y, "not found")</f>
        <v>no</v>
      </c>
      <c r="AC31" t="str">
        <f>_xlfn.XLOOKUP(Z31, 'Project Overview'!B:B, 'Project Overview'!I:I, "not found")</f>
        <v>EPC</v>
      </c>
      <c r="AD31">
        <f t="shared" si="0"/>
        <v>1</v>
      </c>
      <c r="AE31" t="str">
        <f>_xlfn.XLOOKUP(Z31, 'Project Overview'!B:B, 'Project Overview'!N:N, "not found")</f>
        <v>no</v>
      </c>
      <c r="AH31">
        <v>29</v>
      </c>
      <c r="AI31" s="269" t="s">
        <v>449</v>
      </c>
      <c r="AJ31" t="s">
        <v>1391</v>
      </c>
      <c r="AK31" t="str">
        <f ca="1">_xlfn.XLOOKUP(AI31, 'Project Overview'!B:B, 'Project Overview'!Y:Y, "not found")</f>
        <v>no</v>
      </c>
      <c r="AL31" t="str">
        <f>_xlfn.XLOOKUP(AI31, 'Project Overview'!B:B, 'Project Overview'!I:I, "not found")</f>
        <v>EPC</v>
      </c>
      <c r="AM31" s="215">
        <f t="shared" si="2"/>
        <v>1</v>
      </c>
      <c r="AO31" s="270" t="s">
        <v>1425</v>
      </c>
      <c r="AP31" t="s">
        <v>1391</v>
      </c>
      <c r="AQ31" t="str">
        <f ca="1">_xlfn.XLOOKUP(AO31, 'Project Overview'!B:B, 'Project Overview'!Y:Y, "not found")</f>
        <v>yes</v>
      </c>
      <c r="AR31" t="str">
        <f>_xlfn.XLOOKUP(AO31, 'Project Overview'!B:B, 'Project Overview'!I:I, "not found")</f>
        <v>EPC</v>
      </c>
      <c r="AS31" s="215">
        <f t="shared" si="3"/>
        <v>1</v>
      </c>
      <c r="AU31" s="269" t="s">
        <v>1426</v>
      </c>
      <c r="AV31" t="s">
        <v>1391</v>
      </c>
      <c r="AW31" t="str">
        <f ca="1">_xlfn.XLOOKUP(AO31, 'Project Overview'!B:B, 'Project Overview'!Y:Y, "not found")</f>
        <v>yes</v>
      </c>
      <c r="AX31" t="str">
        <f>_xlfn.XLOOKUP(AU31, 'Project Overview'!B:B, 'Project Overview'!I:I, "not found")</f>
        <v>EPC</v>
      </c>
      <c r="AY31" s="215">
        <f t="shared" si="1"/>
        <v>1</v>
      </c>
    </row>
    <row r="32" spans="10:51" x14ac:dyDescent="0.3">
      <c r="J32" s="7" t="s">
        <v>164</v>
      </c>
      <c r="K32">
        <v>1</v>
      </c>
      <c r="T32" s="234" t="b">
        <v>0</v>
      </c>
      <c r="U32" t="s">
        <v>244</v>
      </c>
      <c r="V32" t="s">
        <v>1392</v>
      </c>
      <c r="W32" t="str">
        <f ca="1">_xlfn.XLOOKUP(U32, 'Project Overview'!B:B, 'Project Overview'!Y:Y, "not found")</f>
        <v>yes</v>
      </c>
      <c r="X32" t="str">
        <f>_xlfn.XLOOKUP(U32, 'Project Overview'!B:B, 'Project Overview'!I:I, "not found")</f>
        <v>ESCO</v>
      </c>
      <c r="Z32" t="s">
        <v>1427</v>
      </c>
      <c r="AA32" t="s">
        <v>1391</v>
      </c>
      <c r="AB32" t="str">
        <f ca="1">_xlfn.XLOOKUP(Z32, 'Project Overview'!B:B, 'Project Overview'!Y:Y, "not found")</f>
        <v>no</v>
      </c>
      <c r="AC32" t="str">
        <f>_xlfn.XLOOKUP(Z32, 'Project Overview'!B:B, 'Project Overview'!I:I, "not found")</f>
        <v>EPC</v>
      </c>
      <c r="AD32">
        <f t="shared" si="0"/>
        <v>1</v>
      </c>
      <c r="AE32" t="str">
        <f>_xlfn.XLOOKUP(Z32, 'Project Overview'!B:B, 'Project Overview'!N:N, "not found")</f>
        <v>no</v>
      </c>
      <c r="AH32">
        <v>30</v>
      </c>
      <c r="AI32" s="271" t="s">
        <v>1424</v>
      </c>
      <c r="AJ32" t="s">
        <v>1391</v>
      </c>
      <c r="AK32" t="str">
        <f ca="1">_xlfn.XLOOKUP(AI32, 'Project Overview'!B:B, 'Project Overview'!Y:Y, "not found")</f>
        <v>no</v>
      </c>
      <c r="AL32" t="str">
        <f>_xlfn.XLOOKUP(AI32, 'Project Overview'!B:B, 'Project Overview'!I:I, "not found")</f>
        <v>EPC</v>
      </c>
      <c r="AM32" s="215">
        <f t="shared" si="2"/>
        <v>2</v>
      </c>
      <c r="AO32" s="270" t="s">
        <v>1426</v>
      </c>
      <c r="AP32" t="s">
        <v>1391</v>
      </c>
      <c r="AQ32" t="str">
        <f ca="1">_xlfn.XLOOKUP(AO32, 'Project Overview'!B:B, 'Project Overview'!Y:Y, "not found")</f>
        <v>no</v>
      </c>
      <c r="AR32" t="str">
        <f>_xlfn.XLOOKUP(AO32, 'Project Overview'!B:B, 'Project Overview'!I:I, "not found")</f>
        <v>EPC</v>
      </c>
      <c r="AS32" s="215">
        <f t="shared" si="3"/>
        <v>1</v>
      </c>
      <c r="AU32" s="270" t="s">
        <v>1427</v>
      </c>
      <c r="AV32" t="s">
        <v>1391</v>
      </c>
      <c r="AW32" t="str">
        <f ca="1">_xlfn.XLOOKUP(AO32, 'Project Overview'!B:B, 'Project Overview'!Y:Y, "not found")</f>
        <v>no</v>
      </c>
      <c r="AX32" t="str">
        <f>_xlfn.XLOOKUP(AU32, 'Project Overview'!B:B, 'Project Overview'!I:I, "not found")</f>
        <v>EPC</v>
      </c>
      <c r="AY32" s="215">
        <f t="shared" si="1"/>
        <v>1</v>
      </c>
    </row>
    <row r="33" spans="10:51" x14ac:dyDescent="0.3">
      <c r="J33" s="7" t="s">
        <v>334</v>
      </c>
      <c r="K33">
        <v>1</v>
      </c>
      <c r="T33" s="234" t="b">
        <v>0</v>
      </c>
      <c r="U33" t="s">
        <v>1422</v>
      </c>
      <c r="V33" t="s">
        <v>1392</v>
      </c>
      <c r="W33" t="str">
        <f ca="1">_xlfn.XLOOKUP(U33, 'Project Overview'!B:B, 'Project Overview'!Y:Y, "not found")</f>
        <v>no</v>
      </c>
      <c r="X33" t="str">
        <f>_xlfn.XLOOKUP(U33, 'Project Overview'!B:B, 'Project Overview'!I:I, "not found")</f>
        <v>EPC</v>
      </c>
      <c r="Z33" t="s">
        <v>1428</v>
      </c>
      <c r="AA33" t="s">
        <v>1391</v>
      </c>
      <c r="AB33" t="str">
        <f ca="1">_xlfn.XLOOKUP(Z33, 'Project Overview'!B:B, 'Project Overview'!Y:Y, "not found")</f>
        <v>no</v>
      </c>
      <c r="AC33" t="str">
        <f>_xlfn.XLOOKUP(Z33, 'Project Overview'!B:B, 'Project Overview'!I:I, "not found")</f>
        <v>EPC</v>
      </c>
      <c r="AD33">
        <f t="shared" si="0"/>
        <v>1</v>
      </c>
      <c r="AE33" t="str">
        <f>_xlfn.XLOOKUP(Z33, 'Project Overview'!B:B, 'Project Overview'!N:N, "not found")</f>
        <v>no</v>
      </c>
      <c r="AH33">
        <v>31</v>
      </c>
      <c r="AI33" t="s">
        <v>58</v>
      </c>
      <c r="AJ33" t="s">
        <v>1391</v>
      </c>
      <c r="AK33" t="str">
        <f ca="1">_xlfn.XLOOKUP(AI33, 'Project Overview'!B:B, 'Project Overview'!Y:Y, "not found")</f>
        <v>yes</v>
      </c>
      <c r="AL33" t="str">
        <f>_xlfn.XLOOKUP(AI33, 'Project Overview'!B:B, 'Project Overview'!I:I, "not found")</f>
        <v>ESCO</v>
      </c>
      <c r="AM33" s="215">
        <f t="shared" si="2"/>
        <v>1</v>
      </c>
      <c r="AO33" s="270" t="s">
        <v>1427</v>
      </c>
      <c r="AP33" t="s">
        <v>1391</v>
      </c>
      <c r="AQ33" t="str">
        <f ca="1">_xlfn.XLOOKUP(AO33, 'Project Overview'!B:B, 'Project Overview'!Y:Y, "not found")</f>
        <v>no</v>
      </c>
      <c r="AR33" t="str">
        <f>_xlfn.XLOOKUP(AO33, 'Project Overview'!B:B, 'Project Overview'!I:I, "not found")</f>
        <v>EPC</v>
      </c>
      <c r="AS33" s="215">
        <f t="shared" si="3"/>
        <v>1</v>
      </c>
      <c r="AU33" s="269" t="s">
        <v>1428</v>
      </c>
      <c r="AV33" t="s">
        <v>1391</v>
      </c>
      <c r="AW33" t="str">
        <f ca="1">_xlfn.XLOOKUP(AO33, 'Project Overview'!B:B, 'Project Overview'!Y:Y, "not found")</f>
        <v>no</v>
      </c>
      <c r="AX33" t="str">
        <f>_xlfn.XLOOKUP(AU33, 'Project Overview'!B:B, 'Project Overview'!I:I, "not found")</f>
        <v>EPC</v>
      </c>
      <c r="AY33" s="215">
        <f t="shared" si="1"/>
        <v>1</v>
      </c>
    </row>
    <row r="34" spans="10:51" x14ac:dyDescent="0.3">
      <c r="J34" s="7" t="s">
        <v>616</v>
      </c>
      <c r="K34">
        <v>1</v>
      </c>
      <c r="T34" s="234" t="b">
        <v>0</v>
      </c>
      <c r="U34" t="s">
        <v>593</v>
      </c>
      <c r="V34" t="s">
        <v>1392</v>
      </c>
      <c r="W34" t="str">
        <f ca="1">_xlfn.XLOOKUP(U34, 'Project Overview'!B:B, 'Project Overview'!Y:Y, "not found")</f>
        <v>no</v>
      </c>
      <c r="X34" t="str">
        <f>_xlfn.XLOOKUP(U34, 'Project Overview'!B:B, 'Project Overview'!I:I, "not found")</f>
        <v>EPC</v>
      </c>
      <c r="Z34" t="s">
        <v>528</v>
      </c>
      <c r="AA34" t="s">
        <v>1391</v>
      </c>
      <c r="AB34" t="str">
        <f ca="1">_xlfn.XLOOKUP(Z34, 'Project Overview'!B:B, 'Project Overview'!Y:Y, "not found")</f>
        <v>no</v>
      </c>
      <c r="AC34" t="str">
        <f>_xlfn.XLOOKUP(Z34, 'Project Overview'!B:B, 'Project Overview'!I:I, "not found")</f>
        <v>EPC</v>
      </c>
      <c r="AD34">
        <f t="shared" si="0"/>
        <v>0</v>
      </c>
      <c r="AE34" t="str">
        <f>_xlfn.XLOOKUP(Z34, 'Project Overview'!B:B, 'Project Overview'!N:N, "not found")</f>
        <v>no</v>
      </c>
      <c r="AH34">
        <v>32</v>
      </c>
      <c r="AI34" t="s">
        <v>168</v>
      </c>
      <c r="AJ34" t="s">
        <v>1391</v>
      </c>
      <c r="AK34" t="str">
        <f ca="1">_xlfn.XLOOKUP(AI34, 'Project Overview'!B:B, 'Project Overview'!Y:Y, "not found")</f>
        <v>no</v>
      </c>
      <c r="AL34" t="str">
        <f>_xlfn.XLOOKUP(AI34, 'Project Overview'!B:B, 'Project Overview'!I:I, "not found")</f>
        <v>ESCO BUYOUT</v>
      </c>
      <c r="AM34" s="215">
        <f t="shared" si="2"/>
        <v>1</v>
      </c>
      <c r="AO34" s="270" t="s">
        <v>1428</v>
      </c>
      <c r="AP34" t="s">
        <v>1391</v>
      </c>
      <c r="AQ34" t="str">
        <f ca="1">_xlfn.XLOOKUP(AO34, 'Project Overview'!B:B, 'Project Overview'!Y:Y, "not found")</f>
        <v>no</v>
      </c>
      <c r="AR34" t="str">
        <f>_xlfn.XLOOKUP(AO34, 'Project Overview'!B:B, 'Project Overview'!I:I, "not found")</f>
        <v>EPC</v>
      </c>
      <c r="AS34" s="215">
        <f t="shared" si="3"/>
        <v>1</v>
      </c>
      <c r="AU34" s="270" t="s">
        <v>873</v>
      </c>
      <c r="AV34" t="s">
        <v>1391</v>
      </c>
      <c r="AW34" t="str">
        <f ca="1">_xlfn.XLOOKUP(AO34, 'Project Overview'!B:B, 'Project Overview'!Y:Y, "not found")</f>
        <v>no</v>
      </c>
      <c r="AX34" t="str">
        <f>_xlfn.XLOOKUP(AU34, 'Project Overview'!B:B, 'Project Overview'!I:I, "not found")</f>
        <v>EPC</v>
      </c>
      <c r="AY34" s="215">
        <f t="shared" si="1"/>
        <v>1</v>
      </c>
    </row>
    <row r="35" spans="10:51" x14ac:dyDescent="0.3">
      <c r="J35" s="7" t="s">
        <v>247</v>
      </c>
      <c r="K35">
        <v>1</v>
      </c>
      <c r="T35" s="234" t="b">
        <v>0</v>
      </c>
      <c r="U35" t="s">
        <v>1421</v>
      </c>
      <c r="V35" t="s">
        <v>1391</v>
      </c>
      <c r="W35" t="str">
        <f ca="1">_xlfn.XLOOKUP(U35, 'Project Overview'!B:B, 'Project Overview'!Y:Y, "not found")</f>
        <v>yes</v>
      </c>
      <c r="X35" t="str">
        <f>_xlfn.XLOOKUP(U35, 'Project Overview'!B:B, 'Project Overview'!I:I, "not found")</f>
        <v>ESCO</v>
      </c>
      <c r="Z35" t="s">
        <v>873</v>
      </c>
      <c r="AA35" t="s">
        <v>1391</v>
      </c>
      <c r="AB35" t="str">
        <f ca="1">_xlfn.XLOOKUP(Z35, 'Project Overview'!B:B, 'Project Overview'!Y:Y, "not found")</f>
        <v>no</v>
      </c>
      <c r="AC35" t="str">
        <f>_xlfn.XLOOKUP(Z35, 'Project Overview'!B:B, 'Project Overview'!I:I, "not found")</f>
        <v>EPC</v>
      </c>
      <c r="AD35">
        <f t="shared" si="0"/>
        <v>1</v>
      </c>
      <c r="AE35" t="str">
        <f>_xlfn.XLOOKUP(Z35, 'Project Overview'!B:B, 'Project Overview'!N:N, "not found")</f>
        <v>no</v>
      </c>
      <c r="AH35">
        <v>33</v>
      </c>
      <c r="AI35" t="s">
        <v>877</v>
      </c>
      <c r="AJ35" t="s">
        <v>1391</v>
      </c>
      <c r="AK35" t="str">
        <f ca="1">_xlfn.XLOOKUP(AI35, 'Project Overview'!B:B, 'Project Overview'!Y:Y, "not found")</f>
        <v>no</v>
      </c>
      <c r="AL35" t="str">
        <f>_xlfn.XLOOKUP(AI35, 'Project Overview'!B:B, 'Project Overview'!I:I, "not found")</f>
        <v>EPC</v>
      </c>
      <c r="AM35" s="215">
        <f t="shared" si="2"/>
        <v>1</v>
      </c>
      <c r="AO35" s="270" t="s">
        <v>873</v>
      </c>
      <c r="AP35" t="s">
        <v>1391</v>
      </c>
      <c r="AQ35" t="str">
        <f ca="1">_xlfn.XLOOKUP(AO35, 'Project Overview'!B:B, 'Project Overview'!Y:Y, "not found")</f>
        <v>no</v>
      </c>
      <c r="AR35" t="str">
        <f>_xlfn.XLOOKUP(AO35, 'Project Overview'!B:B, 'Project Overview'!I:I, "not found")</f>
        <v>EPC</v>
      </c>
      <c r="AS35" s="215">
        <f t="shared" si="3"/>
        <v>1</v>
      </c>
      <c r="AU35" t="s">
        <v>306</v>
      </c>
      <c r="AV35" t="s">
        <v>1391</v>
      </c>
      <c r="AW35" t="str">
        <f ca="1">_xlfn.XLOOKUP(AO35, 'Project Overview'!B:B, 'Project Overview'!Y:Y, "not found")</f>
        <v>no</v>
      </c>
      <c r="AX35" t="str">
        <f>_xlfn.XLOOKUP(AU35, 'Project Overview'!B:B, 'Project Overview'!I:I, "not found")</f>
        <v>EPC</v>
      </c>
      <c r="AY35" s="215">
        <f t="shared" si="1"/>
        <v>1</v>
      </c>
    </row>
    <row r="36" spans="10:51" x14ac:dyDescent="0.3">
      <c r="J36" s="7" t="s">
        <v>157</v>
      </c>
      <c r="K36">
        <v>1</v>
      </c>
      <c r="T36" s="234" t="b">
        <v>0</v>
      </c>
      <c r="U36" t="s">
        <v>502</v>
      </c>
      <c r="V36" t="s">
        <v>1392</v>
      </c>
      <c r="W36" t="str">
        <f ca="1">_xlfn.XLOOKUP(U36, 'Project Overview'!B:B, 'Project Overview'!Y:Y, "not found")</f>
        <v>yes</v>
      </c>
      <c r="X36" t="str">
        <f>_xlfn.XLOOKUP(U36, 'Project Overview'!B:B, 'Project Overview'!I:I, "not found")</f>
        <v>ESCO</v>
      </c>
      <c r="Z36" t="s">
        <v>306</v>
      </c>
      <c r="AA36" t="s">
        <v>1391</v>
      </c>
      <c r="AB36" t="str">
        <f ca="1">_xlfn.XLOOKUP(Z36, 'Project Overview'!B:B, 'Project Overview'!Y:Y, "not found")</f>
        <v>no</v>
      </c>
      <c r="AC36" t="str">
        <f>_xlfn.XLOOKUP(Z36, 'Project Overview'!B:B, 'Project Overview'!I:I, "not found")</f>
        <v>EPC</v>
      </c>
      <c r="AD36">
        <f t="shared" si="0"/>
        <v>1</v>
      </c>
      <c r="AE36" t="str">
        <f>_xlfn.XLOOKUP(Z36, 'Project Overview'!B:B, 'Project Overview'!N:N, "not found")</f>
        <v>no</v>
      </c>
      <c r="AH36">
        <v>34</v>
      </c>
      <c r="AI36" t="s">
        <v>1166</v>
      </c>
      <c r="AJ36" t="s">
        <v>1391</v>
      </c>
      <c r="AK36" t="str">
        <f ca="1">_xlfn.XLOOKUP(AI36, 'Project Overview'!B:B, 'Project Overview'!Y:Y, "not found")</f>
        <v>no</v>
      </c>
      <c r="AL36" t="str">
        <f>_xlfn.XLOOKUP(AI36, 'Project Overview'!B:B, 'Project Overview'!I:I, "not found")</f>
        <v>EPC</v>
      </c>
      <c r="AM36" s="215">
        <f t="shared" si="2"/>
        <v>1</v>
      </c>
      <c r="AO36" s="270" t="s">
        <v>306</v>
      </c>
      <c r="AP36" t="s">
        <v>1391</v>
      </c>
      <c r="AQ36" t="str">
        <f ca="1">_xlfn.XLOOKUP(AO36, 'Project Overview'!B:B, 'Project Overview'!Y:Y, "not found")</f>
        <v>no</v>
      </c>
      <c r="AR36" t="str">
        <f>_xlfn.XLOOKUP(AO36, 'Project Overview'!B:B, 'Project Overview'!I:I, "not found")</f>
        <v>EPC</v>
      </c>
      <c r="AS36" s="215">
        <f t="shared" ref="AS36:AS38" si="4">COUNTIF(AI:AI, AO36)</f>
        <v>1</v>
      </c>
      <c r="AU36" t="s">
        <v>180</v>
      </c>
      <c r="AV36" t="s">
        <v>1391</v>
      </c>
      <c r="AW36" t="str">
        <f ca="1">_xlfn.XLOOKUP(AO36, 'Project Overview'!B:B, 'Project Overview'!Y:Y, "not found")</f>
        <v>no</v>
      </c>
      <c r="AX36" t="str">
        <f>_xlfn.XLOOKUP(AU36, 'Project Overview'!B:B, 'Project Overview'!I:I, "not found")</f>
        <v>EPC</v>
      </c>
      <c r="AY36" s="215">
        <f t="shared" si="1"/>
        <v>1</v>
      </c>
    </row>
    <row r="37" spans="10:51" x14ac:dyDescent="0.3">
      <c r="J37" s="7" t="s">
        <v>630</v>
      </c>
      <c r="K37">
        <v>1</v>
      </c>
      <c r="T37" s="234" t="b">
        <v>0</v>
      </c>
      <c r="U37" t="s">
        <v>345</v>
      </c>
      <c r="V37" t="s">
        <v>1392</v>
      </c>
      <c r="W37" t="str">
        <f ca="1">_xlfn.XLOOKUP(U37, 'Project Overview'!B:B, 'Project Overview'!Y:Y, "not found")</f>
        <v>yes</v>
      </c>
      <c r="X37" t="str">
        <f>_xlfn.XLOOKUP(U37, 'Project Overview'!B:B, 'Project Overview'!I:I, "not found")</f>
        <v>ESCO</v>
      </c>
      <c r="Z37" t="s">
        <v>180</v>
      </c>
      <c r="AA37" t="s">
        <v>1391</v>
      </c>
      <c r="AB37" t="str">
        <f ca="1">_xlfn.XLOOKUP(Z37, 'Project Overview'!B:B, 'Project Overview'!Y:Y, "not found")</f>
        <v>yes</v>
      </c>
      <c r="AC37" t="str">
        <f>_xlfn.XLOOKUP(Z37, 'Project Overview'!B:B, 'Project Overview'!I:I, "not found")</f>
        <v>EPC</v>
      </c>
      <c r="AD37">
        <f t="shared" si="0"/>
        <v>1</v>
      </c>
      <c r="AE37" t="str">
        <f>_xlfn.XLOOKUP(Z37, 'Project Overview'!B:B, 'Project Overview'!N:N, "not found")</f>
        <v>yes</v>
      </c>
      <c r="AH37">
        <v>35</v>
      </c>
      <c r="AI37" s="274" t="s">
        <v>289</v>
      </c>
      <c r="AJ37" t="s">
        <v>1391</v>
      </c>
      <c r="AK37" t="str">
        <f ca="1">_xlfn.XLOOKUP(AI37, 'Project Overview'!B:B, 'Project Overview'!Y:Y, "not found")</f>
        <v>yes</v>
      </c>
      <c r="AL37" t="str">
        <f>_xlfn.XLOOKUP(AI37, 'Project Overview'!B:B, 'Project Overview'!I:I, "not found")</f>
        <v>ESCO</v>
      </c>
      <c r="AM37" s="215">
        <f t="shared" si="2"/>
        <v>0</v>
      </c>
      <c r="AO37" s="270" t="s">
        <v>180</v>
      </c>
      <c r="AP37" t="s">
        <v>1391</v>
      </c>
      <c r="AQ37" t="str">
        <f ca="1">_xlfn.XLOOKUP(AO37, 'Project Overview'!B:B, 'Project Overview'!Y:Y, "not found")</f>
        <v>yes</v>
      </c>
      <c r="AR37" t="str">
        <f>_xlfn.XLOOKUP(AO37, 'Project Overview'!B:B, 'Project Overview'!I:I, "not found")</f>
        <v>EPC</v>
      </c>
      <c r="AS37" s="215">
        <f t="shared" si="4"/>
        <v>1</v>
      </c>
      <c r="AU37" t="s">
        <v>85</v>
      </c>
      <c r="AV37" t="s">
        <v>1391</v>
      </c>
      <c r="AW37" t="str">
        <f ca="1">_xlfn.XLOOKUP(AO37, 'Project Overview'!B:B, 'Project Overview'!Y:Y, "not found")</f>
        <v>yes</v>
      </c>
      <c r="AX37" t="str">
        <f>_xlfn.XLOOKUP(AU37, 'Project Overview'!B:B, 'Project Overview'!I:I, "not found")</f>
        <v>ESCO BUYOUT</v>
      </c>
      <c r="AY37" s="215">
        <f t="shared" si="1"/>
        <v>1</v>
      </c>
    </row>
    <row r="38" spans="10:51" x14ac:dyDescent="0.3">
      <c r="J38" s="7" t="s">
        <v>338</v>
      </c>
      <c r="K38">
        <v>1</v>
      </c>
      <c r="U38" t="s">
        <v>363</v>
      </c>
      <c r="V38" t="s">
        <v>1392</v>
      </c>
      <c r="W38" t="str">
        <f ca="1">_xlfn.XLOOKUP(U38, 'Project Overview'!B:B, 'Project Overview'!Y:Y, "not found")</f>
        <v>no</v>
      </c>
      <c r="X38" t="str">
        <f>_xlfn.XLOOKUP(U38, 'Project Overview'!B:B, 'Project Overview'!I:I, "not found")</f>
        <v>EPC</v>
      </c>
      <c r="Z38" t="s">
        <v>85</v>
      </c>
      <c r="AA38" t="s">
        <v>1391</v>
      </c>
      <c r="AB38" t="str">
        <f ca="1">_xlfn.XLOOKUP(Z38, 'Project Overview'!B:B, 'Project Overview'!Y:Y, "not found")</f>
        <v>no</v>
      </c>
      <c r="AC38" t="str">
        <f>_xlfn.XLOOKUP(Z38, 'Project Overview'!B:B, 'Project Overview'!I:I, "not found")</f>
        <v>ESCO BUYOUT</v>
      </c>
      <c r="AD38">
        <f t="shared" si="0"/>
        <v>1</v>
      </c>
      <c r="AE38" t="str">
        <f>_xlfn.XLOOKUP(Z38, 'Project Overview'!B:B, 'Project Overview'!N:N, "not found")</f>
        <v>no</v>
      </c>
      <c r="AH38">
        <v>36</v>
      </c>
      <c r="AI38" t="s">
        <v>1425</v>
      </c>
      <c r="AJ38" t="s">
        <v>1391</v>
      </c>
      <c r="AK38" t="str">
        <f ca="1">_xlfn.XLOOKUP(AI38, 'Project Overview'!B:B, 'Project Overview'!Y:Y, "not found")</f>
        <v>yes</v>
      </c>
      <c r="AL38" t="str">
        <f>_xlfn.XLOOKUP(AI38, 'Project Overview'!B:B, 'Project Overview'!I:I, "not found")</f>
        <v>EPC</v>
      </c>
      <c r="AM38" s="215">
        <f t="shared" si="2"/>
        <v>1</v>
      </c>
      <c r="AO38" s="270" t="s">
        <v>85</v>
      </c>
      <c r="AP38" t="s">
        <v>1391</v>
      </c>
      <c r="AQ38" t="str">
        <f ca="1">_xlfn.XLOOKUP(AO38, 'Project Overview'!B:B, 'Project Overview'!Y:Y, "not found")</f>
        <v>no</v>
      </c>
      <c r="AR38" t="str">
        <f>_xlfn.XLOOKUP(AO38, 'Project Overview'!B:B, 'Project Overview'!I:I, "not found")</f>
        <v>ESCO BUYOUT</v>
      </c>
      <c r="AS38" s="215">
        <f t="shared" si="4"/>
        <v>1</v>
      </c>
    </row>
    <row r="39" spans="10:51" x14ac:dyDescent="0.3">
      <c r="J39" s="7" t="s">
        <v>524</v>
      </c>
      <c r="K39">
        <v>1</v>
      </c>
      <c r="U39" t="s">
        <v>1419</v>
      </c>
      <c r="V39" t="s">
        <v>1392</v>
      </c>
      <c r="W39" t="str">
        <f ca="1">_xlfn.XLOOKUP(U39, 'Project Overview'!B:B, 'Project Overview'!Y:Y, "not found")</f>
        <v>no</v>
      </c>
      <c r="X39" t="str">
        <f>_xlfn.XLOOKUP(U39, 'Project Overview'!B:B, 'Project Overview'!I:I, "not found")</f>
        <v>ESCO BUYOUT</v>
      </c>
      <c r="AH39">
        <v>37</v>
      </c>
      <c r="AI39" s="270" t="s">
        <v>1426</v>
      </c>
      <c r="AJ39" t="s">
        <v>1391</v>
      </c>
      <c r="AK39" t="str">
        <f ca="1">_xlfn.XLOOKUP(AI39, 'Project Overview'!B:B, 'Project Overview'!Y:Y, "not found")</f>
        <v>no</v>
      </c>
      <c r="AL39" t="str">
        <f>_xlfn.XLOOKUP(AI39, 'Project Overview'!B:B, 'Project Overview'!I:I, "not found")</f>
        <v>EPC</v>
      </c>
      <c r="AM39" s="215">
        <f t="shared" si="2"/>
        <v>1</v>
      </c>
    </row>
    <row r="40" spans="10:51" x14ac:dyDescent="0.3">
      <c r="J40" s="7" t="s">
        <v>117</v>
      </c>
      <c r="K40">
        <v>1</v>
      </c>
      <c r="AH40">
        <v>38</v>
      </c>
      <c r="AI40" s="269" t="s">
        <v>1427</v>
      </c>
      <c r="AJ40" t="s">
        <v>1391</v>
      </c>
      <c r="AK40" t="str">
        <f ca="1">_xlfn.XLOOKUP(AI40, 'Project Overview'!B:B, 'Project Overview'!Y:Y, "not found")</f>
        <v>no</v>
      </c>
      <c r="AL40" t="str">
        <f>_xlfn.XLOOKUP(AI40, 'Project Overview'!B:B, 'Project Overview'!I:I, "not found")</f>
        <v>EPC</v>
      </c>
      <c r="AM40" s="215">
        <f t="shared" si="2"/>
        <v>1</v>
      </c>
    </row>
    <row r="41" spans="10:51" x14ac:dyDescent="0.3">
      <c r="J41" s="7" t="s">
        <v>1347</v>
      </c>
      <c r="K41">
        <v>80</v>
      </c>
      <c r="AH41">
        <v>39</v>
      </c>
      <c r="AI41" s="270" t="s">
        <v>1428</v>
      </c>
      <c r="AJ41" t="s">
        <v>1391</v>
      </c>
      <c r="AK41" t="str">
        <f ca="1">_xlfn.XLOOKUP(AI41, 'Project Overview'!B:B, 'Project Overview'!Y:Y, "not found")</f>
        <v>no</v>
      </c>
      <c r="AL41" t="str">
        <f>_xlfn.XLOOKUP(AI41, 'Project Overview'!B:B, 'Project Overview'!I:I, "not found")</f>
        <v>EPC</v>
      </c>
      <c r="AM41" s="215">
        <f t="shared" si="2"/>
        <v>1</v>
      </c>
    </row>
    <row r="42" spans="10:51" x14ac:dyDescent="0.3">
      <c r="AH42">
        <v>40</v>
      </c>
      <c r="AI42" t="s">
        <v>873</v>
      </c>
      <c r="AJ42" t="s">
        <v>1391</v>
      </c>
      <c r="AK42" t="str">
        <f ca="1">_xlfn.XLOOKUP(AI42, 'Project Overview'!B:B, 'Project Overview'!Y:Y, "not found")</f>
        <v>no</v>
      </c>
      <c r="AL42" t="str">
        <f>_xlfn.XLOOKUP(AI42, 'Project Overview'!B:B, 'Project Overview'!I:I, "not found")</f>
        <v>EPC</v>
      </c>
      <c r="AM42" s="215">
        <f t="shared" si="2"/>
        <v>1</v>
      </c>
    </row>
    <row r="43" spans="10:51" x14ac:dyDescent="0.3">
      <c r="AH43">
        <v>41</v>
      </c>
      <c r="AI43" t="s">
        <v>306</v>
      </c>
      <c r="AJ43" t="s">
        <v>1391</v>
      </c>
      <c r="AK43" t="str">
        <f ca="1">_xlfn.XLOOKUP(AI43, 'Project Overview'!B:B, 'Project Overview'!Y:Y, "not found")</f>
        <v>no</v>
      </c>
      <c r="AL43" t="str">
        <f>_xlfn.XLOOKUP(AI43, 'Project Overview'!B:B, 'Project Overview'!I:I, "not found")</f>
        <v>EPC</v>
      </c>
      <c r="AM43" s="215">
        <f t="shared" si="2"/>
        <v>1</v>
      </c>
    </row>
    <row r="44" spans="10:51" x14ac:dyDescent="0.3">
      <c r="AH44">
        <v>42</v>
      </c>
      <c r="AI44" t="s">
        <v>180</v>
      </c>
      <c r="AJ44" t="s">
        <v>1391</v>
      </c>
      <c r="AK44" t="str">
        <f ca="1">_xlfn.XLOOKUP(AI44, 'Project Overview'!B:B, 'Project Overview'!Y:Y, "not found")</f>
        <v>yes</v>
      </c>
      <c r="AL44" t="str">
        <f>_xlfn.XLOOKUP(AI44, 'Project Overview'!B:B, 'Project Overview'!I:I, "not found")</f>
        <v>EPC</v>
      </c>
      <c r="AM44" s="215">
        <f t="shared" si="2"/>
        <v>1</v>
      </c>
    </row>
    <row r="45" spans="10:51" x14ac:dyDescent="0.3">
      <c r="AI45" t="s">
        <v>85</v>
      </c>
      <c r="AJ45" t="s">
        <v>1391</v>
      </c>
      <c r="AK45" t="str">
        <f ca="1">_xlfn.XLOOKUP(AI45, 'Project Overview'!B:B, 'Project Overview'!Y:Y, "not found")</f>
        <v>no</v>
      </c>
      <c r="AL45" t="str">
        <f>_xlfn.XLOOKUP(AI45, 'Project Overview'!B:B, 'Project Overview'!I:I, "not found")</f>
        <v>ESCO BUYOUT</v>
      </c>
      <c r="AM45" s="215">
        <f t="shared" si="2"/>
        <v>1</v>
      </c>
    </row>
  </sheetData>
  <phoneticPr fontId="33" type="noConversion"/>
  <conditionalFormatting sqref="U9">
    <cfRule type="expression" dxfId="137" priority="355">
      <formula>$R9="ON HOLD"</formula>
    </cfRule>
    <cfRule type="expression" dxfId="136" priority="356">
      <formula>$R9="CANCELLED"</formula>
    </cfRule>
    <cfRule type="expression" dxfId="135" priority="357">
      <formula>ISODD(ROW())</formula>
    </cfRule>
    <cfRule type="expression" dxfId="134" priority="358">
      <formula>ISEVEN(ROW())</formula>
    </cfRule>
  </conditionalFormatting>
  <conditionalFormatting sqref="U9:U10">
    <cfRule type="cellIs" dxfId="133" priority="354" operator="equal">
      <formula>"?"</formula>
    </cfRule>
  </conditionalFormatting>
  <conditionalFormatting sqref="U10">
    <cfRule type="expression" dxfId="132" priority="370">
      <formula>$R8="ON HOLD"</formula>
    </cfRule>
    <cfRule type="expression" dxfId="131" priority="371">
      <formula>$R8="CANCELLED"</formula>
    </cfRule>
    <cfRule type="expression" dxfId="130" priority="372">
      <formula>ISODD(ROW())</formula>
    </cfRule>
    <cfRule type="expression" dxfId="129" priority="373">
      <formula>ISEVEN(ROW())</formula>
    </cfRule>
  </conditionalFormatting>
  <conditionalFormatting sqref="U17">
    <cfRule type="expression" dxfId="128" priority="345">
      <formula>$R17="ON HOLD"</formula>
    </cfRule>
    <cfRule type="expression" dxfId="127" priority="346">
      <formula>$R17="CANCELLED"</formula>
    </cfRule>
    <cfRule type="expression" dxfId="126" priority="347">
      <formula>ISODD(ROW())</formula>
    </cfRule>
    <cfRule type="expression" dxfId="125" priority="348">
      <formula>ISEVEN(ROW())</formula>
    </cfRule>
  </conditionalFormatting>
  <conditionalFormatting sqref="U17:U18">
    <cfRule type="cellIs" dxfId="124" priority="344" operator="equal">
      <formula>"?"</formula>
    </cfRule>
  </conditionalFormatting>
  <conditionalFormatting sqref="U18">
    <cfRule type="expression" dxfId="123" priority="365">
      <formula>$R16="ON HOLD"</formula>
    </cfRule>
    <cfRule type="expression" dxfId="122" priority="366">
      <formula>$R16="CANCELLED"</formula>
    </cfRule>
    <cfRule type="expression" dxfId="121" priority="367">
      <formula>ISODD(ROW())</formula>
    </cfRule>
    <cfRule type="expression" dxfId="120" priority="368">
      <formula>ISEVEN(ROW())</formula>
    </cfRule>
  </conditionalFormatting>
  <conditionalFormatting sqref="U21">
    <cfRule type="cellIs" dxfId="119" priority="349" operator="equal">
      <formula>"?"</formula>
    </cfRule>
    <cfRule type="expression" dxfId="118" priority="350">
      <formula>$R21="ON HOLD"</formula>
    </cfRule>
    <cfRule type="expression" dxfId="117" priority="351">
      <formula>$R21="CANCELLED"</formula>
    </cfRule>
    <cfRule type="expression" dxfId="116" priority="352">
      <formula>ISODD(ROW())</formula>
    </cfRule>
    <cfRule type="expression" dxfId="115" priority="353">
      <formula>ISEVEN(ROW())</formula>
    </cfRule>
  </conditionalFormatting>
  <conditionalFormatting sqref="Z3">
    <cfRule type="cellIs" dxfId="114" priority="256" operator="equal">
      <formula>"?"</formula>
    </cfRule>
    <cfRule type="expression" dxfId="113" priority="257">
      <formula>$R3="ON HOLD"</formula>
    </cfRule>
    <cfRule type="expression" dxfId="112" priority="258">
      <formula>$R3="CANCELLED"</formula>
    </cfRule>
    <cfRule type="expression" dxfId="111" priority="259">
      <formula>ISODD(ROW())</formula>
    </cfRule>
    <cfRule type="expression" dxfId="110" priority="260">
      <formula>ISEVEN(ROW())</formula>
    </cfRule>
  </conditionalFormatting>
  <conditionalFormatting sqref="Z5">
    <cfRule type="cellIs" dxfId="109" priority="261" operator="equal">
      <formula>"?"</formula>
    </cfRule>
    <cfRule type="expression" dxfId="108" priority="262">
      <formula>$R5="ON HOLD"</formula>
    </cfRule>
    <cfRule type="expression" dxfId="107" priority="263">
      <formula>$R5="CANCELLED"</formula>
    </cfRule>
    <cfRule type="expression" dxfId="106" priority="264">
      <formula>ISODD(ROW())</formula>
    </cfRule>
    <cfRule type="expression" dxfId="105" priority="265">
      <formula>ISEVEN(ROW())</formula>
    </cfRule>
  </conditionalFormatting>
  <conditionalFormatting sqref="Z10:Z13">
    <cfRule type="cellIs" dxfId="104" priority="266" operator="equal">
      <formula>"?"</formula>
    </cfRule>
    <cfRule type="expression" dxfId="103" priority="267">
      <formula>$R10="ON HOLD"</formula>
    </cfRule>
    <cfRule type="expression" dxfId="102" priority="268">
      <formula>$R10="CANCELLED"</formula>
    </cfRule>
    <cfRule type="expression" dxfId="101" priority="269">
      <formula>ISODD(ROW())</formula>
    </cfRule>
    <cfRule type="expression" dxfId="100" priority="270">
      <formula>ISEVEN(ROW())</formula>
    </cfRule>
  </conditionalFormatting>
  <conditionalFormatting sqref="Z21:Z23">
    <cfRule type="cellIs" dxfId="99" priority="286" operator="equal">
      <formula>"?"</formula>
    </cfRule>
    <cfRule type="expression" dxfId="98" priority="287">
      <formula>$R21="ON HOLD"</formula>
    </cfRule>
    <cfRule type="expression" dxfId="97" priority="288">
      <formula>$R21="CANCELLED"</formula>
    </cfRule>
    <cfRule type="expression" dxfId="96" priority="289">
      <formula>ISODD(ROW())</formula>
    </cfRule>
    <cfRule type="expression" dxfId="95" priority="290">
      <formula>ISEVEN(ROW())</formula>
    </cfRule>
  </conditionalFormatting>
  <conditionalFormatting sqref="Z30:Z31">
    <cfRule type="cellIs" dxfId="94" priority="301" operator="equal">
      <formula>"?"</formula>
    </cfRule>
    <cfRule type="expression" dxfId="93" priority="302">
      <formula>$R30="ON HOLD"</formula>
    </cfRule>
    <cfRule type="expression" dxfId="92" priority="303">
      <formula>$R30="CANCELLED"</formula>
    </cfRule>
    <cfRule type="expression" dxfId="91" priority="304">
      <formula>ISODD(ROW())</formula>
    </cfRule>
    <cfRule type="expression" dxfId="90" priority="305">
      <formula>ISEVEN(ROW())</formula>
    </cfRule>
  </conditionalFormatting>
  <conditionalFormatting sqref="Z33:Z34">
    <cfRule type="cellIs" dxfId="89" priority="311" operator="equal">
      <formula>"?"</formula>
    </cfRule>
    <cfRule type="expression" dxfId="88" priority="312">
      <formula>$R33="ON HOLD"</formula>
    </cfRule>
    <cfRule type="expression" dxfId="87" priority="313">
      <formula>$R33="CANCELLED"</formula>
    </cfRule>
    <cfRule type="expression" dxfId="86" priority="314">
      <formula>ISODD(ROW())</formula>
    </cfRule>
    <cfRule type="expression" dxfId="85" priority="315">
      <formula>ISEVEN(ROW())</formula>
    </cfRule>
  </conditionalFormatting>
  <conditionalFormatting sqref="AI3">
    <cfRule type="cellIs" dxfId="84" priority="196" operator="equal">
      <formula>"?"</formula>
    </cfRule>
    <cfRule type="expression" dxfId="83" priority="197">
      <formula>$R3="ON HOLD"</formula>
    </cfRule>
    <cfRule type="expression" dxfId="82" priority="198">
      <formula>$R3="CANCELLED"</formula>
    </cfRule>
    <cfRule type="expression" dxfId="81" priority="199">
      <formula>ISODD(ROW())</formula>
    </cfRule>
    <cfRule type="expression" dxfId="80" priority="200">
      <formula>ISEVEN(ROW())</formula>
    </cfRule>
  </conditionalFormatting>
  <conditionalFormatting sqref="AI6:AI8">
    <cfRule type="cellIs" dxfId="79" priority="121" operator="equal">
      <formula>"?"</formula>
    </cfRule>
    <cfRule type="expression" dxfId="78" priority="122">
      <formula>$R5="ON HOLD"</formula>
    </cfRule>
    <cfRule type="expression" dxfId="77" priority="123">
      <formula>$R5="CANCELLED"</formula>
    </cfRule>
    <cfRule type="expression" dxfId="76" priority="124">
      <formula>ISODD(ROW())</formula>
    </cfRule>
    <cfRule type="expression" dxfId="75" priority="125">
      <formula>ISEVEN(ROW())</formula>
    </cfRule>
  </conditionalFormatting>
  <conditionalFormatting sqref="AI12">
    <cfRule type="cellIs" dxfId="74" priority="136" operator="equal">
      <formula>"?"</formula>
    </cfRule>
    <cfRule type="expression" dxfId="73" priority="137">
      <formula>$R11="ON HOLD"</formula>
    </cfRule>
    <cfRule type="expression" dxfId="72" priority="138">
      <formula>$R11="CANCELLED"</formula>
    </cfRule>
    <cfRule type="expression" dxfId="71" priority="139">
      <formula>ISODD(ROW())</formula>
    </cfRule>
    <cfRule type="expression" dxfId="70" priority="140">
      <formula>ISEVEN(ROW())</formula>
    </cfRule>
  </conditionalFormatting>
  <conditionalFormatting sqref="AI18:AI21">
    <cfRule type="cellIs" dxfId="69" priority="141" operator="equal">
      <formula>"?"</formula>
    </cfRule>
    <cfRule type="expression" dxfId="68" priority="142">
      <formula>$R17="ON HOLD"</formula>
    </cfRule>
    <cfRule type="expression" dxfId="67" priority="143">
      <formula>$R17="CANCELLED"</formula>
    </cfRule>
    <cfRule type="expression" dxfId="66" priority="144">
      <formula>ISODD(ROW())</formula>
    </cfRule>
    <cfRule type="expression" dxfId="65" priority="145">
      <formula>ISEVEN(ROW())</formula>
    </cfRule>
  </conditionalFormatting>
  <conditionalFormatting sqref="AI24">
    <cfRule type="cellIs" dxfId="64" priority="161" operator="equal">
      <formula>"?"</formula>
    </cfRule>
    <cfRule type="expression" dxfId="63" priority="162">
      <formula>$R23="ON HOLD"</formula>
    </cfRule>
    <cfRule type="expression" dxfId="62" priority="163">
      <formula>$R23="CANCELLED"</formula>
    </cfRule>
    <cfRule type="expression" dxfId="61" priority="164">
      <formula>ISODD(ROW())</formula>
    </cfRule>
    <cfRule type="expression" dxfId="60" priority="165">
      <formula>ISEVEN(ROW())</formula>
    </cfRule>
  </conditionalFormatting>
  <conditionalFormatting sqref="AI30:AI32">
    <cfRule type="cellIs" dxfId="59" priority="166" operator="equal">
      <formula>"?"</formula>
    </cfRule>
    <cfRule type="expression" dxfId="58" priority="167">
      <formula>$R29="ON HOLD"</formula>
    </cfRule>
    <cfRule type="expression" dxfId="57" priority="168">
      <formula>$R29="CANCELLED"</formula>
    </cfRule>
    <cfRule type="expression" dxfId="56" priority="169">
      <formula>ISODD(ROW())</formula>
    </cfRule>
    <cfRule type="expression" dxfId="55" priority="170">
      <formula>ISEVEN(ROW())</formula>
    </cfRule>
  </conditionalFormatting>
  <conditionalFormatting sqref="AI38:AI39">
    <cfRule type="cellIs" dxfId="54" priority="186" operator="equal">
      <formula>"?"</formula>
    </cfRule>
    <cfRule type="expression" dxfId="53" priority="187">
      <formula>$R37="ON HOLD"</formula>
    </cfRule>
    <cfRule type="expression" dxfId="52" priority="188">
      <formula>$R37="CANCELLED"</formula>
    </cfRule>
    <cfRule type="expression" dxfId="51" priority="189">
      <formula>ISODD(ROW())</formula>
    </cfRule>
    <cfRule type="expression" dxfId="50" priority="190">
      <formula>ISEVEN(ROW())</formula>
    </cfRule>
  </conditionalFormatting>
  <conditionalFormatting sqref="AI41">
    <cfRule type="cellIs" dxfId="49" priority="181" operator="equal">
      <formula>"?"</formula>
    </cfRule>
    <cfRule type="expression" dxfId="48" priority="182">
      <formula>$R40="ON HOLD"</formula>
    </cfRule>
    <cfRule type="expression" dxfId="47" priority="183">
      <formula>$R40="CANCELLED"</formula>
    </cfRule>
    <cfRule type="expression" dxfId="46" priority="184">
      <formula>ISODD(ROW())</formula>
    </cfRule>
    <cfRule type="expression" dxfId="45" priority="185">
      <formula>ISEVEN(ROW())</formula>
    </cfRule>
  </conditionalFormatting>
  <conditionalFormatting sqref="AO3:AO38">
    <cfRule type="cellIs" dxfId="44" priority="116" operator="equal">
      <formula>"?"</formula>
    </cfRule>
    <cfRule type="expression" dxfId="43" priority="117">
      <formula>$R3="ON HOLD"</formula>
    </cfRule>
    <cfRule type="expression" dxfId="42" priority="118">
      <formula>$R3="CANCELLED"</formula>
    </cfRule>
    <cfRule type="expression" dxfId="41" priority="119">
      <formula>ISODD(ROW())</formula>
    </cfRule>
    <cfRule type="expression" dxfId="40" priority="120">
      <formula>ISEVEN(ROW())</formula>
    </cfRule>
  </conditionalFormatting>
  <conditionalFormatting sqref="AU4">
    <cfRule type="cellIs" dxfId="39" priority="61" operator="equal">
      <formula>"?"</formula>
    </cfRule>
    <cfRule type="expression" dxfId="38" priority="62">
      <formula>$R4="ON HOLD"</formula>
    </cfRule>
    <cfRule type="expression" dxfId="37" priority="63">
      <formula>$R4="CANCELLED"</formula>
    </cfRule>
    <cfRule type="expression" dxfId="36" priority="64">
      <formula>ISODD(ROW())</formula>
    </cfRule>
    <cfRule type="expression" dxfId="35" priority="65">
      <formula>ISEVEN(ROW())</formula>
    </cfRule>
  </conditionalFormatting>
  <conditionalFormatting sqref="AU8">
    <cfRule type="cellIs" dxfId="34" priority="1" operator="equal">
      <formula>"?"</formula>
    </cfRule>
    <cfRule type="expression" dxfId="33" priority="2">
      <formula>$R8="ON HOLD"</formula>
    </cfRule>
    <cfRule type="expression" dxfId="32" priority="3">
      <formula>$R8="CANCELLED"</formula>
    </cfRule>
    <cfRule type="expression" dxfId="31" priority="4">
      <formula>ISODD(ROW())</formula>
    </cfRule>
    <cfRule type="expression" dxfId="30" priority="5">
      <formula>ISEVEN(ROW())</formula>
    </cfRule>
  </conditionalFormatting>
  <conditionalFormatting sqref="AU11:AU12">
    <cfRule type="cellIs" dxfId="29" priority="56" operator="equal">
      <formula>"?"</formula>
    </cfRule>
    <cfRule type="expression" dxfId="28" priority="57">
      <formula>$R11="ON HOLD"</formula>
    </cfRule>
    <cfRule type="expression" dxfId="27" priority="58">
      <formula>$R11="CANCELLED"</formula>
    </cfRule>
    <cfRule type="expression" dxfId="26" priority="59">
      <formula>ISODD(ROW())</formula>
    </cfRule>
    <cfRule type="expression" dxfId="25" priority="60">
      <formula>ISEVEN(ROW())</formula>
    </cfRule>
  </conditionalFormatting>
  <conditionalFormatting sqref="AU15">
    <cfRule type="cellIs" dxfId="24" priority="51" operator="equal">
      <formula>"?"</formula>
    </cfRule>
    <cfRule type="expression" dxfId="23" priority="52">
      <formula>$R15="ON HOLD"</formula>
    </cfRule>
    <cfRule type="expression" dxfId="22" priority="53">
      <formula>$R15="CANCELLED"</formula>
    </cfRule>
    <cfRule type="expression" dxfId="21" priority="54">
      <formula>ISODD(ROW())</formula>
    </cfRule>
    <cfRule type="expression" dxfId="20" priority="55">
      <formula>ISEVEN(ROW())</formula>
    </cfRule>
  </conditionalFormatting>
  <conditionalFormatting sqref="AU21:AU22">
    <cfRule type="cellIs" dxfId="19" priority="46" operator="equal">
      <formula>"?"</formula>
    </cfRule>
    <cfRule type="expression" dxfId="18" priority="47">
      <formula>$R21="ON HOLD"</formula>
    </cfRule>
    <cfRule type="expression" dxfId="17" priority="48">
      <formula>$R21="CANCELLED"</formula>
    </cfRule>
    <cfRule type="expression" dxfId="16" priority="49">
      <formula>ISODD(ROW())</formula>
    </cfRule>
    <cfRule type="expression" dxfId="15" priority="50">
      <formula>ISEVEN(ROW())</formula>
    </cfRule>
  </conditionalFormatting>
  <conditionalFormatting sqref="AU27:AU28">
    <cfRule type="cellIs" dxfId="14" priority="41" operator="equal">
      <formula>"?"</formula>
    </cfRule>
    <cfRule type="expression" dxfId="13" priority="42">
      <formula>$R27="ON HOLD"</formula>
    </cfRule>
    <cfRule type="expression" dxfId="12" priority="43">
      <formula>$R27="CANCELLED"</formula>
    </cfRule>
    <cfRule type="expression" dxfId="11" priority="44">
      <formula>ISODD(ROW())</formula>
    </cfRule>
    <cfRule type="expression" dxfId="10" priority="45">
      <formula>ISEVEN(ROW())</formula>
    </cfRule>
  </conditionalFormatting>
  <conditionalFormatting sqref="AU30">
    <cfRule type="cellIs" dxfId="9" priority="36" operator="equal">
      <formula>"?"</formula>
    </cfRule>
    <cfRule type="expression" dxfId="8" priority="37">
      <formula>$R30="ON HOLD"</formula>
    </cfRule>
    <cfRule type="expression" dxfId="7" priority="38">
      <formula>$R30="CANCELLED"</formula>
    </cfRule>
    <cfRule type="expression" dxfId="6" priority="39">
      <formula>ISODD(ROW())</formula>
    </cfRule>
    <cfRule type="expression" dxfId="5" priority="40">
      <formula>ISEVEN(ROW())</formula>
    </cfRule>
  </conditionalFormatting>
  <pageMargins left="0.75" right="0.75" top="1" bottom="1" header="0.5" footer="0.5"/>
  <tableParts count="5">
    <tablePart r:id="rId6"/>
    <tablePart r:id="rId7"/>
    <tablePart r:id="rId8"/>
    <tablePart r:id="rId9"/>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FF9DE-DA92-4579-BA39-5542D3412DBC}">
  <dimension ref="A1:G190"/>
  <sheetViews>
    <sheetView topLeftCell="A121" zoomScale="70" zoomScaleNormal="70" workbookViewId="0">
      <selection activeCell="G164" sqref="G164"/>
    </sheetView>
  </sheetViews>
  <sheetFormatPr defaultRowHeight="14.4" x14ac:dyDescent="0.3"/>
  <cols>
    <col min="1" max="1" width="37.21875" customWidth="1"/>
    <col min="2" max="2" width="14.109375" style="215" bestFit="1" customWidth="1"/>
    <col min="3" max="3" width="14.33203125" style="215" customWidth="1"/>
    <col min="4" max="4" width="22.21875" customWidth="1"/>
    <col min="5" max="5" width="22.88671875" style="215" customWidth="1"/>
    <col min="6" max="6" width="95.88671875" bestFit="1" customWidth="1"/>
  </cols>
  <sheetData>
    <row r="1" spans="1:7" x14ac:dyDescent="0.3">
      <c r="A1" s="213"/>
    </row>
    <row r="2" spans="1:7" x14ac:dyDescent="0.3">
      <c r="A2" s="235" t="s">
        <v>1402</v>
      </c>
      <c r="B2" s="286" t="s">
        <v>1401</v>
      </c>
      <c r="C2" s="273" t="s">
        <v>1400</v>
      </c>
      <c r="D2" s="236" t="s">
        <v>1399</v>
      </c>
      <c r="E2" s="215" t="s">
        <v>1432</v>
      </c>
      <c r="F2" t="s">
        <v>1435</v>
      </c>
    </row>
    <row r="3" spans="1:7" hidden="1" x14ac:dyDescent="0.3">
      <c r="A3" t="s">
        <v>633</v>
      </c>
      <c r="B3" s="215" t="s">
        <v>1392</v>
      </c>
      <c r="C3" s="215" t="str">
        <f>_xlfn.XLOOKUP(Table38[[#This Row],[Nome]], 'Project Overview'!B:B, 'Project Overview'!Y:Y, "not found")</f>
        <v>not found</v>
      </c>
      <c r="D3" s="215" t="str">
        <f>_xlfn.XLOOKUP(Table38[[#This Row],[Nome]], 'Project Overview'!B:B, 'Project Overview'!I:I, "not found")</f>
        <v>not found</v>
      </c>
      <c r="E3" s="283">
        <v>46122</v>
      </c>
      <c r="G3" t="s">
        <v>1415</v>
      </c>
    </row>
    <row r="4" spans="1:7" hidden="1" x14ac:dyDescent="0.3">
      <c r="A4" t="s">
        <v>670</v>
      </c>
      <c r="B4" s="215" t="s">
        <v>1392</v>
      </c>
      <c r="C4" s="215" t="str">
        <f ca="1">_xlfn.XLOOKUP(Table38[[#This Row],[Nome]], 'Project Overview'!B:B, 'Project Overview'!Y:Y, "not found")</f>
        <v>yes</v>
      </c>
      <c r="D4" s="215" t="str">
        <f>_xlfn.XLOOKUP(Table38[[#This Row],[Nome]], 'Project Overview'!B:B, 'Project Overview'!I:I, "not found")</f>
        <v>ESCO</v>
      </c>
      <c r="E4" s="283">
        <v>46122</v>
      </c>
      <c r="G4" t="s">
        <v>502</v>
      </c>
    </row>
    <row r="5" spans="1:7" hidden="1" x14ac:dyDescent="0.3">
      <c r="A5" t="s">
        <v>764</v>
      </c>
      <c r="B5" s="215" t="s">
        <v>1392</v>
      </c>
      <c r="C5" s="215" t="str">
        <f>_xlfn.XLOOKUP(Table38[[#This Row],[Nome]], 'Project Overview'!B:B, 'Project Overview'!Y:Y, "not found")</f>
        <v>not found</v>
      </c>
      <c r="D5" s="215" t="str">
        <f>_xlfn.XLOOKUP(Table38[[#This Row],[Nome]], 'Project Overview'!B:B, 'Project Overview'!I:I, "not found")</f>
        <v>not found</v>
      </c>
      <c r="E5" s="283">
        <v>46122</v>
      </c>
      <c r="G5" t="s">
        <v>670</v>
      </c>
    </row>
    <row r="6" spans="1:7" hidden="1" x14ac:dyDescent="0.3">
      <c r="A6" t="s">
        <v>1139</v>
      </c>
      <c r="B6" s="215" t="s">
        <v>1392</v>
      </c>
      <c r="C6" s="215" t="str">
        <f>_xlfn.XLOOKUP(Table38[[#This Row],[Nome]], 'Project Overview'!B:B, 'Project Overview'!Y:Y, "not found")</f>
        <v>not found</v>
      </c>
      <c r="D6" s="215" t="str">
        <f>_xlfn.XLOOKUP(Table38[[#This Row],[Nome]], 'Project Overview'!B:B, 'Project Overview'!I:I, "not found")</f>
        <v>not found</v>
      </c>
      <c r="E6" s="283">
        <v>46122</v>
      </c>
      <c r="G6" t="s">
        <v>1433</v>
      </c>
    </row>
    <row r="7" spans="1:7" hidden="1" x14ac:dyDescent="0.3">
      <c r="A7" t="s">
        <v>888</v>
      </c>
      <c r="B7" s="215" t="s">
        <v>1392</v>
      </c>
      <c r="C7" s="215" t="str">
        <f ca="1">_xlfn.XLOOKUP(Table38[[#This Row],[Nome]], 'Project Overview'!B:B, 'Project Overview'!Y:Y, "not found")</f>
        <v>no</v>
      </c>
      <c r="D7" s="215" t="str">
        <f>_xlfn.XLOOKUP(Table38[[#This Row],[Nome]], 'Project Overview'!B:B, 'Project Overview'!I:I, "not found")</f>
        <v>EPC</v>
      </c>
      <c r="E7" s="283">
        <v>46122</v>
      </c>
      <c r="G7" t="s">
        <v>1416</v>
      </c>
    </row>
    <row r="8" spans="1:7" hidden="1" x14ac:dyDescent="0.3">
      <c r="A8" t="s">
        <v>676</v>
      </c>
      <c r="B8" s="215" t="s">
        <v>1392</v>
      </c>
      <c r="C8" s="215" t="str">
        <f>_xlfn.XLOOKUP(Table38[[#This Row],[Nome]], 'Project Overview'!B:B, 'Project Overview'!Y:Y, "not found")</f>
        <v>not found</v>
      </c>
      <c r="D8" s="215" t="str">
        <f>_xlfn.XLOOKUP(Table38[[#This Row],[Nome]], 'Project Overview'!B:B, 'Project Overview'!I:I, "not found")</f>
        <v>not found</v>
      </c>
      <c r="E8" s="283">
        <v>46122</v>
      </c>
      <c r="G8" t="s">
        <v>1417</v>
      </c>
    </row>
    <row r="9" spans="1:7" hidden="1" x14ac:dyDescent="0.3">
      <c r="A9" t="s">
        <v>1397</v>
      </c>
      <c r="B9" s="215" t="s">
        <v>1392</v>
      </c>
      <c r="C9" s="215" t="str">
        <f>_xlfn.XLOOKUP(Table38[[#This Row],[Nome]], 'Project Overview'!B:B, 'Project Overview'!Y:Y, "not found")</f>
        <v>not found</v>
      </c>
      <c r="D9" s="215" t="str">
        <f>_xlfn.XLOOKUP(Table38[[#This Row],[Nome]], 'Project Overview'!B:B, 'Project Overview'!I:I, "not found")</f>
        <v>not found</v>
      </c>
      <c r="E9" s="283">
        <v>46122</v>
      </c>
      <c r="G9" t="s">
        <v>363</v>
      </c>
    </row>
    <row r="10" spans="1:7" hidden="1" x14ac:dyDescent="0.3">
      <c r="A10" t="s">
        <v>1024</v>
      </c>
      <c r="B10" s="215" t="s">
        <v>1392</v>
      </c>
      <c r="C10" s="215" t="str">
        <f>_xlfn.XLOOKUP(Table38[[#This Row],[Nome]], 'Project Overview'!B:B, 'Project Overview'!Y:Y, "not found")</f>
        <v>not found</v>
      </c>
      <c r="D10" s="215" t="str">
        <f>_xlfn.XLOOKUP(Table38[[#This Row],[Nome]], 'Project Overview'!B:B, 'Project Overview'!I:I, "not found")</f>
        <v>not found</v>
      </c>
      <c r="E10" s="283">
        <v>46122</v>
      </c>
      <c r="G10" t="s">
        <v>1418</v>
      </c>
    </row>
    <row r="11" spans="1:7" hidden="1" x14ac:dyDescent="0.3">
      <c r="A11" t="s">
        <v>460</v>
      </c>
      <c r="B11" s="215" t="s">
        <v>1392</v>
      </c>
      <c r="C11" s="215" t="str">
        <f>_xlfn.XLOOKUP(Table38[[#This Row],[Nome]], 'Project Overview'!B:B, 'Project Overview'!Y:Y, "not found")</f>
        <v>not found</v>
      </c>
      <c r="D11" s="215" t="str">
        <f>_xlfn.XLOOKUP(Table38[[#This Row],[Nome]], 'Project Overview'!B:B, 'Project Overview'!I:I, "not found")</f>
        <v>not found</v>
      </c>
      <c r="E11" s="283">
        <v>46122</v>
      </c>
      <c r="G11" t="s">
        <v>1419</v>
      </c>
    </row>
    <row r="12" spans="1:7" hidden="1" x14ac:dyDescent="0.3">
      <c r="A12" t="s">
        <v>244</v>
      </c>
      <c r="B12" s="215" t="s">
        <v>1392</v>
      </c>
      <c r="C12" s="215" t="str">
        <f ca="1">_xlfn.XLOOKUP(Table38[[#This Row],[Nome]], 'Project Overview'!B:B, 'Project Overview'!Y:Y, "not found")</f>
        <v>yes</v>
      </c>
      <c r="D12" s="215" t="str">
        <f>_xlfn.XLOOKUP(Table38[[#This Row],[Nome]], 'Project Overview'!B:B, 'Project Overview'!I:I, "not found")</f>
        <v>ESCO</v>
      </c>
      <c r="E12" s="283">
        <v>46122</v>
      </c>
      <c r="G12" t="s">
        <v>627</v>
      </c>
    </row>
    <row r="13" spans="1:7" hidden="1" x14ac:dyDescent="0.3">
      <c r="A13" t="s">
        <v>244</v>
      </c>
      <c r="B13" s="215" t="s">
        <v>1392</v>
      </c>
      <c r="C13" s="215" t="str">
        <f ca="1">_xlfn.XLOOKUP(Table38[[#This Row],[Nome]], 'Project Overview'!B:B, 'Project Overview'!Y:Y, "not found")</f>
        <v>yes</v>
      </c>
      <c r="D13" s="215" t="str">
        <f>_xlfn.XLOOKUP(Table38[[#This Row],[Nome]], 'Project Overview'!B:B, 'Project Overview'!I:I, "not found")</f>
        <v>ESCO</v>
      </c>
      <c r="E13" s="283">
        <v>46122</v>
      </c>
      <c r="G13" t="s">
        <v>1420</v>
      </c>
    </row>
    <row r="14" spans="1:7" hidden="1" x14ac:dyDescent="0.3">
      <c r="A14" t="s">
        <v>345</v>
      </c>
      <c r="B14" s="215" t="s">
        <v>1392</v>
      </c>
      <c r="C14" s="215" t="str">
        <f ca="1">_xlfn.XLOOKUP(Table38[[#This Row],[Nome]], 'Project Overview'!B:B, 'Project Overview'!Y:Y, "not found")</f>
        <v>yes</v>
      </c>
      <c r="D14" s="215" t="str">
        <f>_xlfn.XLOOKUP(Table38[[#This Row],[Nome]], 'Project Overview'!B:B, 'Project Overview'!I:I, "not found")</f>
        <v>ESCO</v>
      </c>
      <c r="E14" s="283">
        <v>46122</v>
      </c>
      <c r="G14" t="s">
        <v>1421</v>
      </c>
    </row>
    <row r="15" spans="1:7" hidden="1" x14ac:dyDescent="0.3">
      <c r="A15" t="s">
        <v>714</v>
      </c>
      <c r="B15" s="215" t="s">
        <v>1392</v>
      </c>
      <c r="C15" s="215" t="str">
        <f ca="1">_xlfn.XLOOKUP(Table38[[#This Row],[Nome]], 'Project Overview'!B:B, 'Project Overview'!Y:Y, "not found")</f>
        <v>no</v>
      </c>
      <c r="D15" s="215" t="str">
        <f>_xlfn.XLOOKUP(Table38[[#This Row],[Nome]], 'Project Overview'!B:B, 'Project Overview'!I:I, "not found")</f>
        <v>EPC</v>
      </c>
      <c r="E15" s="283">
        <v>46122</v>
      </c>
      <c r="G15" t="s">
        <v>1434</v>
      </c>
    </row>
    <row r="16" spans="1:7" hidden="1" x14ac:dyDescent="0.3">
      <c r="A16" t="s">
        <v>514</v>
      </c>
      <c r="B16" s="215" t="s">
        <v>1392</v>
      </c>
      <c r="C16" s="215" t="str">
        <f>_xlfn.XLOOKUP(Table38[[#This Row],[Nome]], 'Project Overview'!B:B, 'Project Overview'!Y:Y, "not found")</f>
        <v>not found</v>
      </c>
      <c r="D16" s="215" t="str">
        <f>_xlfn.XLOOKUP(Table38[[#This Row],[Nome]], 'Project Overview'!B:B, 'Project Overview'!I:I, "not found")</f>
        <v>not found</v>
      </c>
      <c r="E16" s="283">
        <v>46122</v>
      </c>
      <c r="G16" t="s">
        <v>345</v>
      </c>
    </row>
    <row r="17" spans="1:7" hidden="1" x14ac:dyDescent="0.3">
      <c r="A17" t="s">
        <v>230</v>
      </c>
      <c r="B17" s="215" t="s">
        <v>1391</v>
      </c>
      <c r="C17" s="215" t="str">
        <f ca="1">_xlfn.XLOOKUP(Table38[[#This Row],[Nome]], 'Project Overview'!B:B, 'Project Overview'!Y:Y, "not found")</f>
        <v>no</v>
      </c>
      <c r="D17" s="215" t="str">
        <f>_xlfn.XLOOKUP(Table38[[#This Row],[Nome]], 'Project Overview'!B:B, 'Project Overview'!I:I, "not found")</f>
        <v>ESCO BUYOUT</v>
      </c>
      <c r="E17" s="283">
        <v>46122</v>
      </c>
      <c r="G17" t="s">
        <v>714</v>
      </c>
    </row>
    <row r="18" spans="1:7" hidden="1" x14ac:dyDescent="0.3">
      <c r="A18" t="s">
        <v>1103</v>
      </c>
      <c r="B18" s="215" t="s">
        <v>1391</v>
      </c>
      <c r="C18" s="215" t="str">
        <f ca="1">_xlfn.XLOOKUP(Table38[[#This Row],[Nome]], 'Project Overview'!B:B, 'Project Overview'!Y:Y, "not found")</f>
        <v>no</v>
      </c>
      <c r="D18" s="215" t="str">
        <f>_xlfn.XLOOKUP(Table38[[#This Row],[Nome]], 'Project Overview'!B:B, 'Project Overview'!I:I, "not found")</f>
        <v>EPC</v>
      </c>
      <c r="E18" s="283">
        <v>46122</v>
      </c>
      <c r="G18" t="s">
        <v>1422</v>
      </c>
    </row>
    <row r="19" spans="1:7" hidden="1" x14ac:dyDescent="0.3">
      <c r="A19" t="s">
        <v>301</v>
      </c>
      <c r="B19" s="215" t="s">
        <v>1391</v>
      </c>
      <c r="C19" s="215" t="str">
        <f ca="1">_xlfn.XLOOKUP(Table38[[#This Row],[Nome]], 'Project Overview'!B:B, 'Project Overview'!Y:Y, "not found")</f>
        <v>yes</v>
      </c>
      <c r="D19" s="215" t="str">
        <f>_xlfn.XLOOKUP(Table38[[#This Row],[Nome]], 'Project Overview'!B:B, 'Project Overview'!I:I, "not found")</f>
        <v>ESCO</v>
      </c>
      <c r="E19" s="283">
        <v>46122</v>
      </c>
      <c r="G19" t="s">
        <v>230</v>
      </c>
    </row>
    <row r="20" spans="1:7" hidden="1" x14ac:dyDescent="0.3">
      <c r="A20" t="s">
        <v>466</v>
      </c>
      <c r="B20" s="215" t="s">
        <v>1391</v>
      </c>
      <c r="C20" s="215" t="str">
        <f ca="1">_xlfn.XLOOKUP(Table38[[#This Row],[Nome]], 'Project Overview'!B:B, 'Project Overview'!Y:Y, "not found")</f>
        <v>no</v>
      </c>
      <c r="D20" s="215" t="str">
        <f>_xlfn.XLOOKUP(Table38[[#This Row],[Nome]], 'Project Overview'!B:B, 'Project Overview'!I:I, "not found")</f>
        <v>ESCO BUYOUT</v>
      </c>
      <c r="E20" s="283">
        <v>46122</v>
      </c>
      <c r="G20" t="s">
        <v>927</v>
      </c>
    </row>
    <row r="21" spans="1:7" hidden="1" x14ac:dyDescent="0.3">
      <c r="A21" t="s">
        <v>553</v>
      </c>
      <c r="B21" s="215" t="s">
        <v>1391</v>
      </c>
      <c r="C21" s="215" t="str">
        <f>_xlfn.XLOOKUP(Table38[[#This Row],[Nome]], 'Project Overview'!B:B, 'Project Overview'!Y:Y, "not found")</f>
        <v>not found</v>
      </c>
      <c r="D21" s="215" t="str">
        <f>_xlfn.XLOOKUP(Table38[[#This Row],[Nome]], 'Project Overview'!B:B, 'Project Overview'!I:I, "not found")</f>
        <v>not found</v>
      </c>
      <c r="E21" s="283">
        <v>46122</v>
      </c>
      <c r="G21" t="s">
        <v>1103</v>
      </c>
    </row>
    <row r="22" spans="1:7" hidden="1" x14ac:dyDescent="0.3">
      <c r="A22" t="s">
        <v>449</v>
      </c>
      <c r="B22" s="215" t="s">
        <v>1391</v>
      </c>
      <c r="C22" s="215" t="str">
        <f ca="1">_xlfn.XLOOKUP(Table38[[#This Row],[Nome]], 'Project Overview'!B:B, 'Project Overview'!Y:Y, "not found")</f>
        <v>no</v>
      </c>
      <c r="D22" s="215" t="str">
        <f>_xlfn.XLOOKUP(Table38[[#This Row],[Nome]], 'Project Overview'!B:B, 'Project Overview'!I:I, "not found")</f>
        <v>EPC</v>
      </c>
      <c r="E22" s="283">
        <v>46122</v>
      </c>
      <c r="G22" t="s">
        <v>301</v>
      </c>
    </row>
    <row r="23" spans="1:7" hidden="1" x14ac:dyDescent="0.3">
      <c r="A23" t="s">
        <v>586</v>
      </c>
      <c r="B23" s="215" t="s">
        <v>1391</v>
      </c>
      <c r="C23" s="215" t="str">
        <f ca="1">_xlfn.XLOOKUP(Table38[[#This Row],[Nome]], 'Project Overview'!B:B, 'Project Overview'!Y:Y, "not found")</f>
        <v>no</v>
      </c>
      <c r="D23" s="215" t="str">
        <f>_xlfn.XLOOKUP(Table38[[#This Row],[Nome]], 'Project Overview'!B:B, 'Project Overview'!I:I, "not found")</f>
        <v>EPC</v>
      </c>
      <c r="E23" s="283">
        <v>46122</v>
      </c>
      <c r="G23" t="s">
        <v>466</v>
      </c>
    </row>
    <row r="24" spans="1:7" hidden="1" x14ac:dyDescent="0.3">
      <c r="A24" t="s">
        <v>1139</v>
      </c>
      <c r="B24" s="215" t="s">
        <v>1391</v>
      </c>
      <c r="C24" s="215" t="str">
        <f>_xlfn.XLOOKUP(Table38[[#This Row],[Nome]], 'Project Overview'!B:B, 'Project Overview'!Y:Y, "not found")</f>
        <v>not found</v>
      </c>
      <c r="D24" s="215" t="str">
        <f>_xlfn.XLOOKUP(Table38[[#This Row],[Nome]], 'Project Overview'!B:B, 'Project Overview'!I:I, "not found")</f>
        <v>not found</v>
      </c>
      <c r="E24" s="283">
        <v>46122</v>
      </c>
      <c r="G24" t="s">
        <v>452</v>
      </c>
    </row>
    <row r="25" spans="1:7" hidden="1" x14ac:dyDescent="0.3">
      <c r="A25" t="s">
        <v>58</v>
      </c>
      <c r="B25" s="215" t="s">
        <v>1391</v>
      </c>
      <c r="C25" s="215" t="str">
        <f ca="1">_xlfn.XLOOKUP(Table38[[#This Row],[Nome]], 'Project Overview'!B:B, 'Project Overview'!Y:Y, "not found")</f>
        <v>yes</v>
      </c>
      <c r="D25" s="215" t="str">
        <f>_xlfn.XLOOKUP(Table38[[#This Row],[Nome]], 'Project Overview'!B:B, 'Project Overview'!I:I, "not found")</f>
        <v>ESCO</v>
      </c>
      <c r="E25" s="283">
        <v>46122</v>
      </c>
      <c r="G25" t="s">
        <v>1423</v>
      </c>
    </row>
    <row r="26" spans="1:7" hidden="1" x14ac:dyDescent="0.3">
      <c r="A26" t="s">
        <v>168</v>
      </c>
      <c r="B26" s="215" t="s">
        <v>1391</v>
      </c>
      <c r="C26" s="215" t="str">
        <f ca="1">_xlfn.XLOOKUP(Table38[[#This Row],[Nome]], 'Project Overview'!B:B, 'Project Overview'!Y:Y, "not found")</f>
        <v>no</v>
      </c>
      <c r="D26" s="215" t="str">
        <f>_xlfn.XLOOKUP(Table38[[#This Row],[Nome]], 'Project Overview'!B:B, 'Project Overview'!I:I, "not found")</f>
        <v>ESCO BUYOUT</v>
      </c>
      <c r="E26" s="283">
        <v>46122</v>
      </c>
      <c r="G26" t="s">
        <v>1424</v>
      </c>
    </row>
    <row r="27" spans="1:7" hidden="1" x14ac:dyDescent="0.3">
      <c r="A27" t="s">
        <v>877</v>
      </c>
      <c r="B27" s="215" t="s">
        <v>1391</v>
      </c>
      <c r="C27" s="215" t="str">
        <f ca="1">_xlfn.XLOOKUP(Table38[[#This Row],[Nome]], 'Project Overview'!B:B, 'Project Overview'!Y:Y, "not found")</f>
        <v>no</v>
      </c>
      <c r="D27" s="215" t="str">
        <f>_xlfn.XLOOKUP(Table38[[#This Row],[Nome]], 'Project Overview'!B:B, 'Project Overview'!I:I, "not found")</f>
        <v>EPC</v>
      </c>
      <c r="E27" s="283">
        <v>46122</v>
      </c>
      <c r="G27" t="s">
        <v>58</v>
      </c>
    </row>
    <row r="28" spans="1:7" hidden="1" x14ac:dyDescent="0.3">
      <c r="A28" t="s">
        <v>1166</v>
      </c>
      <c r="B28" s="215" t="s">
        <v>1391</v>
      </c>
      <c r="C28" s="215" t="str">
        <f ca="1">_xlfn.XLOOKUP(Table38[[#This Row],[Nome]], 'Project Overview'!B:B, 'Project Overview'!Y:Y, "not found")</f>
        <v>no</v>
      </c>
      <c r="D28" s="215" t="str">
        <f>_xlfn.XLOOKUP(Table38[[#This Row],[Nome]], 'Project Overview'!B:B, 'Project Overview'!I:I, "not found")</f>
        <v>EPC</v>
      </c>
      <c r="E28" s="283">
        <v>46122</v>
      </c>
      <c r="G28" t="s">
        <v>168</v>
      </c>
    </row>
    <row r="29" spans="1:7" hidden="1" x14ac:dyDescent="0.3">
      <c r="A29" t="s">
        <v>204</v>
      </c>
      <c r="B29" s="215" t="s">
        <v>1391</v>
      </c>
      <c r="C29" s="215" t="str">
        <f ca="1">_xlfn.XLOOKUP(Table38[[#This Row],[Nome]], 'Project Overview'!B:B, 'Project Overview'!Y:Y, "not found")</f>
        <v>yes</v>
      </c>
      <c r="D29" s="215" t="str">
        <f>_xlfn.XLOOKUP(Table38[[#This Row],[Nome]], 'Project Overview'!B:B, 'Project Overview'!I:I, "not found")</f>
        <v>ESCO</v>
      </c>
      <c r="E29" s="283">
        <v>46122</v>
      </c>
      <c r="G29" t="s">
        <v>877</v>
      </c>
    </row>
    <row r="30" spans="1:7" hidden="1" x14ac:dyDescent="0.3">
      <c r="A30" t="s">
        <v>73</v>
      </c>
      <c r="B30" s="215" t="s">
        <v>1391</v>
      </c>
      <c r="C30" s="215" t="str">
        <f>_xlfn.XLOOKUP(Table38[[#This Row],[Nome]], 'Project Overview'!B:B, 'Project Overview'!Y:Y, "not found")</f>
        <v>not found</v>
      </c>
      <c r="D30" s="215" t="str">
        <f>_xlfn.XLOOKUP(Table38[[#This Row],[Nome]], 'Project Overview'!B:B, 'Project Overview'!I:I, "not found")</f>
        <v>not found</v>
      </c>
      <c r="E30" s="283">
        <v>46122</v>
      </c>
      <c r="G30" t="s">
        <v>1166</v>
      </c>
    </row>
    <row r="31" spans="1:7" hidden="1" x14ac:dyDescent="0.3">
      <c r="A31" t="s">
        <v>822</v>
      </c>
      <c r="B31" s="215" t="s">
        <v>1391</v>
      </c>
      <c r="C31" s="215" t="str">
        <f>_xlfn.XLOOKUP(Table38[[#This Row],[Nome]], 'Project Overview'!B:B, 'Project Overview'!Y:Y, "not found")</f>
        <v>not found</v>
      </c>
      <c r="D31" s="215" t="str">
        <f>_xlfn.XLOOKUP(Table38[[#This Row],[Nome]], 'Project Overview'!B:B, 'Project Overview'!I:I, "not found")</f>
        <v>not found</v>
      </c>
      <c r="E31" s="283">
        <v>46122</v>
      </c>
      <c r="G31" t="s">
        <v>114</v>
      </c>
    </row>
    <row r="32" spans="1:7" hidden="1" x14ac:dyDescent="0.3">
      <c r="A32" t="s">
        <v>175</v>
      </c>
      <c r="B32" s="215" t="s">
        <v>1391</v>
      </c>
      <c r="C32" s="215" t="str">
        <f>_xlfn.XLOOKUP(Table38[[#This Row],[Nome]], 'Project Overview'!B:B, 'Project Overview'!Y:Y, "not found")</f>
        <v>not found</v>
      </c>
      <c r="D32" s="215" t="str">
        <f>_xlfn.XLOOKUP(Table38[[#This Row],[Nome]], 'Project Overview'!B:B, 'Project Overview'!I:I, "not found")</f>
        <v>not found</v>
      </c>
      <c r="E32" s="283">
        <v>46122</v>
      </c>
      <c r="G32" t="s">
        <v>204</v>
      </c>
    </row>
    <row r="33" spans="1:7" hidden="1" x14ac:dyDescent="0.3">
      <c r="A33" t="s">
        <v>702</v>
      </c>
      <c r="B33" s="215" t="s">
        <v>1391</v>
      </c>
      <c r="C33" s="215" t="str">
        <f>_xlfn.XLOOKUP(Table38[[#This Row],[Nome]], 'Project Overview'!B:B, 'Project Overview'!Y:Y, "not found")</f>
        <v>not found</v>
      </c>
      <c r="D33" s="215" t="str">
        <f>_xlfn.XLOOKUP(Table38[[#This Row],[Nome]], 'Project Overview'!B:B, 'Project Overview'!I:I, "not found")</f>
        <v>not found</v>
      </c>
      <c r="E33" s="283">
        <v>46122</v>
      </c>
      <c r="G33" t="s">
        <v>1445</v>
      </c>
    </row>
    <row r="34" spans="1:7" hidden="1" x14ac:dyDescent="0.3">
      <c r="A34" t="s">
        <v>528</v>
      </c>
      <c r="B34" s="215" t="s">
        <v>1391</v>
      </c>
      <c r="C34" s="215" t="str">
        <f ca="1">_xlfn.XLOOKUP(Table38[[#This Row],[Nome]], 'Project Overview'!B:B, 'Project Overview'!Y:Y, "not found")</f>
        <v>no</v>
      </c>
      <c r="D34" s="215" t="str">
        <f>_xlfn.XLOOKUP(Table38[[#This Row],[Nome]], 'Project Overview'!B:B, 'Project Overview'!I:I, "not found")</f>
        <v>EPC</v>
      </c>
      <c r="E34" s="283">
        <v>46122</v>
      </c>
      <c r="G34" t="s">
        <v>1425</v>
      </c>
    </row>
    <row r="35" spans="1:7" hidden="1" x14ac:dyDescent="0.3">
      <c r="A35" t="s">
        <v>873</v>
      </c>
      <c r="B35" s="215" t="s">
        <v>1391</v>
      </c>
      <c r="C35" s="215" t="str">
        <f ca="1">_xlfn.XLOOKUP(Table38[[#This Row],[Nome]], 'Project Overview'!B:B, 'Project Overview'!Y:Y, "not found")</f>
        <v>no</v>
      </c>
      <c r="D35" s="215" t="str">
        <f>_xlfn.XLOOKUP(Table38[[#This Row],[Nome]], 'Project Overview'!B:B, 'Project Overview'!I:I, "not found")</f>
        <v>EPC</v>
      </c>
      <c r="E35" s="283">
        <v>46122</v>
      </c>
      <c r="G35" t="s">
        <v>1426</v>
      </c>
    </row>
    <row r="36" spans="1:7" hidden="1" x14ac:dyDescent="0.3">
      <c r="A36" t="s">
        <v>306</v>
      </c>
      <c r="B36" s="215" t="s">
        <v>1391</v>
      </c>
      <c r="C36" s="215" t="str">
        <f ca="1">_xlfn.XLOOKUP(Table38[[#This Row],[Nome]], 'Project Overview'!B:B, 'Project Overview'!Y:Y, "not found")</f>
        <v>no</v>
      </c>
      <c r="D36" s="215" t="str">
        <f>_xlfn.XLOOKUP(Table38[[#This Row],[Nome]], 'Project Overview'!B:B, 'Project Overview'!I:I, "not found")</f>
        <v>EPC</v>
      </c>
      <c r="E36" s="283">
        <v>46122</v>
      </c>
      <c r="G36" t="s">
        <v>1427</v>
      </c>
    </row>
    <row r="37" spans="1:7" hidden="1" x14ac:dyDescent="0.3">
      <c r="A37" t="s">
        <v>180</v>
      </c>
      <c r="B37" s="215" t="s">
        <v>1391</v>
      </c>
      <c r="C37" s="215" t="str">
        <f ca="1">_xlfn.XLOOKUP(Table38[[#This Row],[Nome]], 'Project Overview'!B:B, 'Project Overview'!Y:Y, "not found")</f>
        <v>yes</v>
      </c>
      <c r="D37" s="215" t="str">
        <f>_xlfn.XLOOKUP(Table38[[#This Row],[Nome]], 'Project Overview'!B:B, 'Project Overview'!I:I, "not found")</f>
        <v>EPC</v>
      </c>
      <c r="E37" s="283">
        <v>46122</v>
      </c>
      <c r="G37" t="s">
        <v>1428</v>
      </c>
    </row>
    <row r="38" spans="1:7" hidden="1" x14ac:dyDescent="0.3">
      <c r="A38" t="s">
        <v>85</v>
      </c>
      <c r="B38" s="215" t="s">
        <v>1391</v>
      </c>
      <c r="C38" s="215" t="str">
        <f ca="1">_xlfn.XLOOKUP(Table38[[#This Row],[Nome]], 'Project Overview'!B:B, 'Project Overview'!Y:Y, "not found")</f>
        <v>no</v>
      </c>
      <c r="D38" s="215" t="str">
        <f>_xlfn.XLOOKUP(Table38[[#This Row],[Nome]], 'Project Overview'!B:B, 'Project Overview'!I:I, "not found")</f>
        <v>ESCO BUYOUT</v>
      </c>
      <c r="E38" s="283">
        <v>46122</v>
      </c>
      <c r="G38" t="s">
        <v>873</v>
      </c>
    </row>
    <row r="39" spans="1:7" ht="15" hidden="1" thickBot="1" x14ac:dyDescent="0.35">
      <c r="A39" s="282" t="s">
        <v>109</v>
      </c>
      <c r="B39" s="285" t="s">
        <v>1392</v>
      </c>
      <c r="C39" s="285" t="str">
        <f>_xlfn.XLOOKUP(Table38[[#This Row],[Nome]], 'Project Overview'!B:B, 'Project Overview'!Y:Y, "not found")</f>
        <v>not found</v>
      </c>
      <c r="D39" s="285" t="str">
        <f>_xlfn.XLOOKUP(Table38[[#This Row],[Nome]], 'Project Overview'!B:B, 'Project Overview'!I:I, "not found")</f>
        <v>not found</v>
      </c>
      <c r="E39" s="284">
        <v>46122</v>
      </c>
      <c r="G39" t="s">
        <v>306</v>
      </c>
    </row>
    <row r="40" spans="1:7" hidden="1" x14ac:dyDescent="0.3">
      <c r="A40" t="s">
        <v>633</v>
      </c>
      <c r="B40" s="215" t="s">
        <v>1392</v>
      </c>
      <c r="C40" s="215" t="str">
        <f>_xlfn.XLOOKUP(Table38[[#This Row],[Nome]], 'Project Overview'!B:B, 'Project Overview'!Y:Y, "not found")</f>
        <v>not found</v>
      </c>
      <c r="D40" s="215" t="str">
        <f>_xlfn.XLOOKUP(Table38[[#This Row],[Nome]], 'Project Overview'!B:B, 'Project Overview'!I:I, "not found")</f>
        <v>not found</v>
      </c>
      <c r="E40" s="283">
        <v>46125</v>
      </c>
      <c r="G40" t="s">
        <v>180</v>
      </c>
    </row>
    <row r="41" spans="1:7" hidden="1" x14ac:dyDescent="0.3">
      <c r="A41" t="s">
        <v>670</v>
      </c>
      <c r="B41" s="215" t="s">
        <v>1392</v>
      </c>
      <c r="C41" s="215" t="str">
        <f ca="1">_xlfn.XLOOKUP(Table38[[#This Row],[Nome]], 'Project Overview'!B:B, 'Project Overview'!Y:Y, "not found")</f>
        <v>yes</v>
      </c>
      <c r="D41" s="215" t="str">
        <f>_xlfn.XLOOKUP(Table38[[#This Row],[Nome]], 'Project Overview'!B:B, 'Project Overview'!I:I, "not found")</f>
        <v>ESCO</v>
      </c>
      <c r="E41" s="283">
        <v>46125</v>
      </c>
      <c r="G41" t="s">
        <v>85</v>
      </c>
    </row>
    <row r="42" spans="1:7" hidden="1" x14ac:dyDescent="0.3">
      <c r="A42" t="s">
        <v>798</v>
      </c>
      <c r="B42" s="215" t="s">
        <v>1392</v>
      </c>
      <c r="C42" s="215" t="str">
        <f ca="1">_xlfn.XLOOKUP(Table38[[#This Row],[Nome]], 'Project Overview'!B:B, 'Project Overview'!Y:Y, "not found")</f>
        <v>no</v>
      </c>
      <c r="D42" s="215" t="str">
        <f>_xlfn.XLOOKUP(Table38[[#This Row],[Nome]], 'Project Overview'!B:B, 'Project Overview'!I:I, "not found")</f>
        <v>ESCO</v>
      </c>
      <c r="E42" s="283">
        <v>46125</v>
      </c>
    </row>
    <row r="43" spans="1:7" hidden="1" x14ac:dyDescent="0.3">
      <c r="A43" t="s">
        <v>641</v>
      </c>
      <c r="B43" s="215" t="s">
        <v>1392</v>
      </c>
      <c r="C43" s="215" t="str">
        <f ca="1">_xlfn.XLOOKUP(Table38[[#This Row],[Nome]], 'Project Overview'!B:B, 'Project Overview'!Y:Y, "not found")</f>
        <v>no</v>
      </c>
      <c r="D43" s="215" t="str">
        <f>_xlfn.XLOOKUP(Table38[[#This Row],[Nome]], 'Project Overview'!B:B, 'Project Overview'!I:I, "not found")</f>
        <v>EPC</v>
      </c>
      <c r="E43" s="283">
        <v>46125</v>
      </c>
    </row>
    <row r="44" spans="1:7" hidden="1" x14ac:dyDescent="0.3">
      <c r="A44" t="s">
        <v>1070</v>
      </c>
      <c r="B44" s="215" t="s">
        <v>1392</v>
      </c>
      <c r="C44" s="215" t="str">
        <f>_xlfn.XLOOKUP(Table38[[#This Row],[Nome]], 'Project Overview'!B:B, 'Project Overview'!Y:Y, "not found")</f>
        <v>not found</v>
      </c>
      <c r="D44" s="215" t="str">
        <f>_xlfn.XLOOKUP(Table38[[#This Row],[Nome]], 'Project Overview'!B:B, 'Project Overview'!I:I, "not found")</f>
        <v>not found</v>
      </c>
      <c r="E44" s="283">
        <v>46125</v>
      </c>
    </row>
    <row r="45" spans="1:7" hidden="1" x14ac:dyDescent="0.3">
      <c r="A45" t="s">
        <v>764</v>
      </c>
      <c r="B45" s="215" t="s">
        <v>1392</v>
      </c>
      <c r="C45" s="215" t="str">
        <f>_xlfn.XLOOKUP(Table38[[#This Row],[Nome]], 'Project Overview'!B:B, 'Project Overview'!Y:Y, "not found")</f>
        <v>not found</v>
      </c>
      <c r="D45" s="215" t="str">
        <f>_xlfn.XLOOKUP(Table38[[#This Row],[Nome]], 'Project Overview'!B:B, 'Project Overview'!I:I, "not found")</f>
        <v>not found</v>
      </c>
      <c r="E45" s="283">
        <v>46125</v>
      </c>
    </row>
    <row r="46" spans="1:7" hidden="1" x14ac:dyDescent="0.3">
      <c r="A46" t="s">
        <v>1047</v>
      </c>
      <c r="B46" s="215" t="s">
        <v>1392</v>
      </c>
      <c r="C46" s="215" t="str">
        <f>_xlfn.XLOOKUP(Table38[[#This Row],[Nome]], 'Project Overview'!B:B, 'Project Overview'!Y:Y, "not found")</f>
        <v>not found</v>
      </c>
      <c r="D46" s="215" t="str">
        <f>_xlfn.XLOOKUP(Table38[[#This Row],[Nome]], 'Project Overview'!B:B, 'Project Overview'!I:I, "not found")</f>
        <v>not found</v>
      </c>
      <c r="E46" s="283">
        <v>46125</v>
      </c>
    </row>
    <row r="47" spans="1:7" hidden="1" x14ac:dyDescent="0.3">
      <c r="A47" t="s">
        <v>363</v>
      </c>
      <c r="B47" s="215" t="s">
        <v>1392</v>
      </c>
      <c r="C47" s="215" t="str">
        <f ca="1">_xlfn.XLOOKUP(Table38[[#This Row],[Nome]], 'Project Overview'!B:B, 'Project Overview'!Y:Y, "not found")</f>
        <v>no</v>
      </c>
      <c r="D47" s="215" t="str">
        <f>_xlfn.XLOOKUP(Table38[[#This Row],[Nome]], 'Project Overview'!B:B, 'Project Overview'!I:I, "not found")</f>
        <v>EPC</v>
      </c>
      <c r="E47" s="283">
        <v>46125</v>
      </c>
    </row>
    <row r="48" spans="1:7" hidden="1" x14ac:dyDescent="0.3">
      <c r="A48" t="s">
        <v>281</v>
      </c>
      <c r="B48" s="215" t="s">
        <v>1392</v>
      </c>
      <c r="C48" s="215" t="str">
        <f ca="1">_xlfn.XLOOKUP(Table38[[#This Row],[Nome]], 'Project Overview'!B:B, 'Project Overview'!Y:Y, "not found")</f>
        <v>no</v>
      </c>
      <c r="D48" s="215" t="str">
        <f>_xlfn.XLOOKUP(Table38[[#This Row],[Nome]], 'Project Overview'!B:B, 'Project Overview'!I:I, "not found")</f>
        <v>EPC</v>
      </c>
      <c r="E48" s="283">
        <v>46125</v>
      </c>
    </row>
    <row r="49" spans="1:5" hidden="1" x14ac:dyDescent="0.3">
      <c r="A49" t="s">
        <v>605</v>
      </c>
      <c r="B49" s="215" t="s">
        <v>1392</v>
      </c>
      <c r="C49" s="215" t="str">
        <f ca="1">_xlfn.XLOOKUP(Table38[[#This Row],[Nome]], 'Project Overview'!B:B, 'Project Overview'!Y:Y, "not found")</f>
        <v>no</v>
      </c>
      <c r="D49" s="215" t="str">
        <f>_xlfn.XLOOKUP(Table38[[#This Row],[Nome]], 'Project Overview'!B:B, 'Project Overview'!I:I, "not found")</f>
        <v>EPC</v>
      </c>
      <c r="E49" s="283">
        <v>46125</v>
      </c>
    </row>
    <row r="50" spans="1:5" hidden="1" x14ac:dyDescent="0.3">
      <c r="A50" t="s">
        <v>888</v>
      </c>
      <c r="B50" s="215" t="s">
        <v>1392</v>
      </c>
      <c r="C50" s="215" t="str">
        <f ca="1">_xlfn.XLOOKUP(Table38[[#This Row],[Nome]], 'Project Overview'!B:B, 'Project Overview'!Y:Y, "not found")</f>
        <v>no</v>
      </c>
      <c r="D50" s="215" t="str">
        <f>_xlfn.XLOOKUP(Table38[[#This Row],[Nome]], 'Project Overview'!B:B, 'Project Overview'!I:I, "not found")</f>
        <v>EPC</v>
      </c>
      <c r="E50" s="283">
        <v>46125</v>
      </c>
    </row>
    <row r="51" spans="1:5" hidden="1" x14ac:dyDescent="0.3">
      <c r="A51" t="s">
        <v>676</v>
      </c>
      <c r="B51" s="215" t="s">
        <v>1392</v>
      </c>
      <c r="C51" s="215" t="str">
        <f>_xlfn.XLOOKUP(Table38[[#This Row],[Nome]], 'Project Overview'!B:B, 'Project Overview'!Y:Y, "not found")</f>
        <v>not found</v>
      </c>
      <c r="D51" s="215" t="str">
        <f>_xlfn.XLOOKUP(Table38[[#This Row],[Nome]], 'Project Overview'!B:B, 'Project Overview'!I:I, "not found")</f>
        <v>not found</v>
      </c>
      <c r="E51" s="283">
        <v>46125</v>
      </c>
    </row>
    <row r="52" spans="1:5" hidden="1" x14ac:dyDescent="0.3">
      <c r="A52" t="s">
        <v>1397</v>
      </c>
      <c r="B52" s="215" t="s">
        <v>1392</v>
      </c>
      <c r="C52" s="215" t="str">
        <f>_xlfn.XLOOKUP(Table38[[#This Row],[Nome]], 'Project Overview'!B:B, 'Project Overview'!Y:Y, "not found")</f>
        <v>not found</v>
      </c>
      <c r="D52" s="215" t="str">
        <f>_xlfn.XLOOKUP(Table38[[#This Row],[Nome]], 'Project Overview'!B:B, 'Project Overview'!I:I, "not found")</f>
        <v>not found</v>
      </c>
      <c r="E52" s="283">
        <v>46125</v>
      </c>
    </row>
    <row r="53" spans="1:5" hidden="1" x14ac:dyDescent="0.3">
      <c r="A53" t="s">
        <v>627</v>
      </c>
      <c r="B53" s="215" t="s">
        <v>1392</v>
      </c>
      <c r="C53" s="215" t="str">
        <f ca="1">_xlfn.XLOOKUP(Table38[[#This Row],[Nome]], 'Project Overview'!B:B, 'Project Overview'!Y:Y, "not found")</f>
        <v>yes</v>
      </c>
      <c r="D53" s="215" t="str">
        <f>_xlfn.XLOOKUP(Table38[[#This Row],[Nome]], 'Project Overview'!B:B, 'Project Overview'!I:I, "not found")</f>
        <v>ESCO</v>
      </c>
      <c r="E53" s="283">
        <v>46125</v>
      </c>
    </row>
    <row r="54" spans="1:5" hidden="1" x14ac:dyDescent="0.3">
      <c r="A54" t="s">
        <v>562</v>
      </c>
      <c r="B54" s="215" t="s">
        <v>1392</v>
      </c>
      <c r="C54" s="215" t="str">
        <f ca="1">_xlfn.XLOOKUP(Table38[[#This Row],[Nome]], 'Project Overview'!B:B, 'Project Overview'!Y:Y, "not found")</f>
        <v>yes</v>
      </c>
      <c r="D54" s="215" t="str">
        <f>_xlfn.XLOOKUP(Table38[[#This Row],[Nome]], 'Project Overview'!B:B, 'Project Overview'!I:I, "not found")</f>
        <v>ESCO</v>
      </c>
      <c r="E54" s="283">
        <v>46125</v>
      </c>
    </row>
    <row r="55" spans="1:5" hidden="1" x14ac:dyDescent="0.3">
      <c r="A55" t="s">
        <v>1024</v>
      </c>
      <c r="B55" s="215" t="s">
        <v>1392</v>
      </c>
      <c r="C55" s="215" t="str">
        <f>_xlfn.XLOOKUP(Table38[[#This Row],[Nome]], 'Project Overview'!B:B, 'Project Overview'!Y:Y, "not found")</f>
        <v>not found</v>
      </c>
      <c r="D55" s="215" t="str">
        <f>_xlfn.XLOOKUP(Table38[[#This Row],[Nome]], 'Project Overview'!B:B, 'Project Overview'!I:I, "not found")</f>
        <v>not found</v>
      </c>
      <c r="E55" s="283">
        <v>46125</v>
      </c>
    </row>
    <row r="56" spans="1:5" hidden="1" x14ac:dyDescent="0.3">
      <c r="A56" t="s">
        <v>460</v>
      </c>
      <c r="B56" s="215" t="s">
        <v>1392</v>
      </c>
      <c r="C56" s="215" t="str">
        <f>_xlfn.XLOOKUP(Table38[[#This Row],[Nome]], 'Project Overview'!B:B, 'Project Overview'!Y:Y, "not found")</f>
        <v>not found</v>
      </c>
      <c r="D56" s="215" t="str">
        <f>_xlfn.XLOOKUP(Table38[[#This Row],[Nome]], 'Project Overview'!B:B, 'Project Overview'!I:I, "not found")</f>
        <v>not found</v>
      </c>
      <c r="E56" s="283">
        <v>46125</v>
      </c>
    </row>
    <row r="57" spans="1:5" hidden="1" x14ac:dyDescent="0.3">
      <c r="A57" t="s">
        <v>244</v>
      </c>
      <c r="B57" s="215" t="s">
        <v>1392</v>
      </c>
      <c r="C57" s="215" t="str">
        <f ca="1">_xlfn.XLOOKUP(Table38[[#This Row],[Nome]], 'Project Overview'!B:B, 'Project Overview'!Y:Y, "not found")</f>
        <v>yes</v>
      </c>
      <c r="D57" s="215" t="str">
        <f>_xlfn.XLOOKUP(Table38[[#This Row],[Nome]], 'Project Overview'!B:B, 'Project Overview'!I:I, "not found")</f>
        <v>ESCO</v>
      </c>
      <c r="E57" s="283">
        <v>46125</v>
      </c>
    </row>
    <row r="58" spans="1:5" hidden="1" x14ac:dyDescent="0.3">
      <c r="A58" t="s">
        <v>244</v>
      </c>
      <c r="B58" s="215" t="s">
        <v>1392</v>
      </c>
      <c r="C58" s="215" t="str">
        <f ca="1">_xlfn.XLOOKUP(Table38[[#This Row],[Nome]], 'Project Overview'!B:B, 'Project Overview'!Y:Y, "not found")</f>
        <v>yes</v>
      </c>
      <c r="D58" s="215" t="str">
        <f>_xlfn.XLOOKUP(Table38[[#This Row],[Nome]], 'Project Overview'!B:B, 'Project Overview'!I:I, "not found")</f>
        <v>ESCO</v>
      </c>
      <c r="E58" s="283">
        <v>46125</v>
      </c>
    </row>
    <row r="59" spans="1:5" hidden="1" x14ac:dyDescent="0.3">
      <c r="A59" t="s">
        <v>345</v>
      </c>
      <c r="B59" s="215" t="s">
        <v>1392</v>
      </c>
      <c r="C59" s="215" t="str">
        <f ca="1">_xlfn.XLOOKUP(Table38[[#This Row],[Nome]], 'Project Overview'!B:B, 'Project Overview'!Y:Y, "not found")</f>
        <v>yes</v>
      </c>
      <c r="D59" s="215" t="str">
        <f>_xlfn.XLOOKUP(Table38[[#This Row],[Nome]], 'Project Overview'!B:B, 'Project Overview'!I:I, "not found")</f>
        <v>ESCO</v>
      </c>
      <c r="E59" s="283">
        <v>46125</v>
      </c>
    </row>
    <row r="60" spans="1:5" hidden="1" x14ac:dyDescent="0.3">
      <c r="A60" t="s">
        <v>714</v>
      </c>
      <c r="B60" s="215" t="s">
        <v>1392</v>
      </c>
      <c r="C60" s="215" t="str">
        <f ca="1">_xlfn.XLOOKUP(Table38[[#This Row],[Nome]], 'Project Overview'!B:B, 'Project Overview'!Y:Y, "not found")</f>
        <v>no</v>
      </c>
      <c r="D60" s="215" t="str">
        <f>_xlfn.XLOOKUP(Table38[[#This Row],[Nome]], 'Project Overview'!B:B, 'Project Overview'!I:I, "not found")</f>
        <v>EPC</v>
      </c>
      <c r="E60" s="283">
        <v>46125</v>
      </c>
    </row>
    <row r="61" spans="1:5" hidden="1" x14ac:dyDescent="0.3">
      <c r="A61" t="s">
        <v>514</v>
      </c>
      <c r="B61" s="215" t="s">
        <v>1392</v>
      </c>
      <c r="C61" s="215" t="str">
        <f>_xlfn.XLOOKUP(Table38[[#This Row],[Nome]], 'Project Overview'!B:B, 'Project Overview'!Y:Y, "not found")</f>
        <v>not found</v>
      </c>
      <c r="D61" s="215" t="str">
        <f>_xlfn.XLOOKUP(Table38[[#This Row],[Nome]], 'Project Overview'!B:B, 'Project Overview'!I:I, "not found")</f>
        <v>not found</v>
      </c>
      <c r="E61" s="283">
        <v>46125</v>
      </c>
    </row>
    <row r="62" spans="1:5" hidden="1" x14ac:dyDescent="0.3">
      <c r="A62" t="s">
        <v>230</v>
      </c>
      <c r="B62" s="215" t="s">
        <v>1391</v>
      </c>
      <c r="C62" s="215" t="str">
        <f ca="1">_xlfn.XLOOKUP(Table38[[#This Row],[Nome]], 'Project Overview'!B:B, 'Project Overview'!Y:Y, "not found")</f>
        <v>no</v>
      </c>
      <c r="D62" s="215" t="str">
        <f>_xlfn.XLOOKUP(Table38[[#This Row],[Nome]], 'Project Overview'!B:B, 'Project Overview'!I:I, "not found")</f>
        <v>ESCO BUYOUT</v>
      </c>
      <c r="E62" s="283">
        <v>46125</v>
      </c>
    </row>
    <row r="63" spans="1:5" hidden="1" x14ac:dyDescent="0.3">
      <c r="A63" t="s">
        <v>927</v>
      </c>
      <c r="B63" s="215" t="s">
        <v>1391</v>
      </c>
      <c r="C63" s="215" t="str">
        <f ca="1">_xlfn.XLOOKUP(Table38[[#This Row],[Nome]], 'Project Overview'!B:B, 'Project Overview'!Y:Y, "not found")</f>
        <v>no</v>
      </c>
      <c r="D63" s="215" t="str">
        <f>_xlfn.XLOOKUP(Table38[[#This Row],[Nome]], 'Project Overview'!B:B, 'Project Overview'!I:I, "not found")</f>
        <v>EPC</v>
      </c>
      <c r="E63" s="283">
        <v>46125</v>
      </c>
    </row>
    <row r="64" spans="1:5" hidden="1" x14ac:dyDescent="0.3">
      <c r="A64" t="s">
        <v>1103</v>
      </c>
      <c r="B64" s="215" t="s">
        <v>1391</v>
      </c>
      <c r="C64" s="215" t="str">
        <f ca="1">_xlfn.XLOOKUP(Table38[[#This Row],[Nome]], 'Project Overview'!B:B, 'Project Overview'!Y:Y, "not found")</f>
        <v>no</v>
      </c>
      <c r="D64" s="215" t="str">
        <f>_xlfn.XLOOKUP(Table38[[#This Row],[Nome]], 'Project Overview'!B:B, 'Project Overview'!I:I, "not found")</f>
        <v>EPC</v>
      </c>
      <c r="E64" s="283">
        <v>46125</v>
      </c>
    </row>
    <row r="65" spans="1:5" hidden="1" x14ac:dyDescent="0.3">
      <c r="A65" t="s">
        <v>301</v>
      </c>
      <c r="B65" s="215" t="s">
        <v>1391</v>
      </c>
      <c r="C65" s="215" t="str">
        <f ca="1">_xlfn.XLOOKUP(Table38[[#This Row],[Nome]], 'Project Overview'!B:B, 'Project Overview'!Y:Y, "not found")</f>
        <v>yes</v>
      </c>
      <c r="D65" s="215" t="str">
        <f>_xlfn.XLOOKUP(Table38[[#This Row],[Nome]], 'Project Overview'!B:B, 'Project Overview'!I:I, "not found")</f>
        <v>ESCO</v>
      </c>
      <c r="E65" s="283">
        <v>46125</v>
      </c>
    </row>
    <row r="66" spans="1:5" hidden="1" x14ac:dyDescent="0.3">
      <c r="A66" t="s">
        <v>466</v>
      </c>
      <c r="B66" s="215" t="s">
        <v>1391</v>
      </c>
      <c r="C66" s="215" t="str">
        <f ca="1">_xlfn.XLOOKUP(Table38[[#This Row],[Nome]], 'Project Overview'!B:B, 'Project Overview'!Y:Y, "not found")</f>
        <v>no</v>
      </c>
      <c r="D66" s="215" t="str">
        <f>_xlfn.XLOOKUP(Table38[[#This Row],[Nome]], 'Project Overview'!B:B, 'Project Overview'!I:I, "not found")</f>
        <v>ESCO BUYOUT</v>
      </c>
      <c r="E66" s="283">
        <v>46125</v>
      </c>
    </row>
    <row r="67" spans="1:5" hidden="1" x14ac:dyDescent="0.3">
      <c r="A67" t="s">
        <v>553</v>
      </c>
      <c r="B67" s="215" t="s">
        <v>1391</v>
      </c>
      <c r="C67" s="215" t="str">
        <f>_xlfn.XLOOKUP(Table38[[#This Row],[Nome]], 'Project Overview'!B:B, 'Project Overview'!Y:Y, "not found")</f>
        <v>not found</v>
      </c>
      <c r="D67" s="215" t="str">
        <f>_xlfn.XLOOKUP(Table38[[#This Row],[Nome]], 'Project Overview'!B:B, 'Project Overview'!I:I, "not found")</f>
        <v>not found</v>
      </c>
      <c r="E67" s="283">
        <v>46125</v>
      </c>
    </row>
    <row r="68" spans="1:5" hidden="1" x14ac:dyDescent="0.3">
      <c r="A68" t="s">
        <v>449</v>
      </c>
      <c r="B68" s="215" t="s">
        <v>1391</v>
      </c>
      <c r="C68" s="215" t="str">
        <f ca="1">_xlfn.XLOOKUP(Table38[[#This Row],[Nome]], 'Project Overview'!B:B, 'Project Overview'!Y:Y, "not found")</f>
        <v>no</v>
      </c>
      <c r="D68" s="215" t="str">
        <f>_xlfn.XLOOKUP(Table38[[#This Row],[Nome]], 'Project Overview'!B:B, 'Project Overview'!I:I, "not found")</f>
        <v>EPC</v>
      </c>
      <c r="E68" s="283">
        <v>46125</v>
      </c>
    </row>
    <row r="69" spans="1:5" hidden="1" x14ac:dyDescent="0.3">
      <c r="A69" t="s">
        <v>1139</v>
      </c>
      <c r="B69" s="215" t="s">
        <v>1391</v>
      </c>
      <c r="C69" s="215" t="str">
        <f>_xlfn.XLOOKUP(Table38[[#This Row],[Nome]], 'Project Overview'!B:B, 'Project Overview'!Y:Y, "not found")</f>
        <v>not found</v>
      </c>
      <c r="D69" s="215" t="str">
        <f>_xlfn.XLOOKUP(Table38[[#This Row],[Nome]], 'Project Overview'!B:B, 'Project Overview'!I:I, "not found")</f>
        <v>not found</v>
      </c>
      <c r="E69" s="283">
        <v>46125</v>
      </c>
    </row>
    <row r="70" spans="1:5" hidden="1" x14ac:dyDescent="0.3">
      <c r="A70" t="s">
        <v>58</v>
      </c>
      <c r="B70" s="215" t="s">
        <v>1391</v>
      </c>
      <c r="C70" s="215" t="str">
        <f ca="1">_xlfn.XLOOKUP(Table38[[#This Row],[Nome]], 'Project Overview'!B:B, 'Project Overview'!Y:Y, "not found")</f>
        <v>yes</v>
      </c>
      <c r="D70" s="215" t="str">
        <f>_xlfn.XLOOKUP(Table38[[#This Row],[Nome]], 'Project Overview'!B:B, 'Project Overview'!I:I, "not found")</f>
        <v>ESCO</v>
      </c>
      <c r="E70" s="283">
        <v>46125</v>
      </c>
    </row>
    <row r="71" spans="1:5" hidden="1" x14ac:dyDescent="0.3">
      <c r="A71" t="s">
        <v>168</v>
      </c>
      <c r="B71" s="215" t="s">
        <v>1391</v>
      </c>
      <c r="C71" s="215" t="str">
        <f ca="1">_xlfn.XLOOKUP(Table38[[#This Row],[Nome]], 'Project Overview'!B:B, 'Project Overview'!Y:Y, "not found")</f>
        <v>no</v>
      </c>
      <c r="D71" s="215" t="str">
        <f>_xlfn.XLOOKUP(Table38[[#This Row],[Nome]], 'Project Overview'!B:B, 'Project Overview'!I:I, "not found")</f>
        <v>ESCO BUYOUT</v>
      </c>
      <c r="E71" s="283">
        <v>46125</v>
      </c>
    </row>
    <row r="72" spans="1:5" hidden="1" x14ac:dyDescent="0.3">
      <c r="A72" t="s">
        <v>877</v>
      </c>
      <c r="B72" s="215" t="s">
        <v>1391</v>
      </c>
      <c r="C72" s="215" t="str">
        <f ca="1">_xlfn.XLOOKUP(Table38[[#This Row],[Nome]], 'Project Overview'!B:B, 'Project Overview'!Y:Y, "not found")</f>
        <v>no</v>
      </c>
      <c r="D72" s="215" t="str">
        <f>_xlfn.XLOOKUP(Table38[[#This Row],[Nome]], 'Project Overview'!B:B, 'Project Overview'!I:I, "not found")</f>
        <v>EPC</v>
      </c>
      <c r="E72" s="283">
        <v>46125</v>
      </c>
    </row>
    <row r="73" spans="1:5" hidden="1" x14ac:dyDescent="0.3">
      <c r="A73" t="s">
        <v>1166</v>
      </c>
      <c r="B73" s="215" t="s">
        <v>1391</v>
      </c>
      <c r="C73" s="215" t="str">
        <f ca="1">_xlfn.XLOOKUP(Table38[[#This Row],[Nome]], 'Project Overview'!B:B, 'Project Overview'!Y:Y, "not found")</f>
        <v>no</v>
      </c>
      <c r="D73" s="215" t="str">
        <f>_xlfn.XLOOKUP(Table38[[#This Row],[Nome]], 'Project Overview'!B:B, 'Project Overview'!I:I, "not found")</f>
        <v>EPC</v>
      </c>
      <c r="E73" s="283">
        <v>46125</v>
      </c>
    </row>
    <row r="74" spans="1:5" hidden="1" x14ac:dyDescent="0.3">
      <c r="A74" t="s">
        <v>289</v>
      </c>
      <c r="B74" s="215" t="s">
        <v>1391</v>
      </c>
      <c r="C74" s="215" t="str">
        <f ca="1">_xlfn.XLOOKUP(Table38[[#This Row],[Nome]], 'Project Overview'!B:B, 'Project Overview'!Y:Y, "not found")</f>
        <v>yes</v>
      </c>
      <c r="D74" s="215" t="str">
        <f>_xlfn.XLOOKUP(Table38[[#This Row],[Nome]], 'Project Overview'!B:B, 'Project Overview'!I:I, "not found")</f>
        <v>ESCO</v>
      </c>
      <c r="E74" s="283">
        <v>46125</v>
      </c>
    </row>
    <row r="75" spans="1:5" hidden="1" x14ac:dyDescent="0.3">
      <c r="A75" t="s">
        <v>73</v>
      </c>
      <c r="B75" s="215" t="s">
        <v>1391</v>
      </c>
      <c r="C75" s="215" t="str">
        <f>_xlfn.XLOOKUP(Table38[[#This Row],[Nome]], 'Project Overview'!B:B, 'Project Overview'!Y:Y, "not found")</f>
        <v>not found</v>
      </c>
      <c r="D75" s="215" t="str">
        <f>_xlfn.XLOOKUP(Table38[[#This Row],[Nome]], 'Project Overview'!B:B, 'Project Overview'!I:I, "not found")</f>
        <v>not found</v>
      </c>
      <c r="E75" s="283">
        <v>46125</v>
      </c>
    </row>
    <row r="76" spans="1:5" hidden="1" x14ac:dyDescent="0.3">
      <c r="A76" t="s">
        <v>822</v>
      </c>
      <c r="B76" s="215" t="s">
        <v>1391</v>
      </c>
      <c r="C76" s="215" t="str">
        <f>_xlfn.XLOOKUP(Table38[[#This Row],[Nome]], 'Project Overview'!B:B, 'Project Overview'!Y:Y, "not found")</f>
        <v>not found</v>
      </c>
      <c r="D76" s="215" t="str">
        <f>_xlfn.XLOOKUP(Table38[[#This Row],[Nome]], 'Project Overview'!B:B, 'Project Overview'!I:I, "not found")</f>
        <v>not found</v>
      </c>
      <c r="E76" s="283">
        <v>46125</v>
      </c>
    </row>
    <row r="77" spans="1:5" hidden="1" x14ac:dyDescent="0.3">
      <c r="A77" t="s">
        <v>175</v>
      </c>
      <c r="B77" s="215" t="s">
        <v>1391</v>
      </c>
      <c r="C77" s="215" t="str">
        <f>_xlfn.XLOOKUP(Table38[[#This Row],[Nome]], 'Project Overview'!B:B, 'Project Overview'!Y:Y, "not found")</f>
        <v>not found</v>
      </c>
      <c r="D77" s="215" t="str">
        <f>_xlfn.XLOOKUP(Table38[[#This Row],[Nome]], 'Project Overview'!B:B, 'Project Overview'!I:I, "not found")</f>
        <v>not found</v>
      </c>
      <c r="E77" s="283">
        <v>46125</v>
      </c>
    </row>
    <row r="78" spans="1:5" hidden="1" x14ac:dyDescent="0.3">
      <c r="A78" t="s">
        <v>702</v>
      </c>
      <c r="B78" s="215" t="s">
        <v>1391</v>
      </c>
      <c r="C78" s="215" t="str">
        <f>_xlfn.XLOOKUP(Table38[[#This Row],[Nome]], 'Project Overview'!B:B, 'Project Overview'!Y:Y, "not found")</f>
        <v>not found</v>
      </c>
      <c r="D78" s="215" t="str">
        <f>_xlfn.XLOOKUP(Table38[[#This Row],[Nome]], 'Project Overview'!B:B, 'Project Overview'!I:I, "not found")</f>
        <v>not found</v>
      </c>
      <c r="E78" s="283">
        <v>46125</v>
      </c>
    </row>
    <row r="79" spans="1:5" hidden="1" x14ac:dyDescent="0.3">
      <c r="A79" t="s">
        <v>873</v>
      </c>
      <c r="B79" s="215" t="s">
        <v>1391</v>
      </c>
      <c r="C79" s="215" t="str">
        <f ca="1">_xlfn.XLOOKUP(Table38[[#This Row],[Nome]], 'Project Overview'!B:B, 'Project Overview'!Y:Y, "not found")</f>
        <v>no</v>
      </c>
      <c r="D79" s="215" t="str">
        <f>_xlfn.XLOOKUP(Table38[[#This Row],[Nome]], 'Project Overview'!B:B, 'Project Overview'!I:I, "not found")</f>
        <v>EPC</v>
      </c>
      <c r="E79" s="283">
        <v>46125</v>
      </c>
    </row>
    <row r="80" spans="1:5" hidden="1" x14ac:dyDescent="0.3">
      <c r="A80" t="s">
        <v>306</v>
      </c>
      <c r="B80" s="215" t="s">
        <v>1391</v>
      </c>
      <c r="C80" s="215" t="str">
        <f ca="1">_xlfn.XLOOKUP(Table38[[#This Row],[Nome]], 'Project Overview'!B:B, 'Project Overview'!Y:Y, "not found")</f>
        <v>no</v>
      </c>
      <c r="D80" s="215" t="str">
        <f>_xlfn.XLOOKUP(Table38[[#This Row],[Nome]], 'Project Overview'!B:B, 'Project Overview'!I:I, "not found")</f>
        <v>EPC</v>
      </c>
      <c r="E80" s="283">
        <v>46125</v>
      </c>
    </row>
    <row r="81" spans="1:5" hidden="1" x14ac:dyDescent="0.3">
      <c r="A81" t="s">
        <v>180</v>
      </c>
      <c r="B81" s="215" t="s">
        <v>1391</v>
      </c>
      <c r="C81" s="215" t="str">
        <f ca="1">_xlfn.XLOOKUP(Table38[[#This Row],[Nome]], 'Project Overview'!B:B, 'Project Overview'!Y:Y, "not found")</f>
        <v>yes</v>
      </c>
      <c r="D81" s="215" t="str">
        <f>_xlfn.XLOOKUP(Table38[[#This Row],[Nome]], 'Project Overview'!B:B, 'Project Overview'!I:I, "not found")</f>
        <v>EPC</v>
      </c>
      <c r="E81" s="283">
        <v>46125</v>
      </c>
    </row>
    <row r="82" spans="1:5" ht="15" hidden="1" thickBot="1" x14ac:dyDescent="0.35">
      <c r="A82" s="282" t="s">
        <v>85</v>
      </c>
      <c r="B82" s="285" t="s">
        <v>1391</v>
      </c>
      <c r="C82" s="285" t="str">
        <f ca="1">_xlfn.XLOOKUP(Table38[[#This Row],[Nome]], 'Project Overview'!B:B, 'Project Overview'!Y:Y, "not found")</f>
        <v>no</v>
      </c>
      <c r="D82" s="285" t="str">
        <f>_xlfn.XLOOKUP(Table38[[#This Row],[Nome]], 'Project Overview'!B:B, 'Project Overview'!I:I, "not found")</f>
        <v>ESCO BUYOUT</v>
      </c>
      <c r="E82" s="284">
        <v>46125</v>
      </c>
    </row>
    <row r="83" spans="1:5" hidden="1" x14ac:dyDescent="0.3">
      <c r="A83" t="s">
        <v>633</v>
      </c>
      <c r="B83" s="215" t="s">
        <v>1392</v>
      </c>
      <c r="C83" s="215" t="str">
        <f>_xlfn.XLOOKUP(Table38[[#This Row],[Nome]], 'Project Overview'!B:B, 'Project Overview'!Y:Y, "not found")</f>
        <v>not found</v>
      </c>
      <c r="D83" s="215" t="str">
        <f>_xlfn.XLOOKUP(Table38[[#This Row],[Nome]], 'Project Overview'!B:B, 'Project Overview'!I:I, "not found")</f>
        <v>not found</v>
      </c>
      <c r="E83" s="283">
        <v>46127</v>
      </c>
    </row>
    <row r="84" spans="1:5" hidden="1" x14ac:dyDescent="0.3">
      <c r="A84" t="s">
        <v>502</v>
      </c>
      <c r="B84" s="215" t="s">
        <v>1392</v>
      </c>
      <c r="C84" s="215" t="str">
        <f ca="1">_xlfn.XLOOKUP(Table38[[#This Row],[Nome]], 'Project Overview'!B:B, 'Project Overview'!Y:Y, "not found")</f>
        <v>yes</v>
      </c>
      <c r="D84" s="215" t="str">
        <f>_xlfn.XLOOKUP(Table38[[#This Row],[Nome]], 'Project Overview'!B:B, 'Project Overview'!I:I, "not found")</f>
        <v>ESCO</v>
      </c>
      <c r="E84" s="283">
        <v>46127</v>
      </c>
    </row>
    <row r="85" spans="1:5" hidden="1" x14ac:dyDescent="0.3">
      <c r="A85" t="s">
        <v>670</v>
      </c>
      <c r="B85" s="215" t="s">
        <v>1392</v>
      </c>
      <c r="C85" s="215" t="str">
        <f ca="1">_xlfn.XLOOKUP(Table38[[#This Row],[Nome]], 'Project Overview'!B:B, 'Project Overview'!Y:Y, "not found")</f>
        <v>yes</v>
      </c>
      <c r="D85" s="215" t="str">
        <f>_xlfn.XLOOKUP(Table38[[#This Row],[Nome]], 'Project Overview'!B:B, 'Project Overview'!I:I, "not found")</f>
        <v>ESCO</v>
      </c>
      <c r="E85" s="283">
        <v>46127</v>
      </c>
    </row>
    <row r="86" spans="1:5" hidden="1" x14ac:dyDescent="0.3">
      <c r="A86" t="s">
        <v>764</v>
      </c>
      <c r="B86" s="215" t="s">
        <v>1392</v>
      </c>
      <c r="C86" s="215" t="str">
        <f>_xlfn.XLOOKUP(Table38[[#This Row],[Nome]], 'Project Overview'!B:B, 'Project Overview'!Y:Y, "not found")</f>
        <v>not found</v>
      </c>
      <c r="D86" s="215" t="str">
        <f>_xlfn.XLOOKUP(Table38[[#This Row],[Nome]], 'Project Overview'!B:B, 'Project Overview'!I:I, "not found")</f>
        <v>not found</v>
      </c>
      <c r="E86" s="283">
        <v>46127</v>
      </c>
    </row>
    <row r="87" spans="1:5" hidden="1" x14ac:dyDescent="0.3">
      <c r="A87" t="s">
        <v>1047</v>
      </c>
      <c r="B87" s="215" t="s">
        <v>1392</v>
      </c>
      <c r="C87" s="215" t="str">
        <f>_xlfn.XLOOKUP(Table38[[#This Row],[Nome]], 'Project Overview'!B:B, 'Project Overview'!Y:Y, "not found")</f>
        <v>not found</v>
      </c>
      <c r="D87" s="215" t="str">
        <f>_xlfn.XLOOKUP(Table38[[#This Row],[Nome]], 'Project Overview'!B:B, 'Project Overview'!I:I, "not found")</f>
        <v>not found</v>
      </c>
      <c r="E87" s="283">
        <v>46127</v>
      </c>
    </row>
    <row r="88" spans="1:5" hidden="1" x14ac:dyDescent="0.3">
      <c r="A88" t="s">
        <v>363</v>
      </c>
      <c r="B88" s="215" t="s">
        <v>1392</v>
      </c>
      <c r="C88" s="215" t="str">
        <f ca="1">_xlfn.XLOOKUP(Table38[[#This Row],[Nome]], 'Project Overview'!B:B, 'Project Overview'!Y:Y, "not found")</f>
        <v>no</v>
      </c>
      <c r="D88" s="215" t="str">
        <f>_xlfn.XLOOKUP(Table38[[#This Row],[Nome]], 'Project Overview'!B:B, 'Project Overview'!I:I, "not found")</f>
        <v>EPC</v>
      </c>
      <c r="E88" s="283">
        <v>46127</v>
      </c>
    </row>
    <row r="89" spans="1:5" hidden="1" x14ac:dyDescent="0.3">
      <c r="A89" t="s">
        <v>676</v>
      </c>
      <c r="B89" s="215" t="s">
        <v>1392</v>
      </c>
      <c r="C89" s="215" t="str">
        <f>_xlfn.XLOOKUP(Table38[[#This Row],[Nome]], 'Project Overview'!B:B, 'Project Overview'!Y:Y, "not found")</f>
        <v>not found</v>
      </c>
      <c r="D89" s="215" t="str">
        <f>_xlfn.XLOOKUP(Table38[[#This Row],[Nome]], 'Project Overview'!B:B, 'Project Overview'!I:I, "not found")</f>
        <v>not found</v>
      </c>
      <c r="E89" s="283">
        <v>46127</v>
      </c>
    </row>
    <row r="90" spans="1:5" hidden="1" x14ac:dyDescent="0.3">
      <c r="A90" t="s">
        <v>1397</v>
      </c>
      <c r="B90" s="215" t="s">
        <v>1392</v>
      </c>
      <c r="C90" s="215" t="str">
        <f>_xlfn.XLOOKUP(Table38[[#This Row],[Nome]], 'Project Overview'!B:B, 'Project Overview'!Y:Y, "not found")</f>
        <v>not found</v>
      </c>
      <c r="D90" s="215" t="str">
        <f>_xlfn.XLOOKUP(Table38[[#This Row],[Nome]], 'Project Overview'!B:B, 'Project Overview'!I:I, "not found")</f>
        <v>not found</v>
      </c>
      <c r="E90" s="283">
        <v>46127</v>
      </c>
    </row>
    <row r="91" spans="1:5" hidden="1" x14ac:dyDescent="0.3">
      <c r="A91" t="s">
        <v>627</v>
      </c>
      <c r="B91" s="215" t="s">
        <v>1392</v>
      </c>
      <c r="C91" s="215" t="str">
        <f ca="1">_xlfn.XLOOKUP(Table38[[#This Row],[Nome]], 'Project Overview'!B:B, 'Project Overview'!Y:Y, "not found")</f>
        <v>yes</v>
      </c>
      <c r="D91" s="215" t="str">
        <f>_xlfn.XLOOKUP(Table38[[#This Row],[Nome]], 'Project Overview'!B:B, 'Project Overview'!I:I, "not found")</f>
        <v>ESCO</v>
      </c>
      <c r="E91" s="283">
        <v>46127</v>
      </c>
    </row>
    <row r="92" spans="1:5" hidden="1" x14ac:dyDescent="0.3">
      <c r="A92" t="s">
        <v>1024</v>
      </c>
      <c r="B92" s="215" t="s">
        <v>1392</v>
      </c>
      <c r="C92" s="215" t="str">
        <f>_xlfn.XLOOKUP(Table38[[#This Row],[Nome]], 'Project Overview'!B:B, 'Project Overview'!Y:Y, "not found")</f>
        <v>not found</v>
      </c>
      <c r="D92" s="215" t="str">
        <f>_xlfn.XLOOKUP(Table38[[#This Row],[Nome]], 'Project Overview'!B:B, 'Project Overview'!I:I, "not found")</f>
        <v>not found</v>
      </c>
      <c r="E92" s="283">
        <v>46127</v>
      </c>
    </row>
    <row r="93" spans="1:5" hidden="1" x14ac:dyDescent="0.3">
      <c r="A93" t="s">
        <v>460</v>
      </c>
      <c r="B93" s="215" t="s">
        <v>1392</v>
      </c>
      <c r="C93" s="215" t="str">
        <f>_xlfn.XLOOKUP(Table38[[#This Row],[Nome]], 'Project Overview'!B:B, 'Project Overview'!Y:Y, "not found")</f>
        <v>not found</v>
      </c>
      <c r="D93" s="215" t="str">
        <f>_xlfn.XLOOKUP(Table38[[#This Row],[Nome]], 'Project Overview'!B:B, 'Project Overview'!I:I, "not found")</f>
        <v>not found</v>
      </c>
      <c r="E93" s="283">
        <v>46127</v>
      </c>
    </row>
    <row r="94" spans="1:5" hidden="1" x14ac:dyDescent="0.3">
      <c r="A94" t="s">
        <v>345</v>
      </c>
      <c r="B94" s="215" t="s">
        <v>1392</v>
      </c>
      <c r="C94" s="215" t="str">
        <f ca="1">_xlfn.XLOOKUP(Table38[[#This Row],[Nome]], 'Project Overview'!B:B, 'Project Overview'!Y:Y, "not found")</f>
        <v>yes</v>
      </c>
      <c r="D94" s="215" t="str">
        <f>_xlfn.XLOOKUP(Table38[[#This Row],[Nome]], 'Project Overview'!B:B, 'Project Overview'!I:I, "not found")</f>
        <v>ESCO</v>
      </c>
      <c r="E94" s="283">
        <v>46127</v>
      </c>
    </row>
    <row r="95" spans="1:5" hidden="1" x14ac:dyDescent="0.3">
      <c r="A95" t="s">
        <v>714</v>
      </c>
      <c r="B95" s="215" t="s">
        <v>1392</v>
      </c>
      <c r="C95" s="215" t="str">
        <f ca="1">_xlfn.XLOOKUP(Table38[[#This Row],[Nome]], 'Project Overview'!B:B, 'Project Overview'!Y:Y, "not found")</f>
        <v>no</v>
      </c>
      <c r="D95" s="215" t="str">
        <f>_xlfn.XLOOKUP(Table38[[#This Row],[Nome]], 'Project Overview'!B:B, 'Project Overview'!I:I, "not found")</f>
        <v>EPC</v>
      </c>
      <c r="E95" s="283">
        <v>46127</v>
      </c>
    </row>
    <row r="96" spans="1:5" hidden="1" x14ac:dyDescent="0.3">
      <c r="A96" t="s">
        <v>514</v>
      </c>
      <c r="B96" s="215" t="s">
        <v>1392</v>
      </c>
      <c r="C96" s="215" t="str">
        <f>_xlfn.XLOOKUP(Table38[[#This Row],[Nome]], 'Project Overview'!B:B, 'Project Overview'!Y:Y, "not found")</f>
        <v>not found</v>
      </c>
      <c r="D96" s="215" t="str">
        <f>_xlfn.XLOOKUP(Table38[[#This Row],[Nome]], 'Project Overview'!B:B, 'Project Overview'!I:I, "not found")</f>
        <v>not found</v>
      </c>
      <c r="E96" s="283">
        <v>46127</v>
      </c>
    </row>
    <row r="97" spans="1:5" hidden="1" x14ac:dyDescent="0.3">
      <c r="A97" t="s">
        <v>230</v>
      </c>
      <c r="B97" s="215" t="s">
        <v>1391</v>
      </c>
      <c r="C97" s="215" t="str">
        <f ca="1">_xlfn.XLOOKUP(Table38[[#This Row],[Nome]], 'Project Overview'!B:B, 'Project Overview'!Y:Y, "not found")</f>
        <v>no</v>
      </c>
      <c r="D97" s="215" t="str">
        <f>_xlfn.XLOOKUP(Table38[[#This Row],[Nome]], 'Project Overview'!B:B, 'Project Overview'!I:I, "not found")</f>
        <v>ESCO BUYOUT</v>
      </c>
      <c r="E97" s="283">
        <v>46127</v>
      </c>
    </row>
    <row r="98" spans="1:5" hidden="1" x14ac:dyDescent="0.3">
      <c r="A98" t="s">
        <v>927</v>
      </c>
      <c r="B98" s="215" t="s">
        <v>1391</v>
      </c>
      <c r="C98" s="215" t="str">
        <f ca="1">_xlfn.XLOOKUP(Table38[[#This Row],[Nome]], 'Project Overview'!B:B, 'Project Overview'!Y:Y, "not found")</f>
        <v>no</v>
      </c>
      <c r="D98" s="215" t="str">
        <f>_xlfn.XLOOKUP(Table38[[#This Row],[Nome]], 'Project Overview'!B:B, 'Project Overview'!I:I, "not found")</f>
        <v>EPC</v>
      </c>
      <c r="E98" s="283">
        <v>46127</v>
      </c>
    </row>
    <row r="99" spans="1:5" hidden="1" x14ac:dyDescent="0.3">
      <c r="A99" t="s">
        <v>1103</v>
      </c>
      <c r="B99" s="215" t="s">
        <v>1391</v>
      </c>
      <c r="C99" s="215" t="str">
        <f ca="1">_xlfn.XLOOKUP(Table38[[#This Row],[Nome]], 'Project Overview'!B:B, 'Project Overview'!Y:Y, "not found")</f>
        <v>no</v>
      </c>
      <c r="D99" s="215" t="str">
        <f>_xlfn.XLOOKUP(Table38[[#This Row],[Nome]], 'Project Overview'!B:B, 'Project Overview'!I:I, "not found")</f>
        <v>EPC</v>
      </c>
      <c r="E99" s="283">
        <v>46127</v>
      </c>
    </row>
    <row r="100" spans="1:5" hidden="1" x14ac:dyDescent="0.3">
      <c r="A100" t="s">
        <v>301</v>
      </c>
      <c r="B100" s="215" t="s">
        <v>1391</v>
      </c>
      <c r="C100" s="215" t="str">
        <f ca="1">_xlfn.XLOOKUP(Table38[[#This Row],[Nome]], 'Project Overview'!B:B, 'Project Overview'!Y:Y, "not found")</f>
        <v>yes</v>
      </c>
      <c r="D100" s="215" t="str">
        <f>_xlfn.XLOOKUP(Table38[[#This Row],[Nome]], 'Project Overview'!B:B, 'Project Overview'!I:I, "not found")</f>
        <v>ESCO</v>
      </c>
      <c r="E100" s="283">
        <v>46127</v>
      </c>
    </row>
    <row r="101" spans="1:5" hidden="1" x14ac:dyDescent="0.3">
      <c r="A101" t="s">
        <v>466</v>
      </c>
      <c r="B101" s="215" t="s">
        <v>1391</v>
      </c>
      <c r="C101" s="215" t="str">
        <f ca="1">_xlfn.XLOOKUP(Table38[[#This Row],[Nome]], 'Project Overview'!B:B, 'Project Overview'!Y:Y, "not found")</f>
        <v>no</v>
      </c>
      <c r="D101" s="215" t="str">
        <f>_xlfn.XLOOKUP(Table38[[#This Row],[Nome]], 'Project Overview'!B:B, 'Project Overview'!I:I, "not found")</f>
        <v>ESCO BUYOUT</v>
      </c>
      <c r="E101" s="283">
        <v>46127</v>
      </c>
    </row>
    <row r="102" spans="1:5" hidden="1" x14ac:dyDescent="0.3">
      <c r="A102" t="s">
        <v>553</v>
      </c>
      <c r="B102" s="215" t="s">
        <v>1391</v>
      </c>
      <c r="C102" s="215" t="str">
        <f>_xlfn.XLOOKUP(Table38[[#This Row],[Nome]], 'Project Overview'!B:B, 'Project Overview'!Y:Y, "not found")</f>
        <v>not found</v>
      </c>
      <c r="D102" s="215" t="str">
        <f>_xlfn.XLOOKUP(Table38[[#This Row],[Nome]], 'Project Overview'!B:B, 'Project Overview'!I:I, "not found")</f>
        <v>not found</v>
      </c>
      <c r="E102" s="283">
        <v>46127</v>
      </c>
    </row>
    <row r="103" spans="1:5" hidden="1" x14ac:dyDescent="0.3">
      <c r="A103" t="s">
        <v>586</v>
      </c>
      <c r="B103" s="215" t="s">
        <v>1391</v>
      </c>
      <c r="C103" s="215" t="str">
        <f ca="1">_xlfn.XLOOKUP(Table38[[#This Row],[Nome]], 'Project Overview'!B:B, 'Project Overview'!Y:Y, "not found")</f>
        <v>no</v>
      </c>
      <c r="D103" s="215" t="str">
        <f>_xlfn.XLOOKUP(Table38[[#This Row],[Nome]], 'Project Overview'!B:B, 'Project Overview'!I:I, "not found")</f>
        <v>EPC</v>
      </c>
      <c r="E103" s="283">
        <v>46127</v>
      </c>
    </row>
    <row r="104" spans="1:5" hidden="1" x14ac:dyDescent="0.3">
      <c r="A104" t="s">
        <v>1139</v>
      </c>
      <c r="B104" s="215" t="s">
        <v>1391</v>
      </c>
      <c r="C104" s="215" t="str">
        <f>_xlfn.XLOOKUP(Table38[[#This Row],[Nome]], 'Project Overview'!B:B, 'Project Overview'!Y:Y, "not found")</f>
        <v>not found</v>
      </c>
      <c r="D104" s="215" t="str">
        <f>_xlfn.XLOOKUP(Table38[[#This Row],[Nome]], 'Project Overview'!B:B, 'Project Overview'!I:I, "not found")</f>
        <v>not found</v>
      </c>
      <c r="E104" s="283">
        <v>46127</v>
      </c>
    </row>
    <row r="105" spans="1:5" hidden="1" x14ac:dyDescent="0.3">
      <c r="A105" t="s">
        <v>58</v>
      </c>
      <c r="B105" s="215" t="s">
        <v>1391</v>
      </c>
      <c r="C105" s="215" t="str">
        <f ca="1">_xlfn.XLOOKUP(Table38[[#This Row],[Nome]], 'Project Overview'!B:B, 'Project Overview'!Y:Y, "not found")</f>
        <v>yes</v>
      </c>
      <c r="D105" s="215" t="str">
        <f>_xlfn.XLOOKUP(Table38[[#This Row],[Nome]], 'Project Overview'!B:B, 'Project Overview'!I:I, "not found")</f>
        <v>ESCO</v>
      </c>
      <c r="E105" s="283">
        <v>46127</v>
      </c>
    </row>
    <row r="106" spans="1:5" hidden="1" x14ac:dyDescent="0.3">
      <c r="A106" t="s">
        <v>168</v>
      </c>
      <c r="B106" s="215" t="s">
        <v>1391</v>
      </c>
      <c r="C106" s="215" t="str">
        <f ca="1">_xlfn.XLOOKUP(Table38[[#This Row],[Nome]], 'Project Overview'!B:B, 'Project Overview'!Y:Y, "not found")</f>
        <v>no</v>
      </c>
      <c r="D106" s="215" t="str">
        <f>_xlfn.XLOOKUP(Table38[[#This Row],[Nome]], 'Project Overview'!B:B, 'Project Overview'!I:I, "not found")</f>
        <v>ESCO BUYOUT</v>
      </c>
      <c r="E106" s="283">
        <v>46127</v>
      </c>
    </row>
    <row r="107" spans="1:5" hidden="1" x14ac:dyDescent="0.3">
      <c r="A107" t="s">
        <v>877</v>
      </c>
      <c r="B107" s="215" t="s">
        <v>1391</v>
      </c>
      <c r="C107" s="215" t="str">
        <f ca="1">_xlfn.XLOOKUP(Table38[[#This Row],[Nome]], 'Project Overview'!B:B, 'Project Overview'!Y:Y, "not found")</f>
        <v>no</v>
      </c>
      <c r="D107" s="215" t="str">
        <f>_xlfn.XLOOKUP(Table38[[#This Row],[Nome]], 'Project Overview'!B:B, 'Project Overview'!I:I, "not found")</f>
        <v>EPC</v>
      </c>
      <c r="E107" s="283">
        <v>46127</v>
      </c>
    </row>
    <row r="108" spans="1:5" hidden="1" x14ac:dyDescent="0.3">
      <c r="A108" t="s">
        <v>1166</v>
      </c>
      <c r="B108" s="215" t="s">
        <v>1391</v>
      </c>
      <c r="C108" s="215" t="str">
        <f ca="1">_xlfn.XLOOKUP(Table38[[#This Row],[Nome]], 'Project Overview'!B:B, 'Project Overview'!Y:Y, "not found")</f>
        <v>no</v>
      </c>
      <c r="D108" s="215" t="str">
        <f>_xlfn.XLOOKUP(Table38[[#This Row],[Nome]], 'Project Overview'!B:B, 'Project Overview'!I:I, "not found")</f>
        <v>EPC</v>
      </c>
      <c r="E108" s="283">
        <v>46127</v>
      </c>
    </row>
    <row r="109" spans="1:5" hidden="1" x14ac:dyDescent="0.3">
      <c r="A109" t="s">
        <v>114</v>
      </c>
      <c r="B109" s="215" t="s">
        <v>1391</v>
      </c>
      <c r="C109" s="215" t="str">
        <f ca="1">_xlfn.XLOOKUP(Table38[[#This Row],[Nome]], 'Project Overview'!B:B, 'Project Overview'!Y:Y, "not found")</f>
        <v>yes</v>
      </c>
      <c r="D109" s="215" t="str">
        <f>_xlfn.XLOOKUP(Table38[[#This Row],[Nome]], 'Project Overview'!B:B, 'Project Overview'!I:I, "not found")</f>
        <v>ESCO</v>
      </c>
      <c r="E109" s="283">
        <v>46127</v>
      </c>
    </row>
    <row r="110" spans="1:5" hidden="1" x14ac:dyDescent="0.3">
      <c r="A110" t="s">
        <v>204</v>
      </c>
      <c r="B110" s="215" t="s">
        <v>1391</v>
      </c>
      <c r="C110" s="215" t="str">
        <f ca="1">_xlfn.XLOOKUP(Table38[[#This Row],[Nome]], 'Project Overview'!B:B, 'Project Overview'!Y:Y, "not found")</f>
        <v>yes</v>
      </c>
      <c r="D110" s="215" t="str">
        <f>_xlfn.XLOOKUP(Table38[[#This Row],[Nome]], 'Project Overview'!B:B, 'Project Overview'!I:I, "not found")</f>
        <v>ESCO</v>
      </c>
      <c r="E110" s="283">
        <v>46127</v>
      </c>
    </row>
    <row r="111" spans="1:5" hidden="1" x14ac:dyDescent="0.3">
      <c r="A111" t="s">
        <v>73</v>
      </c>
      <c r="B111" s="215" t="s">
        <v>1391</v>
      </c>
      <c r="C111" s="215" t="str">
        <f>_xlfn.XLOOKUP(Table38[[#This Row],[Nome]], 'Project Overview'!B:B, 'Project Overview'!Y:Y, "not found")</f>
        <v>not found</v>
      </c>
      <c r="D111" s="215" t="str">
        <f>_xlfn.XLOOKUP(Table38[[#This Row],[Nome]], 'Project Overview'!B:B, 'Project Overview'!I:I, "not found")</f>
        <v>not found</v>
      </c>
      <c r="E111" s="283">
        <v>46127</v>
      </c>
    </row>
    <row r="112" spans="1:5" hidden="1" x14ac:dyDescent="0.3">
      <c r="A112" t="s">
        <v>822</v>
      </c>
      <c r="B112" s="215" t="s">
        <v>1391</v>
      </c>
      <c r="C112" s="215" t="str">
        <f>_xlfn.XLOOKUP(Table38[[#This Row],[Nome]], 'Project Overview'!B:B, 'Project Overview'!Y:Y, "not found")</f>
        <v>not found</v>
      </c>
      <c r="D112" s="215" t="str">
        <f>_xlfn.XLOOKUP(Table38[[#This Row],[Nome]], 'Project Overview'!B:B, 'Project Overview'!I:I, "not found")</f>
        <v>not found</v>
      </c>
      <c r="E112" s="283">
        <v>46127</v>
      </c>
    </row>
    <row r="113" spans="1:6" hidden="1" x14ac:dyDescent="0.3">
      <c r="A113" t="s">
        <v>175</v>
      </c>
      <c r="B113" s="215" t="s">
        <v>1391</v>
      </c>
      <c r="C113" s="215" t="str">
        <f>_xlfn.XLOOKUP(Table38[[#This Row],[Nome]], 'Project Overview'!B:B, 'Project Overview'!Y:Y, "not found")</f>
        <v>not found</v>
      </c>
      <c r="D113" s="215" t="str">
        <f>_xlfn.XLOOKUP(Table38[[#This Row],[Nome]], 'Project Overview'!B:B, 'Project Overview'!I:I, "not found")</f>
        <v>not found</v>
      </c>
      <c r="E113" s="283">
        <v>46127</v>
      </c>
    </row>
    <row r="114" spans="1:6" hidden="1" x14ac:dyDescent="0.3">
      <c r="A114" t="s">
        <v>702</v>
      </c>
      <c r="B114" s="215" t="s">
        <v>1391</v>
      </c>
      <c r="C114" s="215" t="str">
        <f>_xlfn.XLOOKUP(Table38[[#This Row],[Nome]], 'Project Overview'!B:B, 'Project Overview'!Y:Y, "not found")</f>
        <v>not found</v>
      </c>
      <c r="D114" s="215" t="str">
        <f>_xlfn.XLOOKUP(Table38[[#This Row],[Nome]], 'Project Overview'!B:B, 'Project Overview'!I:I, "not found")</f>
        <v>not found</v>
      </c>
      <c r="E114" s="283">
        <v>46127</v>
      </c>
    </row>
    <row r="115" spans="1:6" hidden="1" x14ac:dyDescent="0.3">
      <c r="A115" t="s">
        <v>873</v>
      </c>
      <c r="B115" s="215" t="s">
        <v>1391</v>
      </c>
      <c r="C115" s="215" t="str">
        <f ca="1">_xlfn.XLOOKUP(Table38[[#This Row],[Nome]], 'Project Overview'!B:B, 'Project Overview'!Y:Y, "not found")</f>
        <v>no</v>
      </c>
      <c r="D115" s="215" t="str">
        <f>_xlfn.XLOOKUP(Table38[[#This Row],[Nome]], 'Project Overview'!B:B, 'Project Overview'!I:I, "not found")</f>
        <v>EPC</v>
      </c>
      <c r="E115" s="283">
        <v>46127</v>
      </c>
    </row>
    <row r="116" spans="1:6" hidden="1" x14ac:dyDescent="0.3">
      <c r="A116" t="s">
        <v>306</v>
      </c>
      <c r="B116" s="215" t="s">
        <v>1391</v>
      </c>
      <c r="C116" s="215" t="str">
        <f ca="1">_xlfn.XLOOKUP(Table38[[#This Row],[Nome]], 'Project Overview'!B:B, 'Project Overview'!Y:Y, "not found")</f>
        <v>no</v>
      </c>
      <c r="D116" s="215" t="str">
        <f>_xlfn.XLOOKUP(Table38[[#This Row],[Nome]], 'Project Overview'!B:B, 'Project Overview'!I:I, "not found")</f>
        <v>EPC</v>
      </c>
      <c r="E116" s="283">
        <v>46127</v>
      </c>
    </row>
    <row r="117" spans="1:6" hidden="1" x14ac:dyDescent="0.3">
      <c r="A117" t="s">
        <v>180</v>
      </c>
      <c r="B117" s="215" t="s">
        <v>1391</v>
      </c>
      <c r="C117" s="215" t="str">
        <f ca="1">_xlfn.XLOOKUP(Table38[[#This Row],[Nome]], 'Project Overview'!B:B, 'Project Overview'!Y:Y, "not found")</f>
        <v>yes</v>
      </c>
      <c r="D117" s="215" t="str">
        <f>_xlfn.XLOOKUP(Table38[[#This Row],[Nome]], 'Project Overview'!B:B, 'Project Overview'!I:I, "not found")</f>
        <v>EPC</v>
      </c>
      <c r="E117" s="283">
        <v>46127</v>
      </c>
    </row>
    <row r="118" spans="1:6" ht="15" hidden="1" thickBot="1" x14ac:dyDescent="0.35">
      <c r="A118" s="282" t="s">
        <v>85</v>
      </c>
      <c r="B118" s="285" t="s">
        <v>1391</v>
      </c>
      <c r="C118" s="285" t="str">
        <f ca="1">_xlfn.XLOOKUP(Table38[[#This Row],[Nome]], 'Project Overview'!B:B, 'Project Overview'!Y:Y, "not found")</f>
        <v>no</v>
      </c>
      <c r="D118" s="285" t="str">
        <f>_xlfn.XLOOKUP(Table38[[#This Row],[Nome]], 'Project Overview'!B:B, 'Project Overview'!I:I, "not found")</f>
        <v>ESCO BUYOUT</v>
      </c>
      <c r="E118" s="284">
        <v>46127</v>
      </c>
    </row>
    <row r="119" spans="1:6" hidden="1" x14ac:dyDescent="0.3">
      <c r="A119" t="s">
        <v>1415</v>
      </c>
      <c r="B119" s="215" t="s">
        <v>1392</v>
      </c>
      <c r="C119" s="215" t="str">
        <f ca="1">_xlfn.XLOOKUP(Table38[[#This Row],[Nome]], 'Project Overview'!B:B, 'Project Overview'!Y:Y, "not found")</f>
        <v>no</v>
      </c>
      <c r="D119" s="215" t="str">
        <f>_xlfn.XLOOKUP(Table38[[#This Row],[Nome]], 'Project Overview'!B:B, 'Project Overview'!I:I, "not found")</f>
        <v>EPC</v>
      </c>
      <c r="E119" s="283">
        <v>46128</v>
      </c>
    </row>
    <row r="120" spans="1:6" ht="57.6" x14ac:dyDescent="0.3">
      <c r="A120" t="s">
        <v>670</v>
      </c>
      <c r="B120" s="215" t="s">
        <v>1392</v>
      </c>
      <c r="C120" s="215" t="str">
        <f ca="1">_xlfn.XLOOKUP(Table38[[#This Row],[Nome]], 'Project Overview'!B:B, 'Project Overview'!Y:Y, "not found")</f>
        <v>yes</v>
      </c>
      <c r="D120" s="215" t="str">
        <f>_xlfn.XLOOKUP(Table38[[#This Row],[Nome]], 'Project Overview'!B:B, 'Project Overview'!I:I, "not found")</f>
        <v>ESCO</v>
      </c>
      <c r="E120" s="283">
        <v>46128</v>
      </c>
      <c r="F120" s="287" t="s">
        <v>1438</v>
      </c>
    </row>
    <row r="121" spans="1:6" ht="72" x14ac:dyDescent="0.3">
      <c r="A121" s="288" t="s">
        <v>1433</v>
      </c>
      <c r="B121" s="6" t="s">
        <v>1392</v>
      </c>
      <c r="C121" s="6" t="str">
        <f ca="1">_xlfn.XLOOKUP(Table38[[#This Row],[Nome]], 'Project Overview'!B:B, 'Project Overview'!Y:Y, "not found")</f>
        <v>yes</v>
      </c>
      <c r="D121" s="6" t="str">
        <f>_xlfn.XLOOKUP(Table38[[#This Row],[Nome]], 'Project Overview'!B:B, 'Project Overview'!I:I, "not found")</f>
        <v>ESCO</v>
      </c>
      <c r="E121" s="289">
        <v>46128</v>
      </c>
      <c r="F121" s="287" t="s">
        <v>1439</v>
      </c>
    </row>
    <row r="122" spans="1:6" hidden="1" x14ac:dyDescent="0.3">
      <c r="A122" t="s">
        <v>1416</v>
      </c>
      <c r="B122" s="215" t="s">
        <v>1392</v>
      </c>
      <c r="C122" s="215" t="str">
        <f ca="1">_xlfn.XLOOKUP(Table38[[#This Row],[Nome]], 'Project Overview'!B:B, 'Project Overview'!Y:Y, "not found")</f>
        <v>no</v>
      </c>
      <c r="D122" s="215" t="str">
        <f>_xlfn.XLOOKUP(Table38[[#This Row],[Nome]], 'Project Overview'!B:B, 'Project Overview'!I:I, "not found")</f>
        <v>EPC</v>
      </c>
      <c r="E122" s="283">
        <v>46128</v>
      </c>
    </row>
    <row r="123" spans="1:6" hidden="1" x14ac:dyDescent="0.3">
      <c r="A123" t="s">
        <v>1417</v>
      </c>
      <c r="B123" s="215" t="s">
        <v>1392</v>
      </c>
      <c r="C123" s="215" t="str">
        <f ca="1">_xlfn.XLOOKUP(Table38[[#This Row],[Nome]], 'Project Overview'!B:B, 'Project Overview'!Y:Y, "not found")</f>
        <v>no</v>
      </c>
      <c r="D123" s="215" t="str">
        <f>_xlfn.XLOOKUP(Table38[[#This Row],[Nome]], 'Project Overview'!B:B, 'Project Overview'!I:I, "not found")</f>
        <v>EPC</v>
      </c>
      <c r="E123" s="283">
        <v>46128</v>
      </c>
    </row>
    <row r="124" spans="1:6" hidden="1" x14ac:dyDescent="0.3">
      <c r="A124" t="s">
        <v>1418</v>
      </c>
      <c r="B124" s="215" t="s">
        <v>1392</v>
      </c>
      <c r="C124" s="215" t="str">
        <f ca="1">_xlfn.XLOOKUP(Table38[[#This Row],[Nome]], 'Project Overview'!B:B, 'Project Overview'!Y:Y, "not found")</f>
        <v>no</v>
      </c>
      <c r="D124" s="215" t="str">
        <f>_xlfn.XLOOKUP(Table38[[#This Row],[Nome]], 'Project Overview'!B:B, 'Project Overview'!I:I, "not found")</f>
        <v>EPC</v>
      </c>
      <c r="E124" s="283">
        <v>46128</v>
      </c>
    </row>
    <row r="125" spans="1:6" hidden="1" x14ac:dyDescent="0.3">
      <c r="A125" t="s">
        <v>1419</v>
      </c>
      <c r="B125" s="215" t="s">
        <v>1392</v>
      </c>
      <c r="C125" s="215" t="str">
        <f ca="1">_xlfn.XLOOKUP(Table38[[#This Row],[Nome]], 'Project Overview'!B:B, 'Project Overview'!Y:Y, "not found")</f>
        <v>no</v>
      </c>
      <c r="D125" s="215" t="str">
        <f>_xlfn.XLOOKUP(Table38[[#This Row],[Nome]], 'Project Overview'!B:B, 'Project Overview'!I:I, "not found")</f>
        <v>ESCO BUYOUT</v>
      </c>
      <c r="E125" s="283">
        <v>46128</v>
      </c>
    </row>
    <row r="126" spans="1:6" x14ac:dyDescent="0.3">
      <c r="A126" t="s">
        <v>627</v>
      </c>
      <c r="B126" s="215" t="s">
        <v>1392</v>
      </c>
      <c r="C126" s="215" t="str">
        <f ca="1">_xlfn.XLOOKUP(Table38[[#This Row],[Nome]], 'Project Overview'!B:B, 'Project Overview'!Y:Y, "not found")</f>
        <v>yes</v>
      </c>
      <c r="D126" s="215" t="str">
        <f>_xlfn.XLOOKUP(Table38[[#This Row],[Nome]], 'Project Overview'!B:B, 'Project Overview'!I:I, "not found")</f>
        <v>ESCO</v>
      </c>
      <c r="E126" s="283">
        <v>46128</v>
      </c>
      <c r="F126" t="s">
        <v>1437</v>
      </c>
    </row>
    <row r="127" spans="1:6" hidden="1" x14ac:dyDescent="0.3">
      <c r="A127" t="s">
        <v>1420</v>
      </c>
      <c r="B127" s="215" t="s">
        <v>1392</v>
      </c>
      <c r="C127" s="215" t="str">
        <f ca="1">_xlfn.XLOOKUP(Table38[[#This Row],[Nome]], 'Project Overview'!B:B, 'Project Overview'!Y:Y, "not found")</f>
        <v>no</v>
      </c>
      <c r="D127" s="215" t="str">
        <f>_xlfn.XLOOKUP(Table38[[#This Row],[Nome]], 'Project Overview'!B:B, 'Project Overview'!I:I, "not found")</f>
        <v>EPC</v>
      </c>
      <c r="E127" s="283">
        <v>46128</v>
      </c>
    </row>
    <row r="128" spans="1:6" ht="43.2" x14ac:dyDescent="0.3">
      <c r="A128" t="s">
        <v>1421</v>
      </c>
      <c r="B128" s="215" t="s">
        <v>1392</v>
      </c>
      <c r="C128" s="215" t="str">
        <f ca="1">_xlfn.XLOOKUP(Table38[[#This Row],[Nome]], 'Project Overview'!B:B, 'Project Overview'!Y:Y, "not found")</f>
        <v>yes</v>
      </c>
      <c r="D128" s="215" t="str">
        <f>_xlfn.XLOOKUP(Table38[[#This Row],[Nome]], 'Project Overview'!B:B, 'Project Overview'!I:I, "not found")</f>
        <v>ESCO</v>
      </c>
      <c r="E128" s="283">
        <v>46128</v>
      </c>
      <c r="F128" s="287" t="s">
        <v>1440</v>
      </c>
    </row>
    <row r="129" spans="1:6" ht="43.2" x14ac:dyDescent="0.3">
      <c r="A129" t="s">
        <v>244</v>
      </c>
      <c r="B129" s="215" t="s">
        <v>1392</v>
      </c>
      <c r="C129" s="215" t="str">
        <f ca="1">_xlfn.XLOOKUP(Table38[[#This Row],[Nome]], 'Project Overview'!B:B, 'Project Overview'!Y:Y, "not found")</f>
        <v>yes</v>
      </c>
      <c r="D129" s="215" t="str">
        <f>_xlfn.XLOOKUP(Table38[[#This Row],[Nome]], 'Project Overview'!B:B, 'Project Overview'!I:I, "not found")</f>
        <v>ESCO</v>
      </c>
      <c r="E129" s="283">
        <v>46128</v>
      </c>
      <c r="F129" s="287" t="s">
        <v>1441</v>
      </c>
    </row>
    <row r="130" spans="1:6" ht="28.8" x14ac:dyDescent="0.3">
      <c r="A130" t="s">
        <v>345</v>
      </c>
      <c r="B130" s="215" t="s">
        <v>1392</v>
      </c>
      <c r="C130" s="215" t="str">
        <f ca="1">_xlfn.XLOOKUP(Table38[[#This Row],[Nome]], 'Project Overview'!B:B, 'Project Overview'!Y:Y, "not found")</f>
        <v>yes</v>
      </c>
      <c r="D130" s="215" t="str">
        <f>_xlfn.XLOOKUP(Table38[[#This Row],[Nome]], 'Project Overview'!B:B, 'Project Overview'!I:I, "not found")</f>
        <v>ESCO</v>
      </c>
      <c r="E130" s="283">
        <v>46128</v>
      </c>
      <c r="F130" s="287" t="s">
        <v>1442</v>
      </c>
    </row>
    <row r="131" spans="1:6" hidden="1" x14ac:dyDescent="0.3">
      <c r="A131" t="s">
        <v>714</v>
      </c>
      <c r="B131" s="215" t="s">
        <v>1392</v>
      </c>
      <c r="C131" s="215" t="str">
        <f ca="1">_xlfn.XLOOKUP(Table38[[#This Row],[Nome]], 'Project Overview'!B:B, 'Project Overview'!Y:Y, "not found")</f>
        <v>no</v>
      </c>
      <c r="D131" s="215" t="str">
        <f>_xlfn.XLOOKUP(Table38[[#This Row],[Nome]], 'Project Overview'!B:B, 'Project Overview'!I:I, "not found")</f>
        <v>EPC</v>
      </c>
      <c r="E131" s="283">
        <v>46128</v>
      </c>
    </row>
    <row r="132" spans="1:6" hidden="1" x14ac:dyDescent="0.3">
      <c r="A132" t="s">
        <v>1422</v>
      </c>
      <c r="B132" s="215" t="s">
        <v>1392</v>
      </c>
      <c r="C132" s="215" t="str">
        <f ca="1">_xlfn.XLOOKUP(Table38[[#This Row],[Nome]], 'Project Overview'!B:B, 'Project Overview'!Y:Y, "not found")</f>
        <v>no</v>
      </c>
      <c r="D132" s="215" t="str">
        <f>_xlfn.XLOOKUP(Table38[[#This Row],[Nome]], 'Project Overview'!B:B, 'Project Overview'!I:I, "not found")</f>
        <v>EPC</v>
      </c>
      <c r="E132" s="283">
        <v>46128</v>
      </c>
    </row>
    <row r="133" spans="1:6" hidden="1" x14ac:dyDescent="0.3">
      <c r="A133" t="s">
        <v>230</v>
      </c>
      <c r="B133" s="215" t="s">
        <v>1391</v>
      </c>
      <c r="C133" s="215" t="str">
        <f ca="1">_xlfn.XLOOKUP(Table38[[#This Row],[Nome]], 'Project Overview'!B:B, 'Project Overview'!Y:Y, "not found")</f>
        <v>no</v>
      </c>
      <c r="D133" s="215" t="str">
        <f>_xlfn.XLOOKUP(Table38[[#This Row],[Nome]], 'Project Overview'!B:B, 'Project Overview'!I:I, "not found")</f>
        <v>ESCO BUYOUT</v>
      </c>
      <c r="E133" s="283">
        <v>46128</v>
      </c>
    </row>
    <row r="134" spans="1:6" hidden="1" x14ac:dyDescent="0.3">
      <c r="A134" t="s">
        <v>740</v>
      </c>
      <c r="B134" s="215" t="s">
        <v>1391</v>
      </c>
      <c r="C134" s="215" t="str">
        <f ca="1">_xlfn.XLOOKUP(Table38[[#This Row],[Nome]], 'Project Overview'!B:B, 'Project Overview'!Y:Y, "not found")</f>
        <v>no</v>
      </c>
      <c r="D134" s="215" t="str">
        <f>_xlfn.XLOOKUP(Table38[[#This Row],[Nome]], 'Project Overview'!B:B, 'Project Overview'!I:I, "not found")</f>
        <v>EPC</v>
      </c>
      <c r="E134" s="283">
        <v>46128</v>
      </c>
    </row>
    <row r="135" spans="1:6" hidden="1" x14ac:dyDescent="0.3">
      <c r="A135" t="s">
        <v>927</v>
      </c>
      <c r="B135" s="215" t="s">
        <v>1391</v>
      </c>
      <c r="C135" s="215" t="str">
        <f ca="1">_xlfn.XLOOKUP(Table38[[#This Row],[Nome]], 'Project Overview'!B:B, 'Project Overview'!Y:Y, "not found")</f>
        <v>no</v>
      </c>
      <c r="D135" s="215" t="str">
        <f>_xlfn.XLOOKUP(Table38[[#This Row],[Nome]], 'Project Overview'!B:B, 'Project Overview'!I:I, "not found")</f>
        <v>EPC</v>
      </c>
      <c r="E135" s="283">
        <v>46128</v>
      </c>
    </row>
    <row r="136" spans="1:6" hidden="1" x14ac:dyDescent="0.3">
      <c r="A136" t="s">
        <v>1103</v>
      </c>
      <c r="B136" s="215" t="s">
        <v>1391</v>
      </c>
      <c r="C136" s="215" t="str">
        <f ca="1">_xlfn.XLOOKUP(Table38[[#This Row],[Nome]], 'Project Overview'!B:B, 'Project Overview'!Y:Y, "not found")</f>
        <v>no</v>
      </c>
      <c r="D136" s="215" t="str">
        <f>_xlfn.XLOOKUP(Table38[[#This Row],[Nome]], 'Project Overview'!B:B, 'Project Overview'!I:I, "not found")</f>
        <v>EPC</v>
      </c>
      <c r="E136" s="283">
        <v>46128</v>
      </c>
    </row>
    <row r="137" spans="1:6" x14ac:dyDescent="0.3">
      <c r="A137" t="s">
        <v>301</v>
      </c>
      <c r="B137" s="215" t="s">
        <v>1391</v>
      </c>
      <c r="C137" s="215" t="str">
        <f ca="1">_xlfn.XLOOKUP(Table38[[#This Row],[Nome]], 'Project Overview'!B:B, 'Project Overview'!Y:Y, "not found")</f>
        <v>yes</v>
      </c>
      <c r="D137" s="215" t="str">
        <f>_xlfn.XLOOKUP(Table38[[#This Row],[Nome]], 'Project Overview'!B:B, 'Project Overview'!I:I, "not found")</f>
        <v>ESCO</v>
      </c>
      <c r="E137" s="283">
        <v>46128</v>
      </c>
      <c r="F137" t="s">
        <v>1436</v>
      </c>
    </row>
    <row r="138" spans="1:6" ht="52.2" customHeight="1" x14ac:dyDescent="0.3">
      <c r="A138" t="s">
        <v>466</v>
      </c>
      <c r="B138" s="215" t="s">
        <v>1391</v>
      </c>
      <c r="C138" s="215" t="str">
        <f ca="1">_xlfn.XLOOKUP(Table38[[#This Row],[Nome]], 'Project Overview'!B:B, 'Project Overview'!Y:Y, "not found")</f>
        <v>no</v>
      </c>
      <c r="D138" s="215" t="str">
        <f>_xlfn.XLOOKUP(Table38[[#This Row],[Nome]], 'Project Overview'!B:B, 'Project Overview'!I:I, "not found")</f>
        <v>ESCO BUYOUT</v>
      </c>
      <c r="E138" s="283">
        <v>46128</v>
      </c>
      <c r="F138" s="287" t="s">
        <v>1443</v>
      </c>
    </row>
    <row r="139" spans="1:6" hidden="1" x14ac:dyDescent="0.3">
      <c r="A139" t="s">
        <v>1423</v>
      </c>
      <c r="B139" s="215" t="s">
        <v>1391</v>
      </c>
      <c r="C139" s="215" t="str">
        <f ca="1">_xlfn.XLOOKUP(Table38[[#This Row],[Nome]], 'Project Overview'!B:B, 'Project Overview'!Y:Y, "not found")</f>
        <v>no</v>
      </c>
      <c r="D139" s="215" t="str">
        <f>_xlfn.XLOOKUP(Table38[[#This Row],[Nome]], 'Project Overview'!B:B, 'Project Overview'!I:I, "not found")</f>
        <v>EPC</v>
      </c>
      <c r="E139" s="283">
        <v>46128</v>
      </c>
    </row>
    <row r="140" spans="1:6" hidden="1" x14ac:dyDescent="0.3">
      <c r="A140" t="s">
        <v>1424</v>
      </c>
      <c r="B140" s="215" t="s">
        <v>1391</v>
      </c>
      <c r="C140" s="215" t="str">
        <f ca="1">_xlfn.XLOOKUP(Table38[[#This Row],[Nome]], 'Project Overview'!B:B, 'Project Overview'!Y:Y, "not found")</f>
        <v>no</v>
      </c>
      <c r="D140" s="215" t="str">
        <f>_xlfn.XLOOKUP(Table38[[#This Row],[Nome]], 'Project Overview'!B:B, 'Project Overview'!I:I, "not found")</f>
        <v>EPC</v>
      </c>
      <c r="E140" s="283">
        <v>46128</v>
      </c>
    </row>
    <row r="141" spans="1:6" ht="28.8" x14ac:dyDescent="0.3">
      <c r="A141" t="s">
        <v>58</v>
      </c>
      <c r="B141" s="215" t="s">
        <v>1391</v>
      </c>
      <c r="C141" s="215" t="str">
        <f ca="1">_xlfn.XLOOKUP(Table38[[#This Row],[Nome]], 'Project Overview'!B:B, 'Project Overview'!Y:Y, "not found")</f>
        <v>yes</v>
      </c>
      <c r="D141" s="215" t="str">
        <f>_xlfn.XLOOKUP(Table38[[#This Row],[Nome]], 'Project Overview'!B:B, 'Project Overview'!I:I, "not found")</f>
        <v>ESCO</v>
      </c>
      <c r="E141" s="283">
        <v>46128</v>
      </c>
      <c r="F141" s="287" t="s">
        <v>1444</v>
      </c>
    </row>
    <row r="142" spans="1:6" hidden="1" x14ac:dyDescent="0.3">
      <c r="A142" t="s">
        <v>168</v>
      </c>
      <c r="B142" s="215" t="s">
        <v>1391</v>
      </c>
      <c r="C142" s="215" t="str">
        <f ca="1">_xlfn.XLOOKUP(Table38[[#This Row],[Nome]], 'Project Overview'!B:B, 'Project Overview'!Y:Y, "not found")</f>
        <v>no</v>
      </c>
      <c r="D142" s="215" t="str">
        <f>_xlfn.XLOOKUP(Table38[[#This Row],[Nome]], 'Project Overview'!B:B, 'Project Overview'!I:I, "not found")</f>
        <v>ESCO BUYOUT</v>
      </c>
      <c r="E142" s="283">
        <v>46128</v>
      </c>
    </row>
    <row r="143" spans="1:6" hidden="1" x14ac:dyDescent="0.3">
      <c r="A143" t="s">
        <v>877</v>
      </c>
      <c r="B143" s="215" t="s">
        <v>1391</v>
      </c>
      <c r="C143" s="215" t="str">
        <f ca="1">_xlfn.XLOOKUP(Table38[[#This Row],[Nome]], 'Project Overview'!B:B, 'Project Overview'!Y:Y, "not found")</f>
        <v>no</v>
      </c>
      <c r="D143" s="215" t="str">
        <f>_xlfn.XLOOKUP(Table38[[#This Row],[Nome]], 'Project Overview'!B:B, 'Project Overview'!I:I, "not found")</f>
        <v>EPC</v>
      </c>
      <c r="E143" s="283">
        <v>46128</v>
      </c>
    </row>
    <row r="144" spans="1:6" hidden="1" x14ac:dyDescent="0.3">
      <c r="A144" t="s">
        <v>1166</v>
      </c>
      <c r="B144" s="215" t="s">
        <v>1391</v>
      </c>
      <c r="C144" s="215" t="str">
        <f ca="1">_xlfn.XLOOKUP(Table38[[#This Row],[Nome]], 'Project Overview'!B:B, 'Project Overview'!Y:Y, "not found")</f>
        <v>no</v>
      </c>
      <c r="D144" s="215" t="str">
        <f>_xlfn.XLOOKUP(Table38[[#This Row],[Nome]], 'Project Overview'!B:B, 'Project Overview'!I:I, "not found")</f>
        <v>EPC</v>
      </c>
      <c r="E144" s="283">
        <v>46128</v>
      </c>
    </row>
    <row r="145" spans="1:6" x14ac:dyDescent="0.3">
      <c r="A145" t="s">
        <v>1425</v>
      </c>
      <c r="B145" s="215" t="s">
        <v>1391</v>
      </c>
      <c r="C145" s="215" t="str">
        <f ca="1">_xlfn.XLOOKUP(Table38[[#This Row],[Nome]], 'Project Overview'!B:B, 'Project Overview'!Y:Y, "not found")</f>
        <v>yes</v>
      </c>
      <c r="D145" s="215" t="str">
        <f>_xlfn.XLOOKUP(Table38[[#This Row],[Nome]], 'Project Overview'!B:B, 'Project Overview'!I:I, "not found")</f>
        <v>EPC</v>
      </c>
      <c r="E145" s="283">
        <v>46128</v>
      </c>
      <c r="F145" t="s">
        <v>1436</v>
      </c>
    </row>
    <row r="146" spans="1:6" hidden="1" x14ac:dyDescent="0.3">
      <c r="A146" t="s">
        <v>1426</v>
      </c>
      <c r="B146" s="215" t="s">
        <v>1391</v>
      </c>
      <c r="C146" s="215" t="str">
        <f ca="1">_xlfn.XLOOKUP(Table38[[#This Row],[Nome]], 'Project Overview'!B:B, 'Project Overview'!Y:Y, "not found")</f>
        <v>no</v>
      </c>
      <c r="D146" s="215" t="str">
        <f>_xlfn.XLOOKUP(Table38[[#This Row],[Nome]], 'Project Overview'!B:B, 'Project Overview'!I:I, "not found")</f>
        <v>EPC</v>
      </c>
      <c r="E146" s="283">
        <v>46128</v>
      </c>
    </row>
    <row r="147" spans="1:6" hidden="1" x14ac:dyDescent="0.3">
      <c r="A147" t="s">
        <v>1427</v>
      </c>
      <c r="B147" s="215" t="s">
        <v>1391</v>
      </c>
      <c r="C147" s="215" t="str">
        <f ca="1">_xlfn.XLOOKUP(Table38[[#This Row],[Nome]], 'Project Overview'!B:B, 'Project Overview'!Y:Y, "not found")</f>
        <v>no</v>
      </c>
      <c r="D147" s="215" t="str">
        <f>_xlfn.XLOOKUP(Table38[[#This Row],[Nome]], 'Project Overview'!B:B, 'Project Overview'!I:I, "not found")</f>
        <v>EPC</v>
      </c>
      <c r="E147" s="283">
        <v>46128</v>
      </c>
    </row>
    <row r="148" spans="1:6" hidden="1" x14ac:dyDescent="0.3">
      <c r="A148" t="s">
        <v>1428</v>
      </c>
      <c r="B148" s="215" t="s">
        <v>1391</v>
      </c>
      <c r="C148" s="215" t="str">
        <f ca="1">_xlfn.XLOOKUP(Table38[[#This Row],[Nome]], 'Project Overview'!B:B, 'Project Overview'!Y:Y, "not found")</f>
        <v>no</v>
      </c>
      <c r="D148" s="215" t="str">
        <f>_xlfn.XLOOKUP(Table38[[#This Row],[Nome]], 'Project Overview'!B:B, 'Project Overview'!I:I, "not found")</f>
        <v>EPC</v>
      </c>
      <c r="E148" s="283">
        <v>46128</v>
      </c>
    </row>
    <row r="149" spans="1:6" hidden="1" x14ac:dyDescent="0.3">
      <c r="A149" t="s">
        <v>650</v>
      </c>
      <c r="B149" s="215" t="s">
        <v>1391</v>
      </c>
      <c r="C149" s="215" t="str">
        <f ca="1">_xlfn.XLOOKUP(Table38[[#This Row],[Nome]], 'Project Overview'!B:B, 'Project Overview'!Y:Y, "not found")</f>
        <v>no</v>
      </c>
      <c r="D149" s="215" t="str">
        <f>_xlfn.XLOOKUP(Table38[[#This Row],[Nome]], 'Project Overview'!B:B, 'Project Overview'!I:I, "not found")</f>
        <v>EPC</v>
      </c>
      <c r="E149" s="283">
        <v>46128</v>
      </c>
    </row>
    <row r="150" spans="1:6" hidden="1" x14ac:dyDescent="0.3">
      <c r="A150" t="s">
        <v>873</v>
      </c>
      <c r="B150" s="215" t="s">
        <v>1391</v>
      </c>
      <c r="C150" s="215" t="str">
        <f ca="1">_xlfn.XLOOKUP(Table38[[#This Row],[Nome]], 'Project Overview'!B:B, 'Project Overview'!Y:Y, "not found")</f>
        <v>no</v>
      </c>
      <c r="D150" s="215" t="str">
        <f>_xlfn.XLOOKUP(Table38[[#This Row],[Nome]], 'Project Overview'!B:B, 'Project Overview'!I:I, "not found")</f>
        <v>EPC</v>
      </c>
      <c r="E150" s="283">
        <v>46128</v>
      </c>
    </row>
    <row r="151" spans="1:6" hidden="1" x14ac:dyDescent="0.3">
      <c r="A151" t="s">
        <v>306</v>
      </c>
      <c r="B151" s="215" t="s">
        <v>1391</v>
      </c>
      <c r="C151" s="215" t="str">
        <f ca="1">_xlfn.XLOOKUP(Table38[[#This Row],[Nome]], 'Project Overview'!B:B, 'Project Overview'!Y:Y, "not found")</f>
        <v>no</v>
      </c>
      <c r="D151" s="215" t="str">
        <f>_xlfn.XLOOKUP(Table38[[#This Row],[Nome]], 'Project Overview'!B:B, 'Project Overview'!I:I, "not found")</f>
        <v>EPC</v>
      </c>
      <c r="E151" s="283">
        <v>46128</v>
      </c>
    </row>
    <row r="152" spans="1:6" x14ac:dyDescent="0.3">
      <c r="A152" t="s">
        <v>180</v>
      </c>
      <c r="B152" s="215" t="s">
        <v>1391</v>
      </c>
      <c r="C152" s="215" t="str">
        <f ca="1">_xlfn.XLOOKUP(Table38[[#This Row],[Nome]], 'Project Overview'!B:B, 'Project Overview'!Y:Y, "not found")</f>
        <v>yes</v>
      </c>
      <c r="D152" s="215" t="str">
        <f>_xlfn.XLOOKUP(Table38[[#This Row],[Nome]], 'Project Overview'!B:B, 'Project Overview'!I:I, "not found")</f>
        <v>EPC</v>
      </c>
      <c r="E152" s="283">
        <v>46128</v>
      </c>
      <c r="F152" t="s">
        <v>1436</v>
      </c>
    </row>
    <row r="153" spans="1:6" ht="15" hidden="1" thickBot="1" x14ac:dyDescent="0.35">
      <c r="A153" t="s">
        <v>85</v>
      </c>
      <c r="B153" s="291" t="s">
        <v>1391</v>
      </c>
      <c r="C153" s="215" t="str">
        <f ca="1">_xlfn.XLOOKUP(Table38[[#This Row],[Nome]], 'Project Overview'!B:B, 'Project Overview'!Y:Y, "not found")</f>
        <v>no</v>
      </c>
      <c r="D153" s="215" t="str">
        <f>_xlfn.XLOOKUP(Table38[[#This Row],[Nome]], 'Project Overview'!B:B, 'Project Overview'!I:I, "not found")</f>
        <v>ESCO BUYOUT</v>
      </c>
      <c r="E153" s="283">
        <v>46128</v>
      </c>
      <c r="F153" s="290"/>
    </row>
    <row r="154" spans="1:6" x14ac:dyDescent="0.3">
      <c r="A154" t="s">
        <v>502</v>
      </c>
      <c r="B154" s="215" t="s">
        <v>1392</v>
      </c>
      <c r="C154" s="215" t="str">
        <f ca="1">_xlfn.XLOOKUP(Table38[[#This Row],[Nome]], 'Project Overview'!B:B, 'Project Overview'!Y:Y, "not found")</f>
        <v>yes</v>
      </c>
      <c r="D154" s="215" t="str">
        <f>_xlfn.XLOOKUP(Table38[[#This Row],[Nome]], 'Project Overview'!B:B, 'Project Overview'!I:I, "not found")</f>
        <v>ESCO</v>
      </c>
      <c r="E154" s="283">
        <v>46128</v>
      </c>
      <c r="F154" t="s">
        <v>1447</v>
      </c>
    </row>
    <row r="155" spans="1:6" hidden="1" x14ac:dyDescent="0.3">
      <c r="A155" t="s">
        <v>363</v>
      </c>
      <c r="B155" s="215" t="s">
        <v>1392</v>
      </c>
      <c r="C155" s="215" t="str">
        <f ca="1">_xlfn.XLOOKUP(Table38[[#This Row],[Nome]], 'Project Overview'!B:B, 'Project Overview'!Y:Y, "not found")</f>
        <v>no</v>
      </c>
      <c r="D155" s="215" t="str">
        <f>_xlfn.XLOOKUP(Table38[[#This Row],[Nome]], 'Project Overview'!B:B, 'Project Overview'!I:I, "not found")</f>
        <v>EPC</v>
      </c>
      <c r="E155" s="283">
        <v>46128</v>
      </c>
    </row>
    <row r="156" spans="1:6" ht="28.8" x14ac:dyDescent="0.3">
      <c r="A156" s="287" t="s">
        <v>452</v>
      </c>
      <c r="B156" s="215" t="s">
        <v>1391</v>
      </c>
      <c r="C156" s="215" t="str">
        <f ca="1">_xlfn.XLOOKUP(Table38[[#This Row],[Nome]], 'Project Overview'!B:B, 'Project Overview'!Y:Y, "not found")</f>
        <v>yes</v>
      </c>
      <c r="D156" s="215" t="str">
        <f>_xlfn.XLOOKUP(Table38[[#This Row],[Nome]], 'Project Overview'!B:B, 'Project Overview'!I:I, "not found")</f>
        <v>ESCO</v>
      </c>
      <c r="E156" s="283">
        <v>46128</v>
      </c>
      <c r="F156" t="s">
        <v>1448</v>
      </c>
    </row>
    <row r="157" spans="1:6" x14ac:dyDescent="0.3">
      <c r="A157" t="s">
        <v>114</v>
      </c>
      <c r="B157" s="215" t="s">
        <v>1391</v>
      </c>
      <c r="C157" s="215" t="str">
        <f ca="1">_xlfn.XLOOKUP(Table38[[#This Row],[Nome]], 'Project Overview'!B:B, 'Project Overview'!Y:Y, "not found")</f>
        <v>yes</v>
      </c>
      <c r="D157" s="215" t="str">
        <f>_xlfn.XLOOKUP(Table38[[#This Row],[Nome]], 'Project Overview'!B:B, 'Project Overview'!I:I, "not found")</f>
        <v>ESCO</v>
      </c>
      <c r="E157" s="283">
        <v>46128</v>
      </c>
      <c r="F157" t="s">
        <v>1449</v>
      </c>
    </row>
    <row r="158" spans="1:6" x14ac:dyDescent="0.3">
      <c r="A158" t="s">
        <v>204</v>
      </c>
      <c r="B158" s="215" t="s">
        <v>1391</v>
      </c>
      <c r="C158" s="215" t="str">
        <f ca="1">_xlfn.XLOOKUP(Table38[[#This Row],[Nome]], 'Project Overview'!B:B, 'Project Overview'!Y:Y, "not found")</f>
        <v>yes</v>
      </c>
      <c r="D158" s="215" t="str">
        <f>_xlfn.XLOOKUP(Table38[[#This Row],[Nome]], 'Project Overview'!B:B, 'Project Overview'!I:I, "not found")</f>
        <v>ESCO</v>
      </c>
      <c r="E158" s="283">
        <v>46128</v>
      </c>
      <c r="F158" t="s">
        <v>1449</v>
      </c>
    </row>
    <row r="159" spans="1:6" hidden="1" x14ac:dyDescent="0.3">
      <c r="A159" t="s">
        <v>1445</v>
      </c>
      <c r="B159" s="215" t="s">
        <v>1391</v>
      </c>
      <c r="C159" s="215" t="str">
        <f ca="1">_xlfn.XLOOKUP(Table38[[#This Row],[Nome]], 'Project Overview'!B:B, 'Project Overview'!Y:Y, "not found")</f>
        <v>no</v>
      </c>
      <c r="D159" s="215" t="str">
        <f>_xlfn.XLOOKUP(Table38[[#This Row],[Nome]], 'Project Overview'!B:B, 'Project Overview'!I:I, "not found")</f>
        <v>EPC</v>
      </c>
      <c r="E159" s="283">
        <v>46128</v>
      </c>
    </row>
    <row r="160" spans="1:6" x14ac:dyDescent="0.3">
      <c r="A160" s="319" t="s">
        <v>114</v>
      </c>
      <c r="B160" s="320" t="s">
        <v>1451</v>
      </c>
      <c r="C160" s="321" t="str">
        <f ca="1">_xlfn.XLOOKUP(Table38[[#This Row],[Nome]], 'Project Overview'!B:B, 'Project Overview'!Y:Y, "not found")</f>
        <v>yes</v>
      </c>
      <c r="D160" s="321" t="str">
        <f>_xlfn.XLOOKUP(Table38[[#This Row],[Nome]], 'Project Overview'!B:B, 'Project Overview'!I:I, "not found")</f>
        <v>ESCO</v>
      </c>
      <c r="E160" s="322">
        <v>46129</v>
      </c>
      <c r="F160" s="318" t="s">
        <v>1450</v>
      </c>
    </row>
    <row r="161" spans="1:6" x14ac:dyDescent="0.3">
      <c r="A161" t="s">
        <v>502</v>
      </c>
      <c r="B161" s="215" t="s">
        <v>1451</v>
      </c>
      <c r="C161" s="215" t="str">
        <f ca="1">_xlfn.XLOOKUP(Table38[[#This Row],[Nome]], 'Project Overview'!B:B, 'Project Overview'!Y:Y, "not found")</f>
        <v>yes</v>
      </c>
      <c r="D161" s="215" t="str">
        <f>_xlfn.XLOOKUP(Table38[[#This Row],[Nome]], 'Project Overview'!B:B, 'Project Overview'!I:I, "not found")</f>
        <v>ESCO</v>
      </c>
      <c r="E161" s="322">
        <v>46129</v>
      </c>
      <c r="F161" s="318" t="s">
        <v>1450</v>
      </c>
    </row>
    <row r="162" spans="1:6" ht="28.8" x14ac:dyDescent="0.3">
      <c r="A162" s="287" t="s">
        <v>452</v>
      </c>
      <c r="B162" s="215" t="s">
        <v>1451</v>
      </c>
      <c r="C162" s="215" t="str">
        <f ca="1">_xlfn.XLOOKUP(Table38[[#This Row],[Nome]], 'Project Overview'!B:B, 'Project Overview'!Y:Y, "not found")</f>
        <v>yes</v>
      </c>
      <c r="D162" s="215" t="str">
        <f>_xlfn.XLOOKUP(Table38[[#This Row],[Nome]], 'Project Overview'!B:B, 'Project Overview'!I:I, "not found")</f>
        <v>ESCO</v>
      </c>
      <c r="E162" s="283">
        <v>46129</v>
      </c>
      <c r="F162" t="s">
        <v>1452</v>
      </c>
    </row>
    <row r="163" spans="1:6" ht="28.8" x14ac:dyDescent="0.3">
      <c r="A163" s="288" t="s">
        <v>1433</v>
      </c>
      <c r="B163" s="215" t="s">
        <v>1451</v>
      </c>
      <c r="C163" s="6" t="str">
        <f ca="1">_xlfn.XLOOKUP(Table38[[#This Row],[Nome]], 'Project Overview'!B:B, 'Project Overview'!Y:Y, "not found")</f>
        <v>yes</v>
      </c>
      <c r="D163" s="6" t="str">
        <f>_xlfn.XLOOKUP(Table38[[#This Row],[Nome]], 'Project Overview'!B:B, 'Project Overview'!I:I, "not found")</f>
        <v>ESCO</v>
      </c>
      <c r="E163" s="283">
        <v>46129</v>
      </c>
      <c r="F163" s="287" t="s">
        <v>1466</v>
      </c>
    </row>
    <row r="164" spans="1:6" x14ac:dyDescent="0.3">
      <c r="D164" s="215"/>
      <c r="E164" s="283"/>
    </row>
    <row r="165" spans="1:6" x14ac:dyDescent="0.3">
      <c r="D165" s="215"/>
      <c r="E165" s="283"/>
    </row>
    <row r="166" spans="1:6" x14ac:dyDescent="0.3">
      <c r="D166" s="215"/>
      <c r="E166" s="283"/>
    </row>
    <row r="167" spans="1:6" x14ac:dyDescent="0.3">
      <c r="D167" s="215"/>
      <c r="E167" s="283"/>
    </row>
    <row r="168" spans="1:6" x14ac:dyDescent="0.3">
      <c r="D168" s="215"/>
      <c r="E168" s="283"/>
    </row>
    <row r="169" spans="1:6" x14ac:dyDescent="0.3">
      <c r="D169" s="215"/>
      <c r="E169" s="283"/>
    </row>
    <row r="170" spans="1:6" x14ac:dyDescent="0.3">
      <c r="D170" s="215"/>
      <c r="E170" s="283"/>
    </row>
    <row r="171" spans="1:6" x14ac:dyDescent="0.3">
      <c r="D171" s="215"/>
      <c r="E171" s="283"/>
    </row>
    <row r="172" spans="1:6" x14ac:dyDescent="0.3">
      <c r="D172" s="215"/>
      <c r="E172" s="283"/>
    </row>
    <row r="173" spans="1:6" x14ac:dyDescent="0.3">
      <c r="D173" s="215"/>
      <c r="E173" s="283"/>
    </row>
    <row r="174" spans="1:6" x14ac:dyDescent="0.3">
      <c r="D174" s="215"/>
      <c r="E174" s="283"/>
    </row>
    <row r="175" spans="1:6" x14ac:dyDescent="0.3">
      <c r="D175" s="215"/>
      <c r="E175" s="283"/>
    </row>
    <row r="176" spans="1:6" x14ac:dyDescent="0.3">
      <c r="D176" s="215"/>
      <c r="E176" s="283"/>
    </row>
    <row r="177" spans="4:5" x14ac:dyDescent="0.3">
      <c r="D177" s="215"/>
      <c r="E177" s="283"/>
    </row>
    <row r="178" spans="4:5" x14ac:dyDescent="0.3">
      <c r="D178" s="215"/>
      <c r="E178" s="283"/>
    </row>
    <row r="179" spans="4:5" x14ac:dyDescent="0.3">
      <c r="D179" s="215"/>
      <c r="E179" s="283"/>
    </row>
    <row r="180" spans="4:5" x14ac:dyDescent="0.3">
      <c r="D180" s="215"/>
      <c r="E180" s="283"/>
    </row>
    <row r="181" spans="4:5" x14ac:dyDescent="0.3">
      <c r="D181" s="215"/>
      <c r="E181" s="283"/>
    </row>
    <row r="182" spans="4:5" x14ac:dyDescent="0.3">
      <c r="D182" s="215"/>
      <c r="E182" s="283"/>
    </row>
    <row r="183" spans="4:5" x14ac:dyDescent="0.3">
      <c r="D183" s="215"/>
      <c r="E183" s="283"/>
    </row>
    <row r="184" spans="4:5" x14ac:dyDescent="0.3">
      <c r="D184" s="215"/>
      <c r="E184" s="283"/>
    </row>
    <row r="185" spans="4:5" x14ac:dyDescent="0.3">
      <c r="D185" s="215"/>
      <c r="E185" s="283"/>
    </row>
    <row r="186" spans="4:5" x14ac:dyDescent="0.3">
      <c r="D186" s="215"/>
      <c r="E186" s="283"/>
    </row>
    <row r="187" spans="4:5" x14ac:dyDescent="0.3">
      <c r="D187" s="215"/>
      <c r="E187" s="283"/>
    </row>
    <row r="188" spans="4:5" x14ac:dyDescent="0.3">
      <c r="D188" s="215"/>
      <c r="E188" s="283"/>
    </row>
    <row r="189" spans="4:5" x14ac:dyDescent="0.3">
      <c r="D189" s="215"/>
      <c r="E189" s="283"/>
    </row>
    <row r="190" spans="4:5" x14ac:dyDescent="0.3">
      <c r="D190" s="215"/>
      <c r="E190" s="283"/>
    </row>
  </sheetData>
  <phoneticPr fontId="33"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FD6C5-10EA-4E98-9ADD-6A772592580B}">
  <dimension ref="A1:G11"/>
  <sheetViews>
    <sheetView tabSelected="1" topLeftCell="A3" zoomScale="85" zoomScaleNormal="85" workbookViewId="0">
      <selection activeCell="G5" sqref="G5"/>
    </sheetView>
  </sheetViews>
  <sheetFormatPr defaultRowHeight="14.4" x14ac:dyDescent="0.3"/>
  <cols>
    <col min="1" max="1" width="11" customWidth="1"/>
    <col min="2" max="2" width="19" bestFit="1" customWidth="1"/>
    <col min="3" max="3" width="17" customWidth="1"/>
    <col min="4" max="4" width="9.5546875" bestFit="1" customWidth="1"/>
    <col min="5" max="5" width="9.88671875" bestFit="1" customWidth="1"/>
    <col min="6" max="6" width="49.21875" customWidth="1"/>
    <col min="7" max="7" width="22.88671875" customWidth="1"/>
  </cols>
  <sheetData>
    <row r="1" spans="1:7" x14ac:dyDescent="0.3">
      <c r="A1" s="235" t="s">
        <v>1402</v>
      </c>
      <c r="B1" s="286" t="s">
        <v>1414</v>
      </c>
      <c r="C1" s="236" t="s">
        <v>1399</v>
      </c>
      <c r="D1" s="215" t="s">
        <v>1432</v>
      </c>
      <c r="E1" t="s">
        <v>5</v>
      </c>
      <c r="F1" t="s">
        <v>1435</v>
      </c>
      <c r="G1" t="s">
        <v>1457</v>
      </c>
    </row>
    <row r="2" spans="1:7" ht="28.8" x14ac:dyDescent="0.3">
      <c r="A2" s="215" t="s">
        <v>1208</v>
      </c>
      <c r="B2" s="215">
        <v>1</v>
      </c>
      <c r="C2" s="215" t="str">
        <f>_xlfn.XLOOKUP(A2, 'Project Overview'!B:B, 'Project Overview'!I:I, "not found")</f>
        <v>EPC</v>
      </c>
      <c r="D2" s="283">
        <v>46125</v>
      </c>
      <c r="E2" t="s">
        <v>1461</v>
      </c>
      <c r="F2" s="287" t="s">
        <v>1453</v>
      </c>
      <c r="G2" s="287" t="s">
        <v>1458</v>
      </c>
    </row>
    <row r="3" spans="1:7" ht="43.2" x14ac:dyDescent="0.3">
      <c r="A3" s="215" t="s">
        <v>1208</v>
      </c>
      <c r="B3" s="215" t="s">
        <v>1454</v>
      </c>
      <c r="C3" s="215" t="str">
        <f>_xlfn.XLOOKUP(A3, 'Project Overview'!B:B, 'Project Overview'!I:I, "not found")</f>
        <v>EPC</v>
      </c>
      <c r="D3" s="283">
        <v>46125</v>
      </c>
      <c r="E3" t="s">
        <v>1455</v>
      </c>
      <c r="F3" s="287" t="s">
        <v>1456</v>
      </c>
      <c r="G3" s="287" t="s">
        <v>1459</v>
      </c>
    </row>
    <row r="4" spans="1:7" x14ac:dyDescent="0.3">
      <c r="A4" s="215" t="s">
        <v>244</v>
      </c>
      <c r="B4" s="320">
        <v>2</v>
      </c>
      <c r="C4" s="320" t="str">
        <f>_xlfn.XLOOKUP(A4, 'Project Overview'!B:B, 'Project Overview'!I:I, "not found")</f>
        <v>ESCO</v>
      </c>
      <c r="D4" s="283">
        <v>46125</v>
      </c>
      <c r="E4" s="318" t="s">
        <v>1460</v>
      </c>
      <c r="F4" s="323" t="s">
        <v>1462</v>
      </c>
      <c r="G4" s="318" t="s">
        <v>1468</v>
      </c>
    </row>
    <row r="5" spans="1:7" ht="100.8" x14ac:dyDescent="0.3">
      <c r="A5" s="215"/>
      <c r="B5" s="320"/>
      <c r="C5" s="320"/>
      <c r="D5" s="283"/>
      <c r="E5" s="318"/>
      <c r="F5" s="323"/>
      <c r="G5" s="323" t="s">
        <v>1474</v>
      </c>
    </row>
    <row r="6" spans="1:7" ht="28.8" x14ac:dyDescent="0.3">
      <c r="A6" s="215" t="s">
        <v>204</v>
      </c>
      <c r="B6" s="320" t="s">
        <v>178</v>
      </c>
      <c r="C6" s="320" t="str">
        <f>_xlfn.XLOOKUP(A6, 'Project Overview'!B:B, 'Project Overview'!I:I, "not found")</f>
        <v>ESCO</v>
      </c>
      <c r="D6" s="322">
        <v>46128</v>
      </c>
      <c r="E6" s="318" t="s">
        <v>1460</v>
      </c>
      <c r="F6" s="323" t="s">
        <v>1464</v>
      </c>
      <c r="G6" s="318" t="s">
        <v>1463</v>
      </c>
    </row>
    <row r="7" spans="1:7" ht="72" x14ac:dyDescent="0.3">
      <c r="A7" s="215" t="s">
        <v>204</v>
      </c>
      <c r="B7" s="320"/>
      <c r="C7" s="320"/>
      <c r="D7" s="322"/>
      <c r="E7" s="318"/>
      <c r="F7" s="323" t="s">
        <v>1467</v>
      </c>
      <c r="G7" s="318"/>
    </row>
    <row r="8" spans="1:7" ht="72" x14ac:dyDescent="0.3">
      <c r="A8" s="215" t="s">
        <v>58</v>
      </c>
      <c r="B8" s="320" t="s">
        <v>178</v>
      </c>
      <c r="C8" s="320" t="str">
        <f>_xlfn.XLOOKUP(A8, 'Project Overview'!B:B, 'Project Overview'!I:I, "not found")</f>
        <v>ESCO</v>
      </c>
      <c r="D8" s="322">
        <v>46128</v>
      </c>
      <c r="E8" s="318" t="s">
        <v>1460</v>
      </c>
      <c r="F8" s="323" t="s">
        <v>1469</v>
      </c>
      <c r="G8" s="323" t="s">
        <v>1470</v>
      </c>
    </row>
    <row r="9" spans="1:7" ht="72" x14ac:dyDescent="0.3">
      <c r="A9" s="324" t="s">
        <v>466</v>
      </c>
      <c r="B9" s="215" t="s">
        <v>178</v>
      </c>
      <c r="C9" s="215" t="str">
        <f>_xlfn.XLOOKUP(A9, 'Project Overview'!B:B, 'Project Overview'!I:I, "not found")</f>
        <v>ESCO BUYOUT</v>
      </c>
      <c r="D9" s="322">
        <v>46128</v>
      </c>
      <c r="E9" s="318" t="s">
        <v>1460</v>
      </c>
      <c r="F9" s="287" t="s">
        <v>1471</v>
      </c>
      <c r="G9" t="s">
        <v>1465</v>
      </c>
    </row>
    <row r="10" spans="1:7" ht="72" x14ac:dyDescent="0.3">
      <c r="A10" s="287" t="s">
        <v>1421</v>
      </c>
      <c r="B10" s="215" t="s">
        <v>178</v>
      </c>
      <c r="C10" s="320" t="str">
        <f>_xlfn.XLOOKUP(A10, 'Project Overview'!B:B, 'Project Overview'!I:I, "not found")</f>
        <v>ESCO</v>
      </c>
      <c r="D10" s="322">
        <v>46128</v>
      </c>
      <c r="E10" s="318" t="s">
        <v>1460</v>
      </c>
      <c r="F10" s="323" t="s">
        <v>1440</v>
      </c>
      <c r="G10" s="325" t="s">
        <v>1472</v>
      </c>
    </row>
    <row r="11" spans="1:7" ht="113.4" customHeight="1" x14ac:dyDescent="0.3">
      <c r="A11" s="287" t="s">
        <v>670</v>
      </c>
      <c r="B11" s="215" t="s">
        <v>178</v>
      </c>
      <c r="C11" s="215" t="str">
        <f>_xlfn.XLOOKUP(A11, 'Project Overview'!B:B, 'Project Overview'!I:I, "not found")</f>
        <v>ESCO</v>
      </c>
      <c r="D11" s="322">
        <v>46128</v>
      </c>
      <c r="E11" s="318" t="s">
        <v>1460</v>
      </c>
      <c r="F11" s="287" t="s">
        <v>1438</v>
      </c>
      <c r="G11" s="287" t="s">
        <v>1473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9ccff8b-74d7-41d4-a405-d5d2427d30db" xsi:nil="true"/>
    <lcf76f155ced4ddcb4097134ff3c332f xmlns="0354b2e1-dec8-4158-81cf-12c727f4270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A6848839F11784EA2DDE3C55F6F1270" ma:contentTypeVersion="14" ma:contentTypeDescription="Criar um novo documento." ma:contentTypeScope="" ma:versionID="c26296ac5f1c190b508e3f5c125680ce">
  <xsd:schema xmlns:xsd="http://www.w3.org/2001/XMLSchema" xmlns:xs="http://www.w3.org/2001/XMLSchema" xmlns:p="http://schemas.microsoft.com/office/2006/metadata/properties" xmlns:ns2="0354b2e1-dec8-4158-81cf-12c727f4270b" xmlns:ns3="39ccff8b-74d7-41d4-a405-d5d2427d30db" targetNamespace="http://schemas.microsoft.com/office/2006/metadata/properties" ma:root="true" ma:fieldsID="2b6126f3a84a3d7f73a297d59dc9bf99" ns2:_="" ns3:_="">
    <xsd:import namespace="0354b2e1-dec8-4158-81cf-12c727f4270b"/>
    <xsd:import namespace="39ccff8b-74d7-41d4-a405-d5d2427d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MigrationSourceID"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54b2e1-dec8-4158-81cf-12c727f427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m" ma:readOnly="false" ma:fieldId="{5cf76f15-5ced-4ddc-b409-7134ff3c332f}" ma:taxonomyMulti="true" ma:sspId="28febc87-ee34-4dfe-b641-4d6254a310c0"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9ccff8b-74d7-41d4-a405-d5d2427d30d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8ad7168-a1f0-4aaa-bff9-7da837d338b0}" ma:internalName="TaxCatchAll" ma:showField="CatchAllData" ma:web="39ccff8b-74d7-41d4-a405-d5d2427d30db">
      <xsd:complexType>
        <xsd:complexContent>
          <xsd:extension base="dms:MultiChoiceLookup">
            <xsd:sequence>
              <xsd:element name="Value" type="dms:Lookup" maxOccurs="unbounded" minOccurs="0" nillable="true"/>
            </xsd:sequence>
          </xsd:extension>
        </xsd:complexContent>
      </xsd:complexType>
    </xsd:element>
    <xsd:element name="MigrationSourceID" ma:index="19"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2A815A-0247-4D44-BF4D-1EBF42533F04}">
  <ds:schemaRefs>
    <ds:schemaRef ds:uri="http://schemas.microsoft.com/sharepoint/v3/contenttype/forms"/>
  </ds:schemaRefs>
</ds:datastoreItem>
</file>

<file path=customXml/itemProps2.xml><?xml version="1.0" encoding="utf-8"?>
<ds:datastoreItem xmlns:ds="http://schemas.openxmlformats.org/officeDocument/2006/customXml" ds:itemID="{7E10B73B-6AF5-430F-B16A-CA1A25FD86C1}">
  <ds:schemaRefs>
    <ds:schemaRef ds:uri="http://schemas.microsoft.com/office/2006/metadata/properties"/>
    <ds:schemaRef ds:uri="http://schemas.microsoft.com/office/infopath/2007/PartnerControls"/>
    <ds:schemaRef ds:uri="39ccff8b-74d7-41d4-a405-d5d2427d30db"/>
    <ds:schemaRef ds:uri="0354b2e1-dec8-4158-81cf-12c727f4270b"/>
  </ds:schemaRefs>
</ds:datastoreItem>
</file>

<file path=customXml/itemProps3.xml><?xml version="1.0" encoding="utf-8"?>
<ds:datastoreItem xmlns:ds="http://schemas.openxmlformats.org/officeDocument/2006/customXml" ds:itemID="{BA6379BF-F47F-4EEF-BBFF-2B998901E0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54b2e1-dec8-4158-81cf-12c727f4270b"/>
    <ds:schemaRef ds:uri="39ccff8b-74d7-41d4-a405-d5d2427d30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Painel Manutenção</vt:lpstr>
      <vt:lpstr>Project Overview</vt:lpstr>
      <vt:lpstr>Venda do excedente</vt:lpstr>
      <vt:lpstr>Validação Overview</vt:lpstr>
      <vt:lpstr>Tabela de Locs</vt:lpstr>
      <vt:lpstr>Painel_Apoio</vt:lpstr>
      <vt:lpstr>Monotorização</vt:lpstr>
      <vt:lpstr>Corretivas</vt:lpstr>
      <vt:lpstr>'Tabela de Locs'!Print_Area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Kétsia Ginani</dc:creator>
  <cp:lastModifiedBy>Sérgio Tavares - Solcor</cp:lastModifiedBy>
  <cp:lastPrinted>2026-04-10T10:19:56Z</cp:lastPrinted>
  <dcterms:created xsi:type="dcterms:W3CDTF">2023-11-30T12:12:00Z</dcterms:created>
  <dcterms:modified xsi:type="dcterms:W3CDTF">2026-04-17T13:03:20Z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0x010100CA6848839F11784EA2DDE3C55F6F1270</vt:lpwstr>
  </property>
  <property fmtid="{D5CDD505-2E9C-101B-9397-08002B2CF9AE}" pid="3" name="Order">
    <vt:r8>60900</vt:r8>
  </property>
  <property fmtid="{D5CDD505-2E9C-101B-9397-08002B2CF9AE}" pid="4" name="MediaServiceImageTags">
    <vt:lpwstr/>
  </property>
</Properties>
</file>